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roduct Index" sheetId="2" state="visible" r:id="rId4"/>
    <sheet name="Master Checklist" sheetId="3" state="visible" r:id="rId5"/>
    <sheet name="Sprint Calendar" sheetId="4" state="visible" r:id="rId6"/>
    <sheet name="Capacity Plan" sheetId="5" state="visible" r:id="rId7"/>
    <sheet name="Stage Gates" sheetId="6" state="visible" r:id="rId8"/>
    <sheet name="Defect Log" sheetId="7" state="visible" r:id="rId9"/>
    <sheet name="Environment Register" sheetId="8" state="visible" r:id="rId10"/>
    <sheet name="Procurement &amp; Long-Lead" sheetId="9" state="visible" r:id="rId11"/>
    <sheet name="Risk &amp; Issue Register" sheetId="10" state="visible" r:id="rId12"/>
    <sheet name="Acceptance &amp; Sign-off" sheetId="11" state="visible" r:id="rId13"/>
    <sheet name="Skills Matrix" sheetId="12" state="visible" r:id="rId14"/>
    <sheet name="Weekly Snapshot" sheetId="13" state="visible" r:id="rId15"/>
    <sheet name="Coverage Register" sheetId="14" state="visible" r:id="rId16"/>
    <sheet name="Open Questions" sheetId="15" state="visible" r:id="rId17"/>
    <sheet name="Change Log" sheetId="16" state="visible" r:id="rId18"/>
    <sheet name="Lists" sheetId="17" state="visible" r:id="rId19"/>
    <sheet name="How to use &amp; improve" sheetId="18" state="visible" r:id="rId20"/>
  </sheets>
  <definedNames>
    <definedName function="false" hidden="true" localSheetId="2" name="_xlnm._FilterDatabase" vbProcedure="false">'Master Checklist'!$A$1:$AC$2121</definedName>
    <definedName function="false" hidden="true" localSheetId="1" name="_xlnm._FilterDatabase" vbProcedure="false">'Product Index'!$A$4:$P$47</definedName>
    <definedName function="false" hidden="false" name="DeployList" vbProcedure="false">Lists!$D$4:$D$7</definedName>
    <definedName function="false" hidden="false" name="PriorityList" vbProcedure="false">Lists!$F$4:$F$7</definedName>
    <definedName function="false" hidden="false" name="RoleList" vbProcedure="false">Lists!$B$4:$B$22</definedName>
    <definedName function="false" hidden="false" name="SeverityList" vbProcedure="false">Lists!$H$4:$H$7</definedName>
    <definedName function="false" hidden="false" name="SquadList" vbProcedure="false">Lists!$A$4:$A$12</definedName>
    <definedName function="false" hidden="false" name="StatusList" vbProcedure="false">Lists!$E$4:$E$8</definedName>
    <definedName function="false" hidden="false" name="TestTeamList" vbProcedure="false">Lists!$C$4:$C$13</definedName>
    <definedName function="false" hidden="false" name="WorkTypeList" vbProcedure="false">Lists!$G$4:$G$5</definedName>
    <definedName function="false" hidden="false" name="YesNoList" vbProcedure="false">Lists!$I$4:$I$6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<sst xmlns="http://schemas.openxmlformats.org/spreadsheetml/2006/main" count="41869" uniqueCount="10546">
  <si>
    <t xml:space="preserve">EdVidura Master Checklist v3 — remediated delivery system</t>
  </si>
  <si>
    <t xml:space="preserve">2120 items (1830 carried from v2 + 290 added by audit) · 43 products · 8 squads + QA guild · 9 test teams · 6 stages</t>
  </si>
  <si>
    <t xml:space="preserve">v3 applies the audit fixes: India re-basing, 11 new delivery-management sheets, 7 new columns, controlled vocabularies, conditional formatting, protection and a change log.</t>
  </si>
  <si>
    <t xml:space="preserve">YELLOW = you fill in. Start with Assignee on Stage 0–1 rows, then EstDays, then the Sprint Calendar and Capacity sheets.</t>
  </si>
  <si>
    <t xml:space="preserve">Locked provisional decisions</t>
  </si>
  <si>
    <t xml:space="preserve">Metabase edition</t>
  </si>
  <si>
    <t xml:space="preserve">OSS; tenant isolation at DB level (RLS / per-tenant schemas); signed static embedding</t>
  </si>
  <si>
    <t xml:space="preserve">Tenancy model</t>
  </si>
  <si>
    <t xml:space="preserve">Hybrid — shared schema + RLS for SaaS tenants; instance-per-command/organisation for enclaves</t>
  </si>
  <si>
    <t xml:space="preserve">Accreditation authority</t>
  </si>
  <si>
    <t xml:space="preserve">Deferred by direction — product renamed market-neutral; authority is a Human-Input entry, no authority asserted</t>
  </si>
  <si>
    <t xml:space="preserve">Market</t>
  </si>
  <si>
    <t xml:space="preserve">India-first, with air-gapped/enclave capability retained; immersive labs are now a repeatable India lab product</t>
  </si>
  <si>
    <t xml:space="preserve">Event transport</t>
  </si>
  <si>
    <t xml:space="preserve">PostgreSQL transactional outbox + workers first; broker promotion later</t>
  </si>
  <si>
    <t xml:space="preserve">Local AI</t>
  </si>
  <si>
    <t xml:space="preserve">One shared local-inference platform (E04) consumed by every AI module</t>
  </si>
  <si>
    <t xml:space="preserve">Progress by squad (live)</t>
  </si>
  <si>
    <t xml:space="preserve">Squad</t>
  </si>
  <si>
    <t xml:space="preserve">Build</t>
  </si>
  <si>
    <t xml:space="preserve">Test</t>
  </si>
  <si>
    <t xml:space="preserve">Total</t>
  </si>
  <si>
    <t xml:space="preserve">Done</t>
  </si>
  <si>
    <t xml:space="preserve">In progress</t>
  </si>
  <si>
    <t xml:space="preserve">Blocked</t>
  </si>
  <si>
    <t xml:space="preserve">% done</t>
  </si>
  <si>
    <t xml:space="preserve">Unassigned</t>
  </si>
  <si>
    <t xml:space="preserve">Est. days</t>
  </si>
  <si>
    <t xml:space="preserve">SQ1 Platform Core</t>
  </si>
  <si>
    <t xml:space="preserve">SQ2 Learning Tools</t>
  </si>
  <si>
    <t xml:space="preserve">SQ3 Data &amp; Analytics</t>
  </si>
  <si>
    <t xml:space="preserve">SQ4 TLA &amp; Federation</t>
  </si>
  <si>
    <t xml:space="preserve">SQ5 AI &amp; Assessment</t>
  </si>
  <si>
    <t xml:space="preserve">SQ6 Content &amp; Authoring</t>
  </si>
  <si>
    <t xml:space="preserve">SQ7 Field &amp; Immersive</t>
  </si>
  <si>
    <t xml:space="preserve">SQ8 Program &amp; Governance</t>
  </si>
  <si>
    <t xml:space="preserve">QA Guild</t>
  </si>
  <si>
    <t xml:space="preserve">TOTAL</t>
  </si>
  <si>
    <t xml:space="preserve">Progress by stage (live)</t>
  </si>
  <si>
    <t xml:space="preserve">Stage</t>
  </si>
  <si>
    <t xml:space="preserve">Scope</t>
  </si>
  <si>
    <t xml:space="preserve">P0 open</t>
  </si>
  <si>
    <t xml:space="preserve">Stage 0 — Contracts, schemas &amp; decisions</t>
  </si>
  <si>
    <t xml:space="preserve">Stage 1 — Slice A validation</t>
  </si>
  <si>
    <t xml:space="preserve">Stage 2 — Content &amp; competency</t>
  </si>
  <si>
    <t xml:space="preserve">Stage 3 — AI &amp; field slices</t>
  </si>
  <si>
    <t xml:space="preserve">Stage 4 — Controlled pilot</t>
  </si>
  <si>
    <t xml:space="preserve">Stage 5 — Production &amp; scale</t>
  </si>
  <si>
    <t xml:space="preserve">Product / Deliverable Index — 30 client deliverables + 13 enabling products</t>
  </si>
  <si>
    <t xml:space="preserve">Renamed products are marked. Yellow = assign owners. Counts are live.</t>
  </si>
  <si>
    <t xml:space="preserve">ProductID</t>
  </si>
  <si>
    <t xml:space="preserve">Product / deliverable</t>
  </si>
  <si>
    <t xml:space="preserve">Type</t>
  </si>
  <si>
    <t xml:space="preserve">Primary squad</t>
  </si>
  <si>
    <t xml:space="preserve">Modules</t>
  </si>
  <si>
    <t xml:space="preserve">Product owner</t>
  </si>
  <si>
    <t xml:space="preserve">Tech lead</t>
  </si>
  <si>
    <t xml:space="preserve">QA lead</t>
  </si>
  <si>
    <t xml:space="preserve">Stage span</t>
  </si>
  <si>
    <t xml:space="preserve">Renamed in v3</t>
  </si>
  <si>
    <t xml:space="preserve">D01</t>
  </si>
  <si>
    <t xml:space="preserve">AI SME Chatbot — Learner-Facing</t>
  </si>
  <si>
    <t xml:space="preserve">Client deliverable</t>
  </si>
  <si>
    <t xml:space="preserve">M15, M26</t>
  </si>
  <si>
    <t xml:space="preserve">Stage 0–3</t>
  </si>
  <si>
    <t xml:space="preserve">D02</t>
  </si>
  <si>
    <t xml:space="preserve">AI Assessment Tools &amp; Test Banks + Auto Grader</t>
  </si>
  <si>
    <t xml:space="preserve">M8, M27</t>
  </si>
  <si>
    <t xml:space="preserve">D03</t>
  </si>
  <si>
    <t xml:space="preserve">Security Accreditation &amp; Authorisation to Operate — Initiation</t>
  </si>
  <si>
    <t xml:space="preserve">P1, SVC</t>
  </si>
  <si>
    <t xml:space="preserve">Stage 0–1</t>
  </si>
  <si>
    <t xml:space="preserve">was: ATO Initiation — AFGSC</t>
  </si>
  <si>
    <t xml:space="preserve">D04</t>
  </si>
  <si>
    <t xml:space="preserve">Pedagogy Design Review Protocol</t>
  </si>
  <si>
    <t xml:space="preserve">P2</t>
  </si>
  <si>
    <t xml:space="preserve">Stage 0–4</t>
  </si>
  <si>
    <t xml:space="preserve">D05</t>
  </si>
  <si>
    <t xml:space="preserve">TLA CMM Level 2 — Microservices</t>
  </si>
  <si>
    <t xml:space="preserve">M21</t>
  </si>
  <si>
    <t xml:space="preserve">Stage 1–5</t>
  </si>
  <si>
    <t xml:space="preserve">D06</t>
  </si>
  <si>
    <t xml:space="preserve">TLA Experience-Index (ELRR)</t>
  </si>
  <si>
    <t xml:space="preserve">M17</t>
  </si>
  <si>
    <t xml:space="preserve">D07</t>
  </si>
  <si>
    <t xml:space="preserve">TLA Course Catalogue (ECC)</t>
  </si>
  <si>
    <t xml:space="preserve">M18</t>
  </si>
  <si>
    <t xml:space="preserve">Stage 0–2</t>
  </si>
  <si>
    <t xml:space="preserve">D08</t>
  </si>
  <si>
    <t xml:space="preserve">TLA Competency-Registry</t>
  </si>
  <si>
    <t xml:space="preserve">M19</t>
  </si>
  <si>
    <t xml:space="preserve">D09</t>
  </si>
  <si>
    <t xml:space="preserve">TLA CMM Level 3</t>
  </si>
  <si>
    <t xml:space="preserve">Stage 4–5</t>
  </si>
  <si>
    <t xml:space="preserve">D10</t>
  </si>
  <si>
    <t xml:space="preserve">PDFs &amp; Technical Manuals Integration — Live TO Connection</t>
  </si>
  <si>
    <t xml:space="preserve">M25</t>
  </si>
  <si>
    <t xml:space="preserve">D11</t>
  </si>
  <si>
    <t xml:space="preserve">DCT — Content Authoring &amp; Lesson Planner</t>
  </si>
  <si>
    <t xml:space="preserve">M22</t>
  </si>
  <si>
    <t xml:space="preserve">D12</t>
  </si>
  <si>
    <t xml:space="preserve">Interactive eBooks — Technical Manuals Digitization</t>
  </si>
  <si>
    <t xml:space="preserve">M9, M24, SVC</t>
  </si>
  <si>
    <t xml:space="preserve">D13</t>
  </si>
  <si>
    <t xml:space="preserve">SME Chatbot — Content Authoring Support</t>
  </si>
  <si>
    <t xml:space="preserve">M23</t>
  </si>
  <si>
    <t xml:space="preserve">D14</t>
  </si>
  <si>
    <t xml:space="preserve">Personalized Learning Engine — Core</t>
  </si>
  <si>
    <t xml:space="preserve">M11, M13, M28</t>
  </si>
  <si>
    <t xml:space="preserve">D15</t>
  </si>
  <si>
    <t xml:space="preserve">Competency Assessment Tool</t>
  </si>
  <si>
    <t xml:space="preserve">M12, M29</t>
  </si>
  <si>
    <t xml:space="preserve">D16</t>
  </si>
  <si>
    <t xml:space="preserve">TLA Profile Management — Initial Deployment</t>
  </si>
  <si>
    <t xml:space="preserve">M20</t>
  </si>
  <si>
    <t xml:space="preserve">Stage 2–3</t>
  </si>
  <si>
    <t xml:space="preserve">D17</t>
  </si>
  <si>
    <t xml:space="preserve">Cross-Organisation / Cross-Command Data Pipeline</t>
  </si>
  <si>
    <t xml:space="preserve">M31</t>
  </si>
  <si>
    <t xml:space="preserve">Stage 0–5</t>
  </si>
  <si>
    <t xml:space="preserve">was: Cross-Command Data Pipeline</t>
  </si>
  <si>
    <t xml:space="preserve">D18</t>
  </si>
  <si>
    <t xml:space="preserve">Analytics Dashboard Suite (incl. TLA) — All Roles</t>
  </si>
  <si>
    <t xml:space="preserve">M6, M10, M30</t>
  </si>
  <si>
    <t xml:space="preserve">D19</t>
  </si>
  <si>
    <t xml:space="preserve">XR Store App — Android &amp; Windows</t>
  </si>
  <si>
    <t xml:space="preserve">M16, M32, SVC</t>
  </si>
  <si>
    <t xml:space="preserve">D20</t>
  </si>
  <si>
    <t xml:space="preserve">Immersive Lab — Reference Site (India)</t>
  </si>
  <si>
    <t xml:space="preserve">M33, SVC</t>
  </si>
  <si>
    <t xml:space="preserve">Stage 3–4</t>
  </si>
  <si>
    <t xml:space="preserve">was: Hardware Immersive Labs — Site A (Barksdale AFB)</t>
  </si>
  <si>
    <t xml:space="preserve">D21</t>
  </si>
  <si>
    <t xml:space="preserve">Immersive Lab — Replication Site (India)</t>
  </si>
  <si>
    <t xml:space="preserve">M34</t>
  </si>
  <si>
    <t xml:space="preserve">Stage 5–5</t>
  </si>
  <si>
    <t xml:space="preserve">was: Hardware Immersive Labs — Site B (Minot AFB)</t>
  </si>
  <si>
    <t xml:space="preserve">D22</t>
  </si>
  <si>
    <t xml:space="preserve">AI/ML Procedural Walkthrough Engine</t>
  </si>
  <si>
    <t xml:space="preserve">M35</t>
  </si>
  <si>
    <t xml:space="preserve">D23</t>
  </si>
  <si>
    <t xml:space="preserve">Difference Training Application</t>
  </si>
  <si>
    <t xml:space="preserve">M14, M36</t>
  </si>
  <si>
    <t xml:space="preserve">D24</t>
  </si>
  <si>
    <t xml:space="preserve">Microlearning Mobile Application</t>
  </si>
  <si>
    <t xml:space="preserve">M37, SVC</t>
  </si>
  <si>
    <t xml:space="preserve">Stage 2–4</t>
  </si>
  <si>
    <t xml:space="preserve">D25</t>
  </si>
  <si>
    <t xml:space="preserve">Accelerate Upgrade Readiness Measurement Plan</t>
  </si>
  <si>
    <t xml:space="preserve">P3</t>
  </si>
  <si>
    <t xml:space="preserve">D26</t>
  </si>
  <si>
    <t xml:space="preserve">Measure of Operational Effectiveness (MOE) AR Application</t>
  </si>
  <si>
    <t xml:space="preserve">M38</t>
  </si>
  <si>
    <t xml:space="preserve">D27</t>
  </si>
  <si>
    <t xml:space="preserve">Train the Trainer — Embedded SME Service</t>
  </si>
  <si>
    <t xml:space="preserve">P4</t>
  </si>
  <si>
    <t xml:space="preserve">Stage 2–5</t>
  </si>
  <si>
    <t xml:space="preserve">D28</t>
  </si>
  <si>
    <t xml:space="preserve">TLA CMM Level 5 — Enterprise Competency Mapping</t>
  </si>
  <si>
    <t xml:space="preserve">D29</t>
  </si>
  <si>
    <t xml:space="preserve">Full Multiverse Platform Integration &amp; Acceptance</t>
  </si>
  <si>
    <t xml:space="preserve">P5</t>
  </si>
  <si>
    <t xml:space="preserve">D30</t>
  </si>
  <si>
    <t xml:space="preserve">Final Report</t>
  </si>
  <si>
    <t xml:space="preserve">P6</t>
  </si>
  <si>
    <t xml:space="preserve">E01</t>
  </si>
  <si>
    <t xml:space="preserve">Core Platform, Identity &amp; Shared Services (enabler)</t>
  </si>
  <si>
    <t xml:space="preserve">Enabling platform</t>
  </si>
  <si>
    <t xml:space="preserve">M1, M4, SVC</t>
  </si>
  <si>
    <t xml:space="preserve">E02</t>
  </si>
  <si>
    <t xml:space="preserve">Learning Records Spine — LRS + Learning-data API (enabler)</t>
  </si>
  <si>
    <t xml:space="preserve">M2, M3</t>
  </si>
  <si>
    <t xml:space="preserve">E03</t>
  </si>
  <si>
    <t xml:space="preserve">LMS &amp; Course-Site Integration — LTI 1.3 (enabler)</t>
  </si>
  <si>
    <t xml:space="preserve">M5, M7</t>
  </si>
  <si>
    <t xml:space="preserve">E04</t>
  </si>
  <si>
    <t xml:space="preserve">Shared Local AI Inference Platform (enabler)</t>
  </si>
  <si>
    <t xml:space="preserve">SVC</t>
  </si>
  <si>
    <t xml:space="preserve">E05</t>
  </si>
  <si>
    <t xml:space="preserve">MOSA Conformance Program (enabler)</t>
  </si>
  <si>
    <t xml:space="preserve">Enabling programme</t>
  </si>
  <si>
    <t xml:space="preserve">E06</t>
  </si>
  <si>
    <t xml:space="preserve">Localization &amp; Multilingual Program (enabler)</t>
  </si>
  <si>
    <t xml:space="preserve">E07</t>
  </si>
  <si>
    <t xml:space="preserve">Test &amp; Release Quality System (enabler)</t>
  </si>
  <si>
    <t xml:space="preserve">STD</t>
  </si>
  <si>
    <t xml:space="preserve">Stage 1–1</t>
  </si>
  <si>
    <t xml:space="preserve">E08</t>
  </si>
  <si>
    <t xml:space="preserve">Customer Onboarding, Tenant Provisioning &amp; Data Migration</t>
  </si>
  <si>
    <t xml:space="preserve">E09</t>
  </si>
  <si>
    <t xml:space="preserve">Support, Service Management &amp; Operational Handover</t>
  </si>
  <si>
    <t xml:space="preserve">E10</t>
  </si>
  <si>
    <t xml:space="preserve">Commercial, Legal &amp; Compliance (India)</t>
  </si>
  <si>
    <t xml:space="preserve">E11</t>
  </si>
  <si>
    <t xml:space="preserve">Vendor, Third-Party &amp; Content-Rights Management</t>
  </si>
  <si>
    <t xml:space="preserve">M24, SVC</t>
  </si>
  <si>
    <t xml:space="preserve">E12</t>
  </si>
  <si>
    <t xml:space="preserve">Site Deployment Kit — Repeatable Immersive Lab (India)</t>
  </si>
  <si>
    <t xml:space="preserve">Enabling product</t>
  </si>
  <si>
    <t xml:space="preserve">M33</t>
  </si>
  <si>
    <t xml:space="preserve">E13</t>
  </si>
  <si>
    <t xml:space="preserve">Internal Enablement &amp; Knowledge Continuity</t>
  </si>
  <si>
    <t xml:space="preserve">ID</t>
  </si>
  <si>
    <t xml:space="preserve">Product</t>
  </si>
  <si>
    <t xml:space="preserve">WorkType</t>
  </si>
  <si>
    <t xml:space="preserve">Priority</t>
  </si>
  <si>
    <t xml:space="preserve">Category</t>
  </si>
  <si>
    <t xml:space="preserve">Module</t>
  </si>
  <si>
    <t xml:space="preserve">OwnerRole</t>
  </si>
  <si>
    <t xml:space="preserve">TestTeam</t>
  </si>
  <si>
    <t xml:space="preserve">TestCaseID</t>
  </si>
  <si>
    <t xml:space="preserve">Assignee</t>
  </si>
  <si>
    <t xml:space="preserve">EstDays</t>
  </si>
  <si>
    <t xml:space="preserve">TargetSprint</t>
  </si>
  <si>
    <t xml:space="preserve">Task</t>
  </si>
  <si>
    <t xml:space="preserve">Subtask</t>
  </si>
  <si>
    <t xml:space="preserve">Item</t>
  </si>
  <si>
    <t xml:space="preserve">DependsOn</t>
  </si>
  <si>
    <t xml:space="preserve">Evidence</t>
  </si>
  <si>
    <t xml:space="preserve">EvidenceLink</t>
  </si>
  <si>
    <t xml:space="preserve">AcceptanceCriterion</t>
  </si>
  <si>
    <t xml:space="preserve">DeploymentClass</t>
  </si>
  <si>
    <t xml:space="preserve">SourceRef</t>
  </si>
  <si>
    <t xml:space="preserve">Status</t>
  </si>
  <si>
    <t xml:space="preserve">Waiver</t>
  </si>
  <si>
    <t xml:space="preserve">LastUpdated</t>
  </si>
  <si>
    <t xml:space="preserve">SeqFlag</t>
  </si>
  <si>
    <t xml:space="preserve">Notes</t>
  </si>
  <si>
    <t xml:space="preserve">FND-01.1.01</t>
  </si>
  <si>
    <t xml:space="preserve">P1</t>
  </si>
  <si>
    <t xml:space="preserve">FND</t>
  </si>
  <si>
    <t xml:space="preserve">M1</t>
  </si>
  <si>
    <t xml:space="preserve">Platform Architect</t>
  </si>
  <si>
    <t xml:space="preserve">—</t>
  </si>
  <si>
    <t xml:space="preserve">M1 identity contracts</t>
  </si>
  <si>
    <t xml:space="preserve">Tenancy and token contract</t>
  </si>
  <si>
    <t xml:space="preserve">Tenancy decision record written (realm-per-tenant vs single realm with tenant claims) covering token contents, session behavior, admin tooling, and onboarding cost, and approved by architecture board</t>
  </si>
  <si>
    <t xml:space="preserve">-</t>
  </si>
  <si>
    <t xml:space="preserve">Signed decision record in decision register</t>
  </si>
  <si>
    <t xml:space="preserve">Decision record merged with named approver and date</t>
  </si>
  <si>
    <t xml:space="preserve">All</t>
  </si>
  <si>
    <t xml:space="preserve">Review D-M1 gap; MOD-008</t>
  </si>
  <si>
    <t xml:space="preserve">Not started</t>
  </si>
  <si>
    <t xml:space="preserve">FND-01.1.02</t>
  </si>
  <si>
    <t xml:space="preserve">P0</t>
  </si>
  <si>
    <t xml:space="preserve">Token claim schema defined (tenant ID, command ID, roles, audience, per-service scopes) and issued as versioned contract document</t>
  </si>
  <si>
    <t xml:space="preserve">Claim schema v1 in contract repo</t>
  </si>
  <si>
    <t xml:space="preserve">Schema validates sample tokens for 3 personas plus 1 service account without ambiguity</t>
  </si>
  <si>
    <t xml:space="preserve">Review G.4; HS-11</t>
  </si>
  <si>
    <t xml:space="preserve">FND-01.1.03</t>
  </si>
  <si>
    <t xml:space="preserve">Token lifecycle policy documented: access/refresh lifetimes, revocation propagation SLA, signing-key rotation schedule, offline-device credential rules</t>
  </si>
  <si>
    <t xml:space="preserve">Token lifecycle policy doc</t>
  </si>
  <si>
    <t xml:space="preserve">Policy states numeric lifetime, SLA, and rotation interval for every token type; approved</t>
  </si>
  <si>
    <t xml:space="preserve">Review D-M1 token lifecycle gap</t>
  </si>
  <si>
    <t xml:space="preserve">FND-01.1.04</t>
  </si>
  <si>
    <t xml:space="preserve">Role precedence rule between Keycloak roles and LTI launch roles documented with M1 as owner and M7 as read-only consumer</t>
  </si>
  <si>
    <t xml:space="preserve">Role precedence rule doc referenced by M7 spec</t>
  </si>
  <si>
    <t xml:space="preserve">Rule resolves the teacher-in-Moodle/student-in-Keycloak case deterministically; COR team acknowledged</t>
  </si>
  <si>
    <t xml:space="preserve">Review D-M1 [CONTRADICTED] role truth</t>
  </si>
  <si>
    <t xml:space="preserve">FND-01.1.05</t>
  </si>
  <si>
    <t xml:space="preserve">Tenant-resolution contract defined for the shared middleware/library consumed by all modules (claim parsing, missing-claim rejection, audited denial format)</t>
  </si>
  <si>
    <t xml:space="preserve">Tenant-resolution contract v1</t>
  </si>
  <si>
    <t xml:space="preserve">Contract specifies behavior for present, missing, and malformed tenant claims; reject-by-default</t>
  </si>
  <si>
    <t xml:space="preserve">MOD-008</t>
  </si>
  <si>
    <t xml:space="preserve">FND-01.1.06</t>
  </si>
  <si>
    <t xml:space="preserve">Service-to-service authentication model defined: machine identity per module, client-credentials or mTLS, least-privilege scopes, no all-tenant service tokens</t>
  </si>
  <si>
    <t xml:space="preserve">Service-auth model doc listing every Slice A service identity</t>
  </si>
  <si>
    <t xml:space="preserve">Every Slice A module has a named machine identity with an explicit scope list; zero wildcard-tenant scopes</t>
  </si>
  <si>
    <t xml:space="preserve">R-sec-G (G.4 service auth absent)</t>
  </si>
  <si>
    <t xml:space="preserve">FND-01.2.01</t>
  </si>
  <si>
    <t xml:space="preserve">Publication and conformance</t>
  </si>
  <si>
    <t xml:space="preserve">Identity contracts (token claims, tenant resolution, service auth) published to the contract registry with semver</t>
  </si>
  <si>
    <t xml:space="preserve">FND-01.1.02, FND-13.1.01</t>
  </si>
  <si>
    <t xml:space="preserve">Registry entries with version tags</t>
  </si>
  <si>
    <t xml:space="preserve">All three contracts retrievable from registry at v1.0.0</t>
  </si>
  <si>
    <t xml:space="preserve">HS-11; PLAN M1 main-jobs</t>
  </si>
  <si>
    <t xml:space="preserve">FND-01.2.02</t>
  </si>
  <si>
    <t xml:space="preserve">QA Engineer</t>
  </si>
  <si>
    <t xml:space="preserve">Token conformance test suite written and green against a stub IdP in CI (valid, expired, missing tenant claim, wrong audience, revoked)</t>
  </si>
  <si>
    <t xml:space="preserve">CI job run link</t>
  </si>
  <si>
    <t xml:space="preserve">All 5 case classes pass; suite blocks merge on failure</t>
  </si>
  <si>
    <t xml:space="preserve">Stage 0 exit gate (Section T)</t>
  </si>
  <si>
    <t xml:space="preserve">FND-01.2.03</t>
  </si>
  <si>
    <t xml:space="preserve">QA Lead</t>
  </si>
  <si>
    <t xml:space="preserve">Exit-gate evidence bundle assembled and reviewed for M1 identity contracts task</t>
  </si>
  <si>
    <t xml:space="preserve">Evidence bundle in program repo</t>
  </si>
  <si>
    <t xml:space="preserve">All task items evidenced; reviewer sign-off recorded</t>
  </si>
  <si>
    <t xml:space="preserve">Brief mandatory lane</t>
  </si>
  <si>
    <t xml:space="preserve">FND-02.1.01</t>
  </si>
  <si>
    <t xml:space="preserve">DevSecOps Engineer</t>
  </si>
  <si>
    <t xml:space="preserve">Keycloak deployment</t>
  </si>
  <si>
    <t xml:space="preserve">Realm and client provisioning</t>
  </si>
  <si>
    <t xml:space="preserve">Keycloak pinned version deployed via IaC with external PostgreSQL and HA replicas</t>
  </si>
  <si>
    <t xml:space="preserve">IaC repo commit plus running environment</t>
  </si>
  <si>
    <t xml:space="preserve">Two Keycloak nodes serve logins; single-node kill causes no login failures in test</t>
  </si>
  <si>
    <t xml:space="preserve">PLAN M1 main-jobs</t>
  </si>
  <si>
    <t xml:space="preserve">FND-02.1.02</t>
  </si>
  <si>
    <t xml:space="preserve">Tenant onboarding automation provisions a new tenant (realm or claims per decision record) in under 30 minutes</t>
  </si>
  <si>
    <t xml:space="preserve">Automation script plus timed run log</t>
  </si>
  <si>
    <t xml:space="preserve">Fresh tenant provisioned end-to-end in one command in under 30 min</t>
  </si>
  <si>
    <t xml:space="preserve">Review D-M1 exit criteria</t>
  </si>
  <si>
    <t xml:space="preserve">FND-02.1.03</t>
  </si>
  <si>
    <t xml:space="preserve">OIDC clients registered for M3, M5, M6, and M7 with per-client scopes and secrets stored in vault</t>
  </si>
  <si>
    <t xml:space="preserve">Client inventory export</t>
  </si>
  <si>
    <t xml:space="preserve">Each client authenticates with only its declared scopes; secrets absent from git</t>
  </si>
  <si>
    <t xml:space="preserve">FND-02.1.04</t>
  </si>
  <si>
    <t xml:space="preserve">Roles (student, teacher, supervisor, admin) and per-tenant groups created via automation, not console clicks</t>
  </si>
  <si>
    <t xml:space="preserve">Automation output for two test tenants</t>
  </si>
  <si>
    <t xml:space="preserve">Both tenants show identical role/group structure from the same script</t>
  </si>
  <si>
    <t xml:space="preserve">FND-02.1.05</t>
  </si>
  <si>
    <t xml:space="preserve">Service accounts issued for M3 ingest, M4b workers, and M6 BI with least-privilege scopes per the service-auth model</t>
  </si>
  <si>
    <t xml:space="preserve">FND-01.1.06, FND-02.1.01</t>
  </si>
  <si>
    <t xml:space="preserve">Service-account inventory</t>
  </si>
  <si>
    <t xml:space="preserve">Each service account rejected when calling any endpoint outside its scope list in test</t>
  </si>
  <si>
    <t xml:space="preserve">R-sec-G</t>
  </si>
  <si>
    <t xml:space="preserve">FND-02.2.01</t>
  </si>
  <si>
    <t xml:space="preserve">Backend Engineer</t>
  </si>
  <si>
    <t xml:space="preserve">Token lifecycle implementation</t>
  </si>
  <si>
    <t xml:space="preserve">User-delete revocation implemented: sessions killed and all live tokens unusable across modules within the stated SLA, including a queued offline upload</t>
  </si>
  <si>
    <t xml:space="preserve">Revocation test run log</t>
  </si>
  <si>
    <t xml:space="preserve">Deleted user denied on every Slice A API within SLA; offline queued upload rejected on sync</t>
  </si>
  <si>
    <t xml:space="preserve">Review G.4 deleted-user; LOOP 8</t>
  </si>
  <si>
    <t xml:space="preserve">FND-02.2.02</t>
  </si>
  <si>
    <t xml:space="preserve">Signing-key rotation executed mid-session in staging; M3 and M7 continued validating with zero dropped requests</t>
  </si>
  <si>
    <t xml:space="preserve">Rotation test report</t>
  </si>
  <si>
    <t xml:space="preserve">Zero 401s attributable to rotation during the test window</t>
  </si>
  <si>
    <t xml:space="preserve">Review D-M1 tests</t>
  </si>
  <si>
    <t xml:space="preserve">FND-02.2.03</t>
  </si>
  <si>
    <t xml:space="preserve">IdP-outage degraded mode implemented per decided policy (cached validation window, re-auth rules) and verified by stopping Keycloak during simulated class activity</t>
  </si>
  <si>
    <t xml:space="preserve">Scenario 7 drill report</t>
  </si>
  <si>
    <t xml:space="preserve">In-flight authenticated sessions survive a 10-minute IdP outage per policy; behavior matches the written policy</t>
  </si>
  <si>
    <t xml:space="preserve">Scenario 7</t>
  </si>
  <si>
    <t xml:space="preserve">FND-02.2.04</t>
  </si>
  <si>
    <t xml:space="preserve">Security Engineer</t>
  </si>
  <si>
    <t xml:space="preserve">Admin-abuse controls configured: impersonation disabled or fully audited, and a quarterly privileged-access review procedure documented</t>
  </si>
  <si>
    <t xml:space="preserve">Config export plus review procedure doc</t>
  </si>
  <si>
    <t xml:space="preserve">Impersonation events (if enabled) produce audit records; review procedure has named owner and cadence</t>
  </si>
  <si>
    <t xml:space="preserve">Review D-M1 admin-abuse gap</t>
  </si>
  <si>
    <t xml:space="preserve">FND-02.2.05</t>
  </si>
  <si>
    <t xml:space="preserve">Exit-gate evidence bundle assembled and reviewed for Keycloak deployment task</t>
  </si>
  <si>
    <t xml:space="preserve">FND-03.1.01</t>
  </si>
  <si>
    <t xml:space="preserve">M1 security and operations</t>
  </si>
  <si>
    <t xml:space="preserve">Security</t>
  </si>
  <si>
    <t xml:space="preserve">Cross-tenant negative test suite (at least 20 LOOP 8 scenarios) running in CI: Tenant A token against every Tenant B API in M3 and M6 fails with an auditable denial</t>
  </si>
  <si>
    <t xml:space="preserve">CI suite run with 20+ cases</t>
  </si>
  <si>
    <t xml:space="preserve">100 percent of cross-tenant attempts denied and logged with tenant and user identity</t>
  </si>
  <si>
    <t xml:space="preserve">HS-1; Review D-M1 tests</t>
  </si>
  <si>
    <t xml:space="preserve">FND-03.1.02</t>
  </si>
  <si>
    <t xml:space="preserve">Keycloak hardening applied: admin console network-restricted, brute-force detection enabled, TLS enforced, secrets vaulted</t>
  </si>
  <si>
    <t xml:space="preserve">Hardening checklist with config evidence</t>
  </si>
  <si>
    <t xml:space="preserve">All four controls verified by independent reviewer</t>
  </si>
  <si>
    <t xml:space="preserve">Review G.1</t>
  </si>
  <si>
    <t xml:space="preserve">FND-03.1.03</t>
  </si>
  <si>
    <t xml:space="preserve">Authentication and admin events emitted to the platform audit path in the MOD-013 schema</t>
  </si>
  <si>
    <t xml:space="preserve">Sample audit records in audit store</t>
  </si>
  <si>
    <t xml:space="preserve">Login, logout, delete, and role-change events all present with required fields</t>
  </si>
  <si>
    <t xml:space="preserve">MOD-013</t>
  </si>
  <si>
    <t xml:space="preserve">FND-03.2.01</t>
  </si>
  <si>
    <t xml:space="preserve">Observability</t>
  </si>
  <si>
    <t xml:space="preserve">Structured auth logs with correlation IDs, login/token metrics, and alerting on failure spikes live; authentication SLO defined and measured in staging</t>
  </si>
  <si>
    <t xml:space="preserve">Dashboard and alert config links</t>
  </si>
  <si>
    <t xml:space="preserve">Alert fires in a simulated failure spike; SLO document approved</t>
  </si>
  <si>
    <t xml:space="preserve">Brief mandatory lane; Review D-M1</t>
  </si>
  <si>
    <t xml:space="preserve">FND-03.2.02</t>
  </si>
  <si>
    <t xml:space="preserve">Keycloak realm database backup and restore rehearsed on production-shaped data within RTO/RPO targets</t>
  </si>
  <si>
    <t xml:space="preserve">Restore drill report</t>
  </si>
  <si>
    <t xml:space="preserve">Restored realm authenticates all test users; drill within RTO/RPO</t>
  </si>
  <si>
    <t xml:space="preserve">NEW: identity store is Tier-0</t>
  </si>
  <si>
    <t xml:space="preserve">FND-03.2.03</t>
  </si>
  <si>
    <t xml:space="preserve">Technical Writer</t>
  </si>
  <si>
    <t xml:space="preserve">Keycloak operator runbook walked end-to-end by an engineer who did not write it</t>
  </si>
  <si>
    <t xml:space="preserve">Walkthrough sign-off</t>
  </si>
  <si>
    <t xml:space="preserve">Non-author completed all runbook procedures without assistance</t>
  </si>
  <si>
    <t xml:space="preserve">FND-03.3.01</t>
  </si>
  <si>
    <t xml:space="preserve">Deployment and docs</t>
  </si>
  <si>
    <t xml:space="preserve">Keycloak container built in CI, image signed, and included in the release bundle</t>
  </si>
  <si>
    <t xml:space="preserve">CI pipeline and bundle manifest</t>
  </si>
  <si>
    <t xml:space="preserve">Signed image present in bundle; signature verifies</t>
  </si>
  <si>
    <t xml:space="preserve">MOD-015</t>
  </si>
  <si>
    <t xml:space="preserve">FND-03.3.02</t>
  </si>
  <si>
    <t xml:space="preserve">Identity stack installed from the release bundle in the zero-egress enclave simulator with egress monitor recording zero external calls</t>
  </si>
  <si>
    <t xml:space="preserve">Enclave install log plus egress capture</t>
  </si>
  <si>
    <t xml:space="preserve">Install completes; egress capture shows zero non-local connections</t>
  </si>
  <si>
    <t xml:space="preserve">Enclave</t>
  </si>
  <si>
    <t xml:space="preserve">MOD-015; A-051</t>
  </si>
  <si>
    <t xml:space="preserve">FND-03.3.03</t>
  </si>
  <si>
    <t xml:space="preserve">Keycloak upgrade rollback rehearsed in staging</t>
  </si>
  <si>
    <t xml:space="preserve">Rollback drill report</t>
  </si>
  <si>
    <t xml:space="preserve">Rollback restores prior version with logins working; duration recorded</t>
  </si>
  <si>
    <t xml:space="preserve">FND-03.3.04</t>
  </si>
  <si>
    <t xml:space="preserve">M1 integration guide published; a second team integrated a test client from the docs alone</t>
  </si>
  <si>
    <t xml:space="preserve">Integration guide plus second-team report</t>
  </si>
  <si>
    <t xml:space="preserve">Second team completed integration with zero direct support requests</t>
  </si>
  <si>
    <t xml:space="preserve">Review D-M1 exit criteria (MOSA)</t>
  </si>
  <si>
    <t xml:space="preserve">FND-03.3.05</t>
  </si>
  <si>
    <t xml:space="preserve">Exit-gate evidence bundle assembled and reviewed for M1 security and operations task</t>
  </si>
  <si>
    <t xml:space="preserve">FND-04.1.01</t>
  </si>
  <si>
    <t xml:space="preserve">M2</t>
  </si>
  <si>
    <t xml:space="preserve">M2 data governance contracts</t>
  </si>
  <si>
    <t xml:space="preserve">Three-level specification</t>
  </si>
  <si>
    <t xml:space="preserve">Promotion criteria defined for raw-to-cleaned and cleaned-to-official, including promoting actor (job or human), triggering conditions, and reversibility rules</t>
  </si>
  <si>
    <t xml:space="preserve">Three-level governance spec section</t>
  </si>
  <si>
    <t xml:space="preserve">Both promotions specified with actor, trigger, and reversibility; approved by compliance owner</t>
  </si>
  <si>
    <t xml:space="preserve">Review H.2; PLAN M2 main-jobs</t>
  </si>
  <si>
    <t xml:space="preserve">FND-04.1.02</t>
  </si>
  <si>
    <t xml:space="preserve">Official-level immutability mechanism selected and specified (append-only store with hash-chained records)</t>
  </si>
  <si>
    <t xml:space="preserve">Immutability design doc</t>
  </si>
  <si>
    <t xml:space="preserve">Mechanism named with tamper-evidence property and verification procedure defined</t>
  </si>
  <si>
    <t xml:space="preserve">HS-4; Review H.2</t>
  </si>
  <si>
    <t xml:space="preserve">FND-04.1.03</t>
  </si>
  <si>
    <t xml:space="preserve">Correction-as-new-event model and official-record amendment/revocation lifecycle schema defined (supersession only, never in-place mutation)</t>
  </si>
  <si>
    <t xml:space="preserve">Correction/revocation schema v1</t>
  </si>
  <si>
    <t xml:space="preserve">Schema covers correct, amend, revoke with approver, reason, prior-value reference fields</t>
  </si>
  <si>
    <t xml:space="preserve">HS-2; HS-4; Scenario 12; Review H.5</t>
  </si>
  <si>
    <t xml:space="preserve">FND-04.1.04</t>
  </si>
  <si>
    <t xml:space="preserve">Copy-vs-transform-vs-reference semantics documented for how each level derives from the previous one</t>
  </si>
  <si>
    <t xml:space="preserve">Governance spec section</t>
  </si>
  <si>
    <t xml:space="preserve">Each level pair states copy, transform, or reference with rationale</t>
  </si>
  <si>
    <t xml:space="preserve">Review H.2</t>
  </si>
  <si>
    <t xml:space="preserve">FND-04.1.05</t>
  </si>
  <si>
    <t xml:space="preserve">System-of-record declaration approved per data class: statements in LRS, marts derived and rebuildable</t>
  </si>
  <si>
    <t xml:space="preserve">SoR declaration in decision register</t>
  </si>
  <si>
    <t xml:space="preserve">Every M2 data class maps to exactly one SoR; M6 and downstream teams acknowledged</t>
  </si>
  <si>
    <t xml:space="preserve">Review D-M2; Challenge Q5</t>
  </si>
  <si>
    <t xml:space="preserve">FND-04.1.06</t>
  </si>
  <si>
    <t xml:space="preserve">Retention and deletion policy documented per level, including deleted-user representation versus immutable official records (DPDP-class obligations)</t>
  </si>
  <si>
    <t xml:space="preserve">Retention/deletion policy doc</t>
  </si>
  <si>
    <t xml:space="preserve">Numeric retention per level; deleted-user handling defined for all three levels; privacy owner sign-off</t>
  </si>
  <si>
    <t xml:space="preserve">Review H.1; R-025</t>
  </si>
  <si>
    <t xml:space="preserve">FND-04.1.07</t>
  </si>
  <si>
    <t xml:space="preserve">Late-arrival window policy defined for offline batches up to 60 days old (placement by event timestamp, cutoff behavior, re-aggregation rule)</t>
  </si>
  <si>
    <t xml:space="preserve">Late-arrival policy section</t>
  </si>
  <si>
    <t xml:space="preserve">Policy states window length and deterministic placement rule; QA can derive test cases from it</t>
  </si>
  <si>
    <t xml:space="preserve">Review H.2 late arrivals</t>
  </si>
  <si>
    <t xml:space="preserve">FND-04.2.01</t>
  </si>
  <si>
    <t xml:space="preserve">Publication and adoption</t>
  </si>
  <si>
    <t xml:space="preserve">M2 governance spec and level schemas published to the contract registry and approved by the compliance owner</t>
  </si>
  <si>
    <t xml:space="preserve">FND-04.1.06, FND-13.1.01</t>
  </si>
  <si>
    <t xml:space="preserve">Registry entries plus approval record</t>
  </si>
  <si>
    <t xml:space="preserve">Spec at v1.0.0 in registry; named compliance approver recorded</t>
  </si>
  <si>
    <t xml:space="preserve">Stage 0 exit gate</t>
  </si>
  <si>
    <t xml:space="preserve">FND-04.2.02</t>
  </si>
  <si>
    <t xml:space="preserve">Statement identity enforcement rules (event ID dedup key, dual timestamps, tenant ID) adopted from the M3 envelope and specified as M2 write-time validation</t>
  </si>
  <si>
    <t xml:space="preserve">FND-07.1.01</t>
  </si>
  <si>
    <t xml:space="preserve">M2 write-contract section</t>
  </si>
  <si>
    <t xml:space="preserve">Every envelope identity field maps to an M2 write-time check with reject behavior defined</t>
  </si>
  <si>
    <t xml:space="preserve">Review D-M2 required changes; HS-3</t>
  </si>
  <si>
    <t xml:space="preserve">FND-04.2.03</t>
  </si>
  <si>
    <t xml:space="preserve">Exit-gate evidence bundle assembled and reviewed for M2 data governance contracts task</t>
  </si>
  <si>
    <t xml:space="preserve">FND-05.1.01</t>
  </si>
  <si>
    <t xml:space="preserve">Data Engineer</t>
  </si>
  <si>
    <t xml:space="preserve">LRS and three-level store build</t>
  </si>
  <si>
    <t xml:space="preserve">Store implementation</t>
  </si>
  <si>
    <t xml:space="preserve">xAPI-conformant LRS pinned version deployed via IaC with external PostgreSQL</t>
  </si>
  <si>
    <t xml:space="preserve">IaC commit plus ADL conformance test output</t>
  </si>
  <si>
    <t xml:space="preserve">LRS passes xAPI conformance suite in our environment</t>
  </si>
  <si>
    <t xml:space="preserve">PLAN M2 tools</t>
  </si>
  <si>
    <t xml:space="preserve">FND-05.1.02</t>
  </si>
  <si>
    <t xml:space="preserve">Raw-level ingestion implemented: every envelope-valid event persisted unmodified with provenance fields intact</t>
  </si>
  <si>
    <t xml:space="preserve">Ingestion code plus stored-sample diff</t>
  </si>
  <si>
    <t xml:space="preserve">Stored raw record byte-equivalent to submitted payload plus envelope; zero field loss on 1k-event fixture</t>
  </si>
  <si>
    <t xml:space="preserve">PLAN M2 main-jobs (raw)</t>
  </si>
  <si>
    <t xml:space="preserve">FND-05.1.03</t>
  </si>
  <si>
    <t xml:space="preserve">Cleaned-level promotion job implemented per criteria with deterministic dedup on event ID; re-runs are idempotent</t>
  </si>
  <si>
    <t xml:space="preserve">FND-04.1.01, FND-05.1.02</t>
  </si>
  <si>
    <t xml:space="preserve">Promotion job code plus rerun test</t>
  </si>
  <si>
    <t xml:space="preserve">Running the job twice on the same raw set produces identical cleaned state</t>
  </si>
  <si>
    <t xml:space="preserve">PLAN M2 main-jobs (cleaned); MOD-002</t>
  </si>
  <si>
    <t xml:space="preserve">FND-05.1.04</t>
  </si>
  <si>
    <t xml:space="preserve">Official-level append-only store implemented with hash-chained records and mandatory recorded approver on every write</t>
  </si>
  <si>
    <t xml:space="preserve">Store schema plus chain-verify tool output</t>
  </si>
  <si>
    <t xml:space="preserve">Chain verification passes; write without approver field rejected</t>
  </si>
  <si>
    <t xml:space="preserve">PLAN M2 main-jobs (official); HS-4</t>
  </si>
  <si>
    <t xml:space="preserve">FND-05.1.05</t>
  </si>
  <si>
    <t xml:space="preserve">Correction, amendment, and revocation write paths implemented with full audit chain (who, when, why, prior value) queryable</t>
  </si>
  <si>
    <t xml:space="preserve">FND-04.1.03, FND-05.1.04</t>
  </si>
  <si>
    <t xml:space="preserve">API plus audit query output</t>
  </si>
  <si>
    <t xml:space="preserve">All three operations produce supersession records; original remains readable with superseded status</t>
  </si>
  <si>
    <t xml:space="preserve">HS-2; HS-4; Review H.5</t>
  </si>
  <si>
    <t xml:space="preserve">FND-05.1.06</t>
  </si>
  <si>
    <t xml:space="preserve">Read-replica and mart replication path implemented with lag metrics and a published freshness SLA</t>
  </si>
  <si>
    <t xml:space="preserve">Replication config plus lag dashboard</t>
  </si>
  <si>
    <t xml:space="preserve">Replica lag metric live; SLA doc published; reports connect only to replica</t>
  </si>
  <si>
    <t xml:space="preserve">PLAN M2 main-jobs (safe copies); PLAN Rule 4</t>
  </si>
  <si>
    <t xml:space="preserve">FND-05.2.01</t>
  </si>
  <si>
    <t xml:space="preserve">Integrity test suites</t>
  </si>
  <si>
    <t xml:space="preserve">Idempotency replay test passed: identical statement submitted 100 times including inside an offline batch yields exactly one cleaned-level attempt</t>
  </si>
  <si>
    <t xml:space="preserve">Test run artifact</t>
  </si>
  <si>
    <t xml:space="preserve">Cleaned level shows exactly 1 attempt after 100 replays</t>
  </si>
  <si>
    <t xml:space="preserve">HS-3; Review D-M2 tests</t>
  </si>
  <si>
    <t xml:space="preserve">FND-05.2.02</t>
  </si>
  <si>
    <t xml:space="preserve">Late-arrival test passed: events timestamped 60 days ago reconcile correctly in cleaned-level aggregates</t>
  </si>
  <si>
    <t xml:space="preserve">FND-04.1.07, FND-05.1.03</t>
  </si>
  <si>
    <t xml:space="preserve">Aggregates match hand-computed expected values after late injection</t>
  </si>
  <si>
    <t xml:space="preserve">FND-05.2.03</t>
  </si>
  <si>
    <t xml:space="preserve">Official-record lifecycle test passed: write, amend, and revoke an official record; audit chain queryable in a simulated multi-year replay</t>
  </si>
  <si>
    <t xml:space="preserve">Full who/when/why/prior-value chain returned for all three operations</t>
  </si>
  <si>
    <t xml:space="preserve">Review D-M2 tests; Scenario 10</t>
  </si>
  <si>
    <t xml:space="preserve">FND-05.2.04</t>
  </si>
  <si>
    <t xml:space="preserve">Exit-gate evidence bundle assembled and reviewed for LRS and three-level store build task</t>
  </si>
  <si>
    <t xml:space="preserve">FND-06.1.01</t>
  </si>
  <si>
    <t xml:space="preserve">M2 security and operations</t>
  </si>
  <si>
    <t xml:space="preserve">PostgreSQL row-level security enabled on every tenant-scoped table and every read replica; cross-tenant negative tests pass</t>
  </si>
  <si>
    <t xml:space="preserve">RLS policy DDL plus negative test run</t>
  </si>
  <si>
    <t xml:space="preserve">Query as Tenant A role returns zero Tenant B rows on every table and replica</t>
  </si>
  <si>
    <t xml:space="preserve">HS-1; MOD-008; Review G.3</t>
  </si>
  <si>
    <t xml:space="preserve">FND-06.1.02</t>
  </si>
  <si>
    <t xml:space="preserve">LRS statement queries tenant-scoped by an enforced filter; a broad cross-tenant query is rejected and audited</t>
  </si>
  <si>
    <t xml:space="preserve">Enforcement code plus audit record</t>
  </si>
  <si>
    <t xml:space="preserve">Unscoped query attempt returns error and produces audit event</t>
  </si>
  <si>
    <t xml:space="preserve">Review G.3 LRS layer</t>
  </si>
  <si>
    <t xml:space="preserve">FND-06.1.03</t>
  </si>
  <si>
    <t xml:space="preserve">PII classification of raw level documented and analytics copies minimized per classification</t>
  </si>
  <si>
    <t xml:space="preserve">Classification doc plus mart column diff</t>
  </si>
  <si>
    <t xml:space="preserve">Every raw PII column classified; marts exclude or mask all columns marked restricted</t>
  </si>
  <si>
    <t xml:space="preserve">Review G.1 M3-M2 boundary; H.1</t>
  </si>
  <si>
    <t xml:space="preserve">FND-06.1.04</t>
  </si>
  <si>
    <t xml:space="preserve">Database credentials least-privileged: BI/report roles cannot write; no module role can read another module's store</t>
  </si>
  <si>
    <t xml:space="preserve">Grant matrix plus probe test output</t>
  </si>
  <si>
    <t xml:space="preserve">Write attempt from BI role fails; cross-store read from module role fails</t>
  </si>
  <si>
    <t xml:space="preserve">PLAN Rule 1; PLAN Rule 4</t>
  </si>
  <si>
    <t xml:space="preserve">FND-06.2.01</t>
  </si>
  <si>
    <t xml:space="preserve">Operations</t>
  </si>
  <si>
    <t xml:space="preserve">Backup and restore of LRS plus PostgreSQL rehearsed on a production-shaped dataset within RTO/RPO targets</t>
  </si>
  <si>
    <t xml:space="preserve">Restore completes within RTO; verification queries match source counts</t>
  </si>
  <si>
    <t xml:space="preserve">FND-06.2.02</t>
  </si>
  <si>
    <t xml:space="preserve">Schema migrations tested up and down on a production-shaped dataset</t>
  </si>
  <si>
    <t xml:space="preserve">Migration test log</t>
  </si>
  <si>
    <t xml:space="preserve">Both directions complete without data loss on the fixture set</t>
  </si>
  <si>
    <t xml:space="preserve">TST-STD data integrity</t>
  </si>
  <si>
    <t xml:space="preserve">FND-06.2.03</t>
  </si>
  <si>
    <t xml:space="preserve">Observability live: ingest counts, promotion-job success rate, replica lag, and DLQ alerts with defined SLOs</t>
  </si>
  <si>
    <t xml:space="preserve">Dashboards plus alert test</t>
  </si>
  <si>
    <t xml:space="preserve">Each alert fired in a simulated breach; SLO doc approved</t>
  </si>
  <si>
    <t xml:space="preserve">FND-06.2.04</t>
  </si>
  <si>
    <t xml:space="preserve">M2 operator runbook walked end-to-end by a non-author</t>
  </si>
  <si>
    <t xml:space="preserve">Non-author completed all procedures without assistance</t>
  </si>
  <si>
    <t xml:space="preserve">FND-06.3.01</t>
  </si>
  <si>
    <t xml:space="preserve">LRS and promotion-job containers built in CI, signed, and included in the release bundle</t>
  </si>
  <si>
    <t xml:space="preserve">Signed images in bundle; signatures verify</t>
  </si>
  <si>
    <t xml:space="preserve">FND-06.3.02</t>
  </si>
  <si>
    <t xml:space="preserve">LRS plus PostgreSQL installed from the release bundle in the zero-egress enclave simulator with zero external calls recorded</t>
  </si>
  <si>
    <t xml:space="preserve">FND-06.3.03</t>
  </si>
  <si>
    <t xml:space="preserve">M2 data dictionary and admin guide published from the governance spec</t>
  </si>
  <si>
    <t xml:space="preserve">Published docs</t>
  </si>
  <si>
    <t xml:space="preserve">Every table and level documented; doc review sign-off recorded</t>
  </si>
  <si>
    <t xml:space="preserve">FND-06.3.04</t>
  </si>
  <si>
    <t xml:space="preserve">Exit-gate evidence bundle assembled and reviewed for M2 security and operations task</t>
  </si>
  <si>
    <t xml:space="preserve">M3</t>
  </si>
  <si>
    <t xml:space="preserve">M3 event envelope contract v1</t>
  </si>
  <si>
    <t xml:space="preserve">Envelope fields</t>
  </si>
  <si>
    <t xml:space="preserve">Event ID and client idempotency key semantics defined: global uniqueness rule and deterministic dedup across retries and offline sync bursts</t>
  </si>
  <si>
    <t xml:space="preserve">Envelope spec section</t>
  </si>
  <si>
    <t xml:space="preserve">Uniqueness scope and collision behavior stated; dedup outcome deterministic for the Scenario 6 case</t>
  </si>
  <si>
    <t xml:space="preserve">HS-3; Review H.3; S-rec-4</t>
  </si>
  <si>
    <t xml:space="preserve">FND-07.1.02</t>
  </si>
  <si>
    <t xml:space="preserve">Dual timestamps defined: event time versus received time with clock-skew tolerance and late-arrival placement rules</t>
  </si>
  <si>
    <t xml:space="preserve">Both fields mandatory; placement rule consistent with FND-04.1.07 policy</t>
  </si>
  <si>
    <t xml:space="preserve">HS-3; Review H.3</t>
  </si>
  <si>
    <t xml:space="preserve">FND-07.1.03</t>
  </si>
  <si>
    <t xml:space="preserve">Mandatory tenant ID and command ID fields defined with reject-on-missing rule and audited denial format</t>
  </si>
  <si>
    <t xml:space="preserve">Event without tenant ID is rejected per spec with audit event; no default-tenant fallback exists</t>
  </si>
  <si>
    <t xml:space="preserve">HS-3; MOD-008; Review H.3</t>
  </si>
  <si>
    <t xml:space="preserve">FND-07.1.04</t>
  </si>
  <si>
    <t xml:space="preserve">Correlation ID and causation ID fields defined with propagation rules across the quiz-grade-gradebook-dashboard chain</t>
  </si>
  <si>
    <t xml:space="preserve">Envelope spec section plus propagation diagram</t>
  </si>
  <si>
    <t xml:space="preserve">Both IDs defined; propagation rule stated for every hop in the Slice A chain</t>
  </si>
  <si>
    <t xml:space="preserve">HS-3; Review H.3; LOOP 7</t>
  </si>
  <si>
    <t xml:space="preserve">FND-07.1.05</t>
  </si>
  <si>
    <t xml:space="preserve">Schema-version field defined with versioning and deprecation policy (additive vs breaking rules, sunset windows)</t>
  </si>
  <si>
    <t xml:space="preserve">Versioning policy doc</t>
  </si>
  <si>
    <t xml:space="preserve">Policy classifies change types and states the deprecation window; example migration walked through</t>
  </si>
  <si>
    <t xml:space="preserve">HS-3; HS-11; Review D-M3</t>
  </si>
  <si>
    <t xml:space="preserve">FND-07.1.06</t>
  </si>
  <si>
    <t xml:space="preserve">Provenance block defined: source identity, origin LRS, transfer batch, transfer time, transformation applied</t>
  </si>
  <si>
    <t xml:space="preserve">All five provenance fields specified with population rules for local and federated events</t>
  </si>
  <si>
    <t xml:space="preserve">HS-3; Review H.3 provenance; S-rec-4</t>
  </si>
  <si>
    <t xml:space="preserve">FND-07.1.07</t>
  </si>
  <si>
    <t xml:space="preserve">Processing-status field defined for outbox and reconciliation consumers</t>
  </si>
  <si>
    <t xml:space="preserve">Status state machine enumerated with legal transitions</t>
  </si>
  <si>
    <t xml:space="preserve">Review H.3; MOD-004</t>
  </si>
  <si>
    <t xml:space="preserve">FND-07.2.01</t>
  </si>
  <si>
    <t xml:space="preserve">Profile and publication</t>
  </si>
  <si>
    <t xml:space="preserve">xAPI profile v1 authored for Slice A vocabulary (started, answered, finished, scored) mapped to the envelope</t>
  </si>
  <si>
    <t xml:space="preserve">xAPI profile artifact</t>
  </si>
  <si>
    <t xml:space="preserve">Profile validates the four verb classes against fixture statements</t>
  </si>
  <si>
    <t xml:space="preserve">MOD-002; Review D-M8 vocabulary</t>
  </si>
  <si>
    <t xml:space="preserve">FND-07.2.02</t>
  </si>
  <si>
    <t xml:space="preserve">Envelope and event-schema ownership assigned to M3 in writing, resolving the M3/M4 contract-ownership contradiction</t>
  </si>
  <si>
    <t xml:space="preserve">Ownership decision record</t>
  </si>
  <si>
    <t xml:space="preserve">Decision names M3 as schema authority and M4c as registry custodian; both teams acknowledged</t>
  </si>
  <si>
    <t xml:space="preserve">Review D-M3/D-M4 [CONTRADICTED]</t>
  </si>
  <si>
    <t xml:space="preserve">FND-07.2.03</t>
  </si>
  <si>
    <t xml:space="preserve">Envelope contract (OpenAPI plus JSON schema plus xAPI profile) published to the contract registry at v1.0.0 with conformance suite green against a stub</t>
  </si>
  <si>
    <t xml:space="preserve">FND-07.1.07, FND-13.1.01</t>
  </si>
  <si>
    <t xml:space="preserve">Registry entry plus CI run</t>
  </si>
  <si>
    <t xml:space="preserve">Conformance suite passes against stub; contract retrievable at pinned version</t>
  </si>
  <si>
    <t xml:space="preserve">Stage 0 exit gate; Days 1-30 action 3</t>
  </si>
  <si>
    <t xml:space="preserve">FND-07.2.04</t>
  </si>
  <si>
    <t xml:space="preserve">Exit-gate evidence bundle assembled and reviewed for M3 event envelope contract task</t>
  </si>
  <si>
    <t xml:space="preserve">FND-08.1.01</t>
  </si>
  <si>
    <t xml:space="preserve">M3 ingest service build</t>
  </si>
  <si>
    <t xml:space="preserve">Stateless API and outbox</t>
  </si>
  <si>
    <t xml:space="preserve">Stateless ingest API implemented (token check, envelope validation, tenant assertion) with no instance-local state; any replica serves any request</t>
  </si>
  <si>
    <t xml:space="preserve">Service code plus statelessness test</t>
  </si>
  <si>
    <t xml:space="preserve">Requests round-robined across replicas complete correctly with one replica removed mid-test</t>
  </si>
  <si>
    <t xml:space="preserve">S-rec-4; R-012 SPOF removal</t>
  </si>
  <si>
    <t xml:space="preserve">FND-08.1.02</t>
  </si>
  <si>
    <t xml:space="preserve">Transactional outbox implemented: state change and event row written in one local transaction</t>
  </si>
  <si>
    <t xml:space="preserve">Outbox schema plus transaction test</t>
  </si>
  <si>
    <t xml:space="preserve">No code path commits state without the outbox row; verified by fault-injection test</t>
  </si>
  <si>
    <t xml:space="preserve">MOD-004</t>
  </si>
  <si>
    <t xml:space="preserve">FND-08.1.03</t>
  </si>
  <si>
    <t xml:space="preserve">Outbox relay worker implemented with at-least-once delivery, retry with backoff, and poison-message handling</t>
  </si>
  <si>
    <t xml:space="preserve">Relay code plus retry test log</t>
  </si>
  <si>
    <t xml:space="preserve">Failed publish retried per policy; poison message lands in DLQ after N attempts</t>
  </si>
  <si>
    <t xml:space="preserve">FND-08.1.04</t>
  </si>
  <si>
    <t xml:space="preserve">Idempotent write to M2 keyed on event ID: duplicate delivery produces no second record</t>
  </si>
  <si>
    <t xml:space="preserve">FND-08.1.03, FND-05.1.02</t>
  </si>
  <si>
    <t xml:space="preserve">Duplicate-delivery test run</t>
  </si>
  <si>
    <t xml:space="preserve">Two deliveries of the same event yield exactly one M2 record</t>
  </si>
  <si>
    <t xml:space="preserve">MOD-004; HS-3</t>
  </si>
  <si>
    <t xml:space="preserve">FND-08.1.05</t>
  </si>
  <si>
    <t xml:space="preserve">Validation-failure dead-letter queue implemented with alerting and operator replay tooling</t>
  </si>
  <si>
    <t xml:space="preserve">DLQ dashboard plus replay tool demo</t>
  </si>
  <si>
    <t xml:space="preserve">Invalid event lands in DLQ, alert fires, operator replays it successfully after fix</t>
  </si>
  <si>
    <t xml:space="preserve">Review D-M3 observability gap</t>
  </si>
  <si>
    <t xml:space="preserve">FND-08.1.06</t>
  </si>
  <si>
    <t xml:space="preserve">Per-tenant rate limiting and back-pressure implemented (429 with Retry-After) with limits configurable per tenant</t>
  </si>
  <si>
    <t xml:space="preserve">Load test showing 429 behavior</t>
  </si>
  <si>
    <t xml:space="preserve">One tenant at 5x quota does not degrade another tenant's p95 beyond threshold</t>
  </si>
  <si>
    <t xml:space="preserve">Review D-M3 back-pressure gap</t>
  </si>
  <si>
    <t xml:space="preserve">FND-08.2.01</t>
  </si>
  <si>
    <t xml:space="preserve">Scale-out and read side</t>
  </si>
  <si>
    <t xml:space="preserve">Horizontal scaling configured: minimum 3 replicas behind the gateway, autoscaling policy, zero-downtime rolling deploy verified</t>
  </si>
  <si>
    <t xml:space="preserve">FND-08.1.01, FND-11.1.02</t>
  </si>
  <si>
    <t xml:space="preserve">Scaling config plus rolling-deploy test</t>
  </si>
  <si>
    <t xml:space="preserve">Deploy during load test causes zero failed requests; scale-out triggered by synthetic load</t>
  </si>
  <si>
    <t xml:space="preserve">R-012; S-rec-4 SPOF removal</t>
  </si>
  <si>
    <t xml:space="preserve">FND-08.2.02</t>
  </si>
  <si>
    <t xml:space="preserve">Client store-and-forward SDK v0 published with buffering, idempotency-key generation, and replay; mandated for all producing modules</t>
  </si>
  <si>
    <t xml:space="preserve">SDK package plus mandate in registry docs</t>
  </si>
  <si>
    <t xml:space="preserve">SDK passes buffer-replay test; producer onboarding doc references it as required</t>
  </si>
  <si>
    <t xml:space="preserve">S-rec-4; Review D-M3 required changes</t>
  </si>
  <si>
    <t xml:space="preserve">FND-08.2.03</t>
  </si>
  <si>
    <t xml:space="preserve">Read API authorization matrix (role by resource by tenant) implemented with per-service scopes; no all-tenant service tokens exist</t>
  </si>
  <si>
    <t xml:space="preserve">Authz matrix doc plus negative tests</t>
  </si>
  <si>
    <t xml:space="preserve">Every matrix cell has a passing positive or negative test; token audit shows zero wildcard scopes</t>
  </si>
  <si>
    <t xml:space="preserve">Review D-M3 read authz; LOOP 8</t>
  </si>
  <si>
    <t xml:space="preserve">FND-08.2.04</t>
  </si>
  <si>
    <t xml:space="preserve">Grade-reconciliation hooks exposed: attempt ID, score version, and processing status queryable by the PLT reconciliation service</t>
  </si>
  <si>
    <t xml:space="preserve">Hook API contract in registry</t>
  </si>
  <si>
    <t xml:space="preserve">PLT team retrieved fixture attempt states through the hook in an integration test</t>
  </si>
  <si>
    <t xml:space="preserve">MOD-007 (service owned by PLT); HS-2</t>
  </si>
  <si>
    <t xml:space="preserve">FND-08.2.05</t>
  </si>
  <si>
    <t xml:space="preserve">Exit-gate evidence bundle assembled and reviewed for M3 ingest service build task</t>
  </si>
  <si>
    <t xml:space="preserve">FND-09.1.01</t>
  </si>
  <si>
    <t xml:space="preserve">M3 resilience test suites</t>
  </si>
  <si>
    <t xml:space="preserve">Chaos and load</t>
  </si>
  <si>
    <t xml:space="preserve">Chaos test passed: M3 killed for 10 minutes during simulated quiz traffic; zero event loss after recovery via SDK buffering and idempotent replay</t>
  </si>
  <si>
    <t xml:space="preserve">Chaos test report</t>
  </si>
  <si>
    <t xml:space="preserve">Event count after recovery equals events generated; zero duplicates in cleaned level</t>
  </si>
  <si>
    <t xml:space="preserve">Review D-M3 tests; Scenario 3</t>
  </si>
  <si>
    <t xml:space="preserve">FND-09.1.02</t>
  </si>
  <si>
    <t xml:space="preserve">Load test passed: sustained target statements/sec plus a 50k-event reconnect burst with p95 ingest latency and queue depth within thresholds</t>
  </si>
  <si>
    <t xml:space="preserve">Load test report</t>
  </si>
  <si>
    <t xml:space="preserve">p95 and max queue depth within documented thresholds for both phases</t>
  </si>
  <si>
    <t xml:space="preserve">Scenario 1; Scenario 6; R-012</t>
  </si>
  <si>
    <t xml:space="preserve">FND-09.1.03</t>
  </si>
  <si>
    <t xml:space="preserve">Crash-consistency test passed: process killed between database commit and publish; outbox relay completes delivery with exactly-once effect</t>
  </si>
  <si>
    <t xml:space="preserve">Fault-injection test report</t>
  </si>
  <si>
    <t xml:space="preserve">Event delivered exactly once in 100 kill-cycle iterations</t>
  </si>
  <si>
    <t xml:space="preserve">MOD-004; Scenario 3</t>
  </si>
  <si>
    <t xml:space="preserve">FND-09.1.04</t>
  </si>
  <si>
    <t xml:space="preserve">Duplicate-retry test passed: client timeout retries across the full path produce exactly one cleaned-level record</t>
  </si>
  <si>
    <t xml:space="preserve">1 record after N retries for every fixture case</t>
  </si>
  <si>
    <t xml:space="preserve">HS-3; LOOP 7</t>
  </si>
  <si>
    <t xml:space="preserve">FND-09.1.05</t>
  </si>
  <si>
    <t xml:space="preserve">Contract CI gate verified: a deliberately breaking envelope change fails the producer's build, not production</t>
  </si>
  <si>
    <t xml:space="preserve">FND-13.1.03</t>
  </si>
  <si>
    <t xml:space="preserve">CI run showing blocked build</t>
  </si>
  <si>
    <t xml:space="preserve">Breaking-change branch blocked; additive-change branch passes</t>
  </si>
  <si>
    <t xml:space="preserve">Review D-M3 contract test; HS-11</t>
  </si>
  <si>
    <t xml:space="preserve">FND-09.1.06</t>
  </si>
  <si>
    <t xml:space="preserve">Exit-gate evidence bundle assembled and reviewed for M3 resilience test suites task</t>
  </si>
  <si>
    <t xml:space="preserve">FND-10.1.01</t>
  </si>
  <si>
    <t xml:space="preserve">M3 security and operations</t>
  </si>
  <si>
    <t xml:space="preserve">Service-to-service authentication enforced for every producer (client credentials or mTLS); calls without machine identity rejected</t>
  </si>
  <si>
    <t xml:space="preserve">FND-01.1.06, FND-08.1.01</t>
  </si>
  <si>
    <t xml:space="preserve">Enforcement config plus rejection test</t>
  </si>
  <si>
    <t xml:space="preserve">Producer without service identity receives 401 on every endpoint; audit event recorded</t>
  </si>
  <si>
    <t xml:space="preserve">R-sec-G; Review G.1 tools-M3 boundary</t>
  </si>
  <si>
    <t xml:space="preserve">FND-10.1.02</t>
  </si>
  <si>
    <t xml:space="preserve">Envelope parser fuzzing suite in CI: oversize, malformed, and type-confusion inputs rejected without crash or hang</t>
  </si>
  <si>
    <t xml:space="preserve">Fuzzing CI job</t>
  </si>
  <si>
    <t xml:space="preserve">Zero crashes/hangs over the fuzz corpus; all rejects return structured errors</t>
  </si>
  <si>
    <t xml:space="preserve">TST-STD security; Review G.2</t>
  </si>
  <si>
    <t xml:space="preserve">FND-10.1.03</t>
  </si>
  <si>
    <t xml:space="preserve">Central tenant/command-resolution middleware enforced on every M3 route with fail-closed behavior</t>
  </si>
  <si>
    <t xml:space="preserve">Middleware code plus route audit</t>
  </si>
  <si>
    <t xml:space="preserve">Route inventory shows 100 percent coverage; missing-claim request denied and audited</t>
  </si>
  <si>
    <t xml:space="preserve">MOD-008 layer 1</t>
  </si>
  <si>
    <t xml:space="preserve">FND-10.1.04</t>
  </si>
  <si>
    <t xml:space="preserve">Event-write authorization enforced: only permitted producers may write given verb/activity classes; no tool can write official-record events</t>
  </si>
  <si>
    <t xml:space="preserve">Authz policy plus negative test</t>
  </si>
  <si>
    <t xml:space="preserve">Unauthorized verb-class write rejected for every producer in the matrix</t>
  </si>
  <si>
    <t xml:space="preserve">Review G.1 (tool writes official records)</t>
  </si>
  <si>
    <t xml:space="preserve">FND-10.2.01</t>
  </si>
  <si>
    <t xml:space="preserve">Metrics live with alerts: per-tenant throughput, ingest lag, outbox depth, DLQ depth; ingestion SLO defined</t>
  </si>
  <si>
    <t xml:space="preserve">Each alert fired in simulation; SLO doc approved</t>
  </si>
  <si>
    <t xml:space="preserve">Review D-M3 exit criteria</t>
  </si>
  <si>
    <t xml:space="preserve">FND-10.2.02</t>
  </si>
  <si>
    <t xml:space="preserve">End-to-end correlation ID visible in tracing from producing tool through M3 to M2 for a test event</t>
  </si>
  <si>
    <t xml:space="preserve">FND-07.1.04, FND-08.1.01</t>
  </si>
  <si>
    <t xml:space="preserve">Trace screenshot/export</t>
  </si>
  <si>
    <t xml:space="preserve">Single trace shows all three hops sharing one correlation ID</t>
  </si>
  <si>
    <t xml:space="preserve">Review D-M3 exit criteria; LOOP 7</t>
  </si>
  <si>
    <t xml:space="preserve">FND-10.2.03</t>
  </si>
  <si>
    <t xml:space="preserve">M3 runbook covering backlog drain, DLQ replay, and outbox recovery walked by a non-author</t>
  </si>
  <si>
    <t xml:space="preserve">Non-author completed all three procedures without assistance</t>
  </si>
  <si>
    <t xml:space="preserve">FND-10.3.01</t>
  </si>
  <si>
    <t xml:space="preserve">M3 containers built in CI, signed, and included in the release bundle</t>
  </si>
  <si>
    <t xml:space="preserve">FND-10.3.02</t>
  </si>
  <si>
    <t xml:space="preserve">M3 installed from the release bundle in the zero-egress enclave simulator with zero external calls recorded</t>
  </si>
  <si>
    <t xml:space="preserve">FND-10.3.03</t>
  </si>
  <si>
    <t xml:space="preserve">M3 release rollback rehearsed under a simulated event backlog</t>
  </si>
  <si>
    <t xml:space="preserve">Rollback completes with zero event loss; backlog drains after rollback</t>
  </si>
  <si>
    <t xml:space="preserve">FND-10.3.04</t>
  </si>
  <si>
    <t xml:space="preserve">M3 API docs generated from the published contract plus an integration guide sufficient for a third-party producer</t>
  </si>
  <si>
    <t xml:space="preserve">Pilot team built a conforming producer from docs alone (MOSA severability check)</t>
  </si>
  <si>
    <t xml:space="preserve">Review D-M3 exit criteria; MOSA</t>
  </si>
  <si>
    <t xml:space="preserve">FND-10.3.05</t>
  </si>
  <si>
    <t xml:space="preserve">Exit-gate evidence bundle assembled and reviewed for M3 security and operations task</t>
  </si>
  <si>
    <t xml:space="preserve">FND-11.1.01</t>
  </si>
  <si>
    <t xml:space="preserve">M4</t>
  </si>
  <si>
    <t xml:space="preserve">M4a API gateway</t>
  </si>
  <si>
    <t xml:space="preserve">Gateway build</t>
  </si>
  <si>
    <t xml:space="preserve">Gateway product decision recorded (Kong OSS vs Traefik) with rationale; pinned version deployed via IaC with declarative config in git</t>
  </si>
  <si>
    <t xml:space="preserve">Decision record plus IaC commit</t>
  </si>
  <si>
    <t xml:space="preserve">Decision signed; gateway serves Slice A routes from git-managed config</t>
  </si>
  <si>
    <t xml:space="preserve">Review D-M4 split; MOD-005</t>
  </si>
  <si>
    <t xml:space="preserve">FND-11.1.02</t>
  </si>
  <si>
    <t xml:space="preserve">Route table for Slice A services deployed; direct module-to-module ingress blocked by network policy</t>
  </si>
  <si>
    <t xml:space="preserve">Route config plus blocked-path probe</t>
  </si>
  <si>
    <t xml:space="preserve">Probe from module A to module B bypassing gateway fails; via gateway succeeds</t>
  </si>
  <si>
    <t xml:space="preserve">PLAN Rule 1; PLAN M4 main-jobs</t>
  </si>
  <si>
    <t xml:space="preserve">FND-11.1.03</t>
  </si>
  <si>
    <t xml:space="preserve">JWT validation and tenant-claim assertion enforced at the gateway on every route</t>
  </si>
  <si>
    <t xml:space="preserve">FND-01.1.02, FND-11.1.01</t>
  </si>
  <si>
    <t xml:space="preserve">Gateway plugin config plus negative test</t>
  </si>
  <si>
    <t xml:space="preserve">Request with missing/invalid token or tenant claim rejected on every route</t>
  </si>
  <si>
    <t xml:space="preserve">FND-11.1.04</t>
  </si>
  <si>
    <t xml:space="preserve">Gateway HA verified: active node killed under load with p95 request impact within threshold</t>
  </si>
  <si>
    <t xml:space="preserve">Failover test report</t>
  </si>
  <si>
    <t xml:space="preserve">Failover completes with p95 impact under documented threshold and zero 5xx beyond budget</t>
  </si>
  <si>
    <t xml:space="preserve">Review D-M4 tests (SPOF)</t>
  </si>
  <si>
    <t xml:space="preserve">FND-11.1.05</t>
  </si>
  <si>
    <t xml:space="preserve">Gateway config rollback rehearsed within stated RTO; bad-route canary check blocks deploys in CI</t>
  </si>
  <si>
    <t xml:space="preserve">Rollback drill plus CI canary run</t>
  </si>
  <si>
    <t xml:space="preserve">Deliberately bad route blocked by CI; rollback within RTO</t>
  </si>
  <si>
    <t xml:space="preserve">Review D-M4 risks (bad route)</t>
  </si>
  <si>
    <t xml:space="preserve">FND-11.2.01</t>
  </si>
  <si>
    <t xml:space="preserve">Gateway security and ops</t>
  </si>
  <si>
    <t xml:space="preserve">Rate limiting and request-size limits configured per route with documented defaults</t>
  </si>
  <si>
    <t xml:space="preserve">Limit config plus 429 test</t>
  </si>
  <si>
    <t xml:space="preserve">Over-limit request receives 429; oversize body rejected on every route</t>
  </si>
  <si>
    <t xml:space="preserve">Review D-M3/D-M4 DoS surface</t>
  </si>
  <si>
    <t xml:space="preserve">FND-11.2.02</t>
  </si>
  <si>
    <t xml:space="preserve">TLS termination configured with internal-CA certificate support for enclave deployments (no public CA dependency)</t>
  </si>
  <si>
    <t xml:space="preserve">TLS config plus enclave cert test</t>
  </si>
  <si>
    <t xml:space="preserve">Gateway serves valid TLS from internal CA in the enclave simulator</t>
  </si>
  <si>
    <t xml:space="preserve">Review D-M5 enclave gap; Q-airgap</t>
  </si>
  <si>
    <t xml:space="preserve">FND-11.2.03</t>
  </si>
  <si>
    <t xml:space="preserve">Gateway access logs with correlation IDs live; platform health dashboard published; gateway SLO defined</t>
  </si>
  <si>
    <t xml:space="preserve">Dashboard link plus SLO doc</t>
  </si>
  <si>
    <t xml:space="preserve">Health dashboard shows all Slice A services; SLO approved</t>
  </si>
  <si>
    <t xml:space="preserve">PLAN M4 main-jobs (health)</t>
  </si>
  <si>
    <t xml:space="preserve">FND-11.2.04</t>
  </si>
  <si>
    <t xml:space="preserve">Gateway installed from the release bundle in the zero-egress enclave simulator with zero external calls recorded</t>
  </si>
  <si>
    <t xml:space="preserve">FND-11.2.05</t>
  </si>
  <si>
    <t xml:space="preserve">Gateway runbook and admin docs published and walked by a non-author</t>
  </si>
  <si>
    <t xml:space="preserve">Non-author executed route-change and rollback procedures without assistance</t>
  </si>
  <si>
    <t xml:space="preserve">FND-11.2.06</t>
  </si>
  <si>
    <t xml:space="preserve">Exit-gate evidence bundle assembled and reviewed for M4a API gateway task</t>
  </si>
  <si>
    <t xml:space="preserve">FND-12.1.01</t>
  </si>
  <si>
    <t xml:space="preserve">M4b event backbone</t>
  </si>
  <si>
    <t xml:space="preserve">Backbone build</t>
  </si>
  <si>
    <t xml:space="preserve">Transport decision executed: PostgreSQL outbox plus workers as v1; NATS promotion trigger conditions (volume and latency thresholds) recorded as a decision item</t>
  </si>
  <si>
    <t xml:space="preserve">Decision register entry</t>
  </si>
  <si>
    <t xml:space="preserve">Decision signed; numeric trigger thresholds for NATS promotion stated</t>
  </si>
  <si>
    <t xml:space="preserve">Provisional decision; Challenge Q3; Review D-M4</t>
  </si>
  <si>
    <t xml:space="preserve">FND-12.1.02</t>
  </si>
  <si>
    <t xml:space="preserve">Worker framework implemented: consumer groups, at-least-once delivery, idempotent consumers keyed on envelope event ID</t>
  </si>
  <si>
    <t xml:space="preserve">FND-12.1.01, FND-08.1.03</t>
  </si>
  <si>
    <t xml:space="preserve">Framework code plus duplicate-delivery test</t>
  </si>
  <si>
    <t xml:space="preserve">Duplicate delivery to a consumer causes no double effect in 100-iteration test</t>
  </si>
  <si>
    <t xml:space="preserve">MOD-004; MOD-002</t>
  </si>
  <si>
    <t xml:space="preserve">FND-12.1.03</t>
  </si>
  <si>
    <t xml:space="preserve">Tenant-tagged messages with consumer-side tenant-context assertion; a consumer without tenant context fails closed</t>
  </si>
  <si>
    <t xml:space="preserve">Assertion code plus negative test</t>
  </si>
  <si>
    <t xml:space="preserve">Message missing tenant tag is quarantined, not processed; alert fires</t>
  </si>
  <si>
    <t xml:space="preserve">MOD-008 layer 5; Review G.3 queue layer</t>
  </si>
  <si>
    <t xml:space="preserve">FND-12.1.04</t>
  </si>
  <si>
    <t xml:space="preserve">Delivery-semantics specification published: ordering scope, retention, DLQ policy, and replay procedure</t>
  </si>
  <si>
    <t xml:space="preserve">Spec in contract registry</t>
  </si>
  <si>
    <t xml:space="preserve">All four semantics defined; consumer teams acknowledged in writing</t>
  </si>
  <si>
    <t xml:space="preserve">Review D-M4 bus semantics gap</t>
  </si>
  <si>
    <t xml:space="preserve">FND-12.1.05</t>
  </si>
  <si>
    <t xml:space="preserve">Event volume model measured from Slice A traffic, projected to target scale, and recorded against the NATS promotion triggers</t>
  </si>
  <si>
    <t xml:space="preserve">Volume model memo</t>
  </si>
  <si>
    <t xml:space="preserve">Measured and projected events/sec documented; compared against trigger thresholds</t>
  </si>
  <si>
    <t xml:space="preserve">Review D-M4 [ASSUMED] sizing</t>
  </si>
  <si>
    <t xml:space="preserve">FND-12.1.06</t>
  </si>
  <si>
    <t xml:space="preserve">Bus-failure test passed: workers stopped 30 minutes under load; signals queued and replayed with zero loss and zero duplicates</t>
  </si>
  <si>
    <t xml:space="preserve">Failure test report</t>
  </si>
  <si>
    <t xml:space="preserve">Post-recovery counts equal generated counts; zero duplicates downstream</t>
  </si>
  <si>
    <t xml:space="preserve">Review D-M4 tests</t>
  </si>
  <si>
    <t xml:space="preserve">FND-12.2.01</t>
  </si>
  <si>
    <t xml:space="preserve">Backbone ops</t>
  </si>
  <si>
    <t xml:space="preserve">Backbone observability live: queue depth, consumer lag, DLQ growth alerts; backbone SLO defined</t>
  </si>
  <si>
    <t xml:space="preserve">FND-12.2.02</t>
  </si>
  <si>
    <t xml:space="preserve">Backbone workers installed from the release bundle in the zero-egress enclave simulator with zero external calls recorded</t>
  </si>
  <si>
    <t xml:space="preserve">FND-12.2.03</t>
  </si>
  <si>
    <t xml:space="preserve">Backbone runbook (replay, DLQ handling, poison messages) published and walked by a non-author</t>
  </si>
  <si>
    <t xml:space="preserve">Non-author executed replay and DLQ procedures without assistance</t>
  </si>
  <si>
    <t xml:space="preserve">FND-12.2.04</t>
  </si>
  <si>
    <t xml:space="preserve">Exit-gate evidence bundle assembled and reviewed for M4b event backbone task</t>
  </si>
  <si>
    <t xml:space="preserve">FND-13.1.01</t>
  </si>
  <si>
    <t xml:space="preserve">M4c contract registry</t>
  </si>
  <si>
    <t xml:space="preserve">Registry build</t>
  </si>
  <si>
    <t xml:space="preserve">Contract registry implemented and deployed: git-backed machine-readable store for OpenAPI, JSON schemas, and xAPI profiles with pinned-version retrieval</t>
  </si>
  <si>
    <t xml:space="preserve">Registry deployment plus sample retrieval</t>
  </si>
  <si>
    <t xml:space="preserve">Client retrieves a contract by exact version via API; history immutable</t>
  </si>
  <si>
    <t xml:space="preserve">Review D-M4 registry gap; HS-11</t>
  </si>
  <si>
    <t xml:space="preserve">FND-13.1.02</t>
  </si>
  <si>
    <t xml:space="preserve">Semver and deprecation policy ratified with a contract-change approval workflow naming approvers</t>
  </si>
  <si>
    <t xml:space="preserve">Policy doc plus workflow config</t>
  </si>
  <si>
    <t xml:space="preserve">Change to a published contract requires recorded approval; policy covers major/minor/patch</t>
  </si>
  <si>
    <t xml:space="preserve">HS-11; MOSA</t>
  </si>
  <si>
    <t xml:space="preserve">CI compatibility gate live: a backward-incompatible change to a published contract blocks the publishing module's pipeline</t>
  </si>
  <si>
    <t xml:space="preserve">CI gate config plus blocked-run example</t>
  </si>
  <si>
    <t xml:space="preserve">Breaking change blocked automatically; additive change passes</t>
  </si>
  <si>
    <t xml:space="preserve">HS-11; Review D-M4 tests</t>
  </si>
  <si>
    <t xml:space="preserve">FND-13.1.04</t>
  </si>
  <si>
    <t xml:space="preserve">Registry populated with all Stage 0 contracts: M1 token/tenant, M3 envelope and profile, M2 governance schemas</t>
  </si>
  <si>
    <t xml:space="preserve">FND-13.1.01, FND-01.2.01, FND-07.2.03, FND-04.2.01</t>
  </si>
  <si>
    <t xml:space="preserve">Registry index listing</t>
  </si>
  <si>
    <t xml:space="preserve">All Stage 0 contracts present at v1.0.0</t>
  </si>
  <si>
    <t xml:space="preserve">FND-13.1.05</t>
  </si>
  <si>
    <t xml:space="preserve">Negative test executed: a module deployed with a deliberate breaking contract change is blocked by the gate</t>
  </si>
  <si>
    <t xml:space="preserve">Blocked-deploy CI evidence</t>
  </si>
  <si>
    <t xml:space="preserve">Deploy attempt fails at the gate with a contract-diff message</t>
  </si>
  <si>
    <t xml:space="preserve">Review D-M4 contract-conformance test</t>
  </si>
  <si>
    <t xml:space="preserve">FND-13.1.06</t>
  </si>
  <si>
    <t xml:space="preserve">Consumer-driven conformance test harness template published for all module teams</t>
  </si>
  <si>
    <t xml:space="preserve">Harness template repo</t>
  </si>
  <si>
    <t xml:space="preserve">Two module teams generated passing conformance suites from the template</t>
  </si>
  <si>
    <t xml:space="preserve">NEW: enables Loop 2 contract-first lane program-wide</t>
  </si>
  <si>
    <t xml:space="preserve">FND-13.2.01</t>
  </si>
  <si>
    <t xml:space="preserve">Registry ops</t>
  </si>
  <si>
    <t xml:space="preserve">Registry snapshot included in the release bundle and an enclave-local registry mirror verified zero-egress</t>
  </si>
  <si>
    <t xml:space="preserve">Bundle manifest plus enclave mirror test</t>
  </si>
  <si>
    <t xml:space="preserve">Enclave module resolves contracts from the local mirror with zero external calls</t>
  </si>
  <si>
    <t xml:space="preserve">MOD-015; Q-airgap</t>
  </si>
  <si>
    <t xml:space="preserve">FND-13.2.02</t>
  </si>
  <si>
    <t xml:space="preserve">Registry store backup and monitoring configured</t>
  </si>
  <si>
    <t xml:space="preserve">Backup config plus restore test</t>
  </si>
  <si>
    <t xml:space="preserve">Restore reproduces full contract history</t>
  </si>
  <si>
    <t xml:space="preserve">FND-13.2.03</t>
  </si>
  <si>
    <t xml:space="preserve">Publishing and consuming guide written so a third party can implement a module from the registry alone</t>
  </si>
  <si>
    <t xml:space="preserve">Published guide</t>
  </si>
  <si>
    <t xml:space="preserve">Independent reviewer confirms a module contract is implementable from the guide plus registry only</t>
  </si>
  <si>
    <t xml:space="preserve">MOSA (HS-11); Review D-M4</t>
  </si>
  <si>
    <t xml:space="preserve">FND-13.2.04</t>
  </si>
  <si>
    <t xml:space="preserve">Exit-gate evidence bundle assembled and reviewed for M4c contract registry task</t>
  </si>
  <si>
    <t xml:space="preserve">FND-14.1.01</t>
  </si>
  <si>
    <t xml:space="preserve">M5</t>
  </si>
  <si>
    <t xml:space="preserve">M5 tenancy and provisioning</t>
  </si>
  <si>
    <t xml:space="preserve">Tenancy and site build</t>
  </si>
  <si>
    <t xml:space="preserve">LMS tenancy topology decision recorded per the hybrid model: instance-per-tenant Moodle for SaaS tenants, dedicated instance per enclave command</t>
  </si>
  <si>
    <t xml:space="preserve">Decision signed; provisioning, branding, and M7 registration implications enumerated</t>
  </si>
  <si>
    <t xml:space="preserve">Review D-M5; provisional tenancy decision</t>
  </si>
  <si>
    <t xml:space="preserve">FND-14.1.02</t>
  </si>
  <si>
    <t xml:space="preserve">Moodle pinned LTS deployed via IaC with external database and object storage</t>
  </si>
  <si>
    <t xml:space="preserve">IaC commit plus running site</t>
  </si>
  <si>
    <t xml:space="preserve">Site serves a test course; version pinned in IaC</t>
  </si>
  <si>
    <t xml:space="preserve">PLAN M5 main-jobs</t>
  </si>
  <si>
    <t xml:space="preserve">FND-14.1.03</t>
  </si>
  <si>
    <t xml:space="preserve">Per-tenant provisioning automation: a new branded course site provisioned from code in under the stated time</t>
  </si>
  <si>
    <t xml:space="preserve">Timed provisioning run log</t>
  </si>
  <si>
    <t xml:space="preserve">Second tenant site fully provisioned by automation within target time</t>
  </si>
  <si>
    <t xml:space="preserve">Review D-M5 exit criteria</t>
  </si>
  <si>
    <t xml:space="preserve">FND-14.1.04</t>
  </si>
  <si>
    <t xml:space="preserve">Frontend Engineer</t>
  </si>
  <si>
    <t xml:space="preserve">Per-tenant branding mechanism implemented (theme, logo, name) with no cross-tenant bleed</t>
  </si>
  <si>
    <t xml:space="preserve">Branded screenshots for two tenants</t>
  </si>
  <si>
    <t xml:space="preserve">Both tenant sites show only their own branding assets</t>
  </si>
  <si>
    <t xml:space="preserve">PLAN M5 main-jobs (branding)</t>
  </si>
  <si>
    <t xml:space="preserve">FND-14.1.05</t>
  </si>
  <si>
    <t xml:space="preserve">Supported-LMS matrix v1 published: certified Moodle version range and configuration; Canvas and Open edX rows tagged [DEFERRED-Stage2]</t>
  </si>
  <si>
    <t xml:space="preserve">Published matrix</t>
  </si>
  <si>
    <t xml:space="preserve">Matrix states brand, version range, and certified config; referenced by COR M7 plan</t>
  </si>
  <si>
    <t xml:space="preserve">Review D-M5 version matrix gap</t>
  </si>
  <si>
    <t xml:space="preserve">FND-14.1.06</t>
  </si>
  <si>
    <t xml:space="preserve">Keycloak OIDC SSO login to Moodle verified per tenant</t>
  </si>
  <si>
    <t xml:space="preserve">FND-02.1.03, FND-14.1.03</t>
  </si>
  <si>
    <t xml:space="preserve">SSO test evidence for two tenants</t>
  </si>
  <si>
    <t xml:space="preserve">User of Tenant A authenticates via Keycloak into Tenant A site only</t>
  </si>
  <si>
    <t xml:space="preserve">PLAN M1/M5 integration</t>
  </si>
  <si>
    <t xml:space="preserve">FND-14.2.01</t>
  </si>
  <si>
    <t xml:space="preserve">Tenancy tests</t>
  </si>
  <si>
    <t xml:space="preserve">Two-tenant pilot passed: two branded sites on one EdVidura backend with roster, launch, grades, and reports verified never crossing tenants</t>
  </si>
  <si>
    <t xml:space="preserve">Two-tenant test report</t>
  </si>
  <si>
    <t xml:space="preserve">Zero cross-tenant rows or launches across all four flows</t>
  </si>
  <si>
    <t xml:space="preserve">Review D-M5 tests; Scenario 2 class</t>
  </si>
  <si>
    <t xml:space="preserve">FND-14.2.02</t>
  </si>
  <si>
    <t xml:space="preserve">Course-copy test passed: a course containing EdVidura deep links copied; links resolve safely with no cross-tenant content leak</t>
  </si>
  <si>
    <t xml:space="preserve">Course-copy test report</t>
  </si>
  <si>
    <t xml:space="preserve">Copied links resolve to correct tenant scope or fail safely; zero foreign-tenant content</t>
  </si>
  <si>
    <t xml:space="preserve">Review D-M5 tests; LOOP 8</t>
  </si>
  <si>
    <t xml:space="preserve">FND-14.2.03</t>
  </si>
  <si>
    <t xml:space="preserve">Pre-upgrade smoke suite (launch, grade, roster) automated and documented for operators to run before any LMS upgrade</t>
  </si>
  <si>
    <t xml:space="preserve">Smoke suite repo plus run log</t>
  </si>
  <si>
    <t xml:space="preserve">Suite runs green on the certified configuration in under 30 minutes</t>
  </si>
  <si>
    <t xml:space="preserve">Review D-M5 required changes</t>
  </si>
  <si>
    <t xml:space="preserve">FND-14.2.04</t>
  </si>
  <si>
    <t xml:space="preserve">Exit-gate evidence bundle assembled and reviewed for M5 tenancy and provisioning task</t>
  </si>
  <si>
    <t xml:space="preserve">FND-15.1.01</t>
  </si>
  <si>
    <t xml:space="preserve">Product Manager</t>
  </si>
  <si>
    <t xml:space="preserve">M5 operations and security</t>
  </si>
  <si>
    <t xml:space="preserve">Operations policy</t>
  </si>
  <si>
    <t xml:space="preserve">LMS operations ownership decision recorded (EdVidura-hosted vs customer-hosted) with support scope, upgrade cadence, and incident responsibilities</t>
  </si>
  <si>
    <t xml:space="preserve">Ownership, cadence, and incident RACI stated per deployment class</t>
  </si>
  <si>
    <t xml:space="preserve">Review D-M5 unowned ops gap</t>
  </si>
  <si>
    <t xml:space="preserve">FND-15.1.02</t>
  </si>
  <si>
    <t xml:space="preserve">Grade system-of-record policy documented with M7/M8: EdVidura score authoritative, LMS gradebook a synchronized projection, divergence states enumerated</t>
  </si>
  <si>
    <t xml:space="preserve">Grade SoR policy doc</t>
  </si>
  <si>
    <t xml:space="preserve">Policy states SoR, the five H.4 invariants, and pending-passback states; COR team acknowledged</t>
  </si>
  <si>
    <t xml:space="preserve">HS-2; Review H.4; MOD-007</t>
  </si>
  <si>
    <t xml:space="preserve">FND-15.1.03</t>
  </si>
  <si>
    <t xml:space="preserve">Grade-divergence alerting hook implemented on the M5 side for consumption by the PLT reconciliation service</t>
  </si>
  <si>
    <t xml:space="preserve">Hook contract in registry plus integration test</t>
  </si>
  <si>
    <t xml:space="preserve">PLT test harness reads gradebook state through the hook for fixture courses</t>
  </si>
  <si>
    <t xml:space="preserve">MOD-007 (service owned by PLT)</t>
  </si>
  <si>
    <t xml:space="preserve">FND-15.1.04</t>
  </si>
  <si>
    <t xml:space="preserve">Moodle hardening baseline applied: plugin allowlist with no runtime downloads, admin lockdown, secrets vaulted, TLS via internal CA capability</t>
  </si>
  <si>
    <t xml:space="preserve">Hardening checklist evidence</t>
  </si>
  <si>
    <t xml:space="preserve">All four controls verified; plugin install from network disabled</t>
  </si>
  <si>
    <t xml:space="preserve">Review G.1; D-M5 enclave gap</t>
  </si>
  <si>
    <t xml:space="preserve">FND-15.1.05</t>
  </si>
  <si>
    <t xml:space="preserve">Moodle backup and restore rehearsed including course data on a production-shaped site</t>
  </si>
  <si>
    <t xml:space="preserve">Restored site passes the smoke suite; drill within RTO/RPO</t>
  </si>
  <si>
    <t xml:space="preserve">FND-15.2.01</t>
  </si>
  <si>
    <t xml:space="preserve">LMS ops and deployment</t>
  </si>
  <si>
    <t xml:space="preserve">LMS-upgrade canary executed against the next Moodle LTS with breakages documented before adoption</t>
  </si>
  <si>
    <t xml:space="preserve">Canary run report</t>
  </si>
  <si>
    <t xml:space="preserve">Launch/grade/roster suite results on next LTS published with go/no-go recommendation</t>
  </si>
  <si>
    <t xml:space="preserve">Review D-M5 upgrade canary</t>
  </si>
  <si>
    <t xml:space="preserve">FND-15.2.02</t>
  </si>
  <si>
    <t xml:space="preserve">M5 observability live: availability, login and launch error metrics, alerting; LMS SLO defined</t>
  </si>
  <si>
    <t xml:space="preserve">Alerts fire in simulated outage; SLO doc approved</t>
  </si>
  <si>
    <t xml:space="preserve">FND-15.2.03</t>
  </si>
  <si>
    <t xml:space="preserve">Moodle image built in CI and included in the release bundle</t>
  </si>
  <si>
    <t xml:space="preserve">Signed image in bundle; signature verifies</t>
  </si>
  <si>
    <t xml:space="preserve">FND-15.2.04</t>
  </si>
  <si>
    <t xml:space="preserve">Moodle installed from the release bundle in the zero-egress enclave simulator (no external plugin, update, or font calls) with zero egress recorded</t>
  </si>
  <si>
    <t xml:space="preserve">FND-15.2.05</t>
  </si>
  <si>
    <t xml:space="preserve">M5 admin guide, operator runbook, and P4 training notes published and walked by a non-author</t>
  </si>
  <si>
    <t xml:space="preserve">Docs plus walkthrough sign-off</t>
  </si>
  <si>
    <t xml:space="preserve">Non-author completed tenant-provisioning and restore procedures from docs alone</t>
  </si>
  <si>
    <t xml:space="preserve">FND-15.2.06</t>
  </si>
  <si>
    <t xml:space="preserve">Exit-gate evidence bundle assembled and reviewed for M5 operations and security task</t>
  </si>
  <si>
    <t xml:space="preserve">FND-16.1.01</t>
  </si>
  <si>
    <t xml:space="preserve">M6</t>
  </si>
  <si>
    <t xml:space="preserve">BI Engineer</t>
  </si>
  <si>
    <t xml:space="preserve">M6 reports base bootstrap</t>
  </si>
  <si>
    <t xml:space="preserve">Metabase platform</t>
  </si>
  <si>
    <t xml:space="preserve">Metabase OSS pinned version deployed containerized with an external PostgreSQL app-DB (never H2), served over HTTPS behind the gateway</t>
  </si>
  <si>
    <t xml:space="preserve">IaC commit plus running instance</t>
  </si>
  <si>
    <t xml:space="preserve">Instance uses external app-DB; reachable only via gateway HTTPS</t>
  </si>
  <si>
    <t xml:space="preserve">PLAN M6 main-jobs; provisional Metabase-OSS decision</t>
  </si>
  <si>
    <t xml:space="preserve">FND-16.1.02</t>
  </si>
  <si>
    <t xml:space="preserve">Keycloak SSO via OIDC configured for Metabase with group and role mapping tested</t>
  </si>
  <si>
    <t xml:space="preserve">FND-02.1.03, FND-16.1.01</t>
  </si>
  <si>
    <t xml:space="preserve">SSO config plus mapping test</t>
  </si>
  <si>
    <t xml:space="preserve">Users land in the correct Metabase group per Keycloak role for two test tenants</t>
  </si>
  <si>
    <t xml:space="preserve">PLAN M6; Review D-M6 embed auth gap</t>
  </si>
  <si>
    <t xml:space="preserve">FND-16.1.03</t>
  </si>
  <si>
    <t xml:space="preserve">Metabase environment config managed as code (MB_* variables in the IaC repo) with resource sizing (JVM heap vs concurrent users) documented</t>
  </si>
  <si>
    <t xml:space="preserve">IaC commit plus sizing memo</t>
  </si>
  <si>
    <t xml:space="preserve">No console-only config deltas; sizing memo states heap per concurrency tier</t>
  </si>
  <si>
    <t xml:space="preserve">Checklist prompt ANA-01 (platform part)</t>
  </si>
  <si>
    <t xml:space="preserve">FND-16.1.04</t>
  </si>
  <si>
    <t xml:space="preserve">Metabase app-DB backup implemented with restore test and dashboard export-as-code procedure</t>
  </si>
  <si>
    <t xml:space="preserve">Restore drill plus export artifact</t>
  </si>
  <si>
    <t xml:space="preserve">Restored instance serves existing questions; export re-imports cleanly</t>
  </si>
  <si>
    <t xml:space="preserve">FND-16.1.05</t>
  </si>
  <si>
    <t xml:space="preserve">Read-replica connections only: negative test proves BI credentials cannot reach the live write database</t>
  </si>
  <si>
    <t xml:space="preserve">FND-05.1.06, FND-06.1.04</t>
  </si>
  <si>
    <t xml:space="preserve">Negative test run</t>
  </si>
  <si>
    <t xml:space="preserve">Connection attempt from Metabase credentials to the write DB fails at the DB grant layer</t>
  </si>
  <si>
    <t xml:space="preserve">PLAN Rule 4; Review D-M6</t>
  </si>
  <si>
    <t xml:space="preserve">FND-16.1.06</t>
  </si>
  <si>
    <t xml:space="preserve">Database-level tenant isolation enforced for the BI role via RLS on replicas and marts; Scenario 2 cross-tenant negative test executed</t>
  </si>
  <si>
    <t xml:space="preserve">FND-06.1.01, FND-16.1.05</t>
  </si>
  <si>
    <t xml:space="preserve">RLS policy plus Scenario 2 test report</t>
  </si>
  <si>
    <t xml:space="preserve">Tenant A BI session returns zero Tenant B rows via SQL, saved question, and export paths</t>
  </si>
  <si>
    <t xml:space="preserve">HS-1; MOD-008; Scenario 2</t>
  </si>
  <si>
    <t xml:space="preserve">FND-16.2.01</t>
  </si>
  <si>
    <t xml:space="preserve">Embedding and operations</t>
  </si>
  <si>
    <t xml:space="preserve">Signed static embedding enabled with tenant ID sourced from a server-side JWT only; client-parameter tampering test passed</t>
  </si>
  <si>
    <t xml:space="preserve">Embed config plus tamper test</t>
  </si>
  <si>
    <t xml:space="preserve">Modified client-side tenant parameter does not change returned data scope</t>
  </si>
  <si>
    <t xml:space="preserve">Provisional embedding decision; Review G.2 AS-4</t>
  </si>
  <si>
    <t xml:space="preserve">FND-16.2.02</t>
  </si>
  <si>
    <t xml:space="preserve">Metabase upgrade procedure with staging rehearsal and rollback documented and executed once</t>
  </si>
  <si>
    <t xml:space="preserve">Upgrade drill report</t>
  </si>
  <si>
    <t xml:space="preserve">Upgrade and rollback both complete in staging with questions intact</t>
  </si>
  <si>
    <t xml:space="preserve">FND-16.2.03</t>
  </si>
  <si>
    <t xml:space="preserve">Metabase installed offline from the release bundle in the zero-egress enclave simulator with update pings, external fonts, and map tiles disabled; egress test run against Metabase specifically</t>
  </si>
  <si>
    <t xml:space="preserve">Enclave install log plus Metabase egress capture</t>
  </si>
  <si>
    <t xml:space="preserve">Zero non-local connections from the Metabase container during a 24h soak</t>
  </si>
  <si>
    <t xml:space="preserve">MOD-015; Checklist prompt ANA-01 enclave variant</t>
  </si>
  <si>
    <t xml:space="preserve">FND-16.2.04</t>
  </si>
  <si>
    <t xml:space="preserve">Metabase observability live: app-DB monitoring, health checks, slow-query log baseline; operator runbook published</t>
  </si>
  <si>
    <t xml:space="preserve">Dashboards plus runbook</t>
  </si>
  <si>
    <t xml:space="preserve">Health alerts fire in simulation; runbook walked by a non-author</t>
  </si>
  <si>
    <t xml:space="preserve">FND-16.2.05</t>
  </si>
  <si>
    <t xml:space="preserve">Program Manager</t>
  </si>
  <si>
    <t xml:space="preserve">Cross-reference recorded in the coverage register: marts, semantic layer, dashboards, alerts, and BI ops are owned by ANA (ANA-01 to ANA-09); FND delivers platform bootstrap, replica connections, Rule-4 enforcement, and deployment hooks only</t>
  </si>
  <si>
    <t xml:space="preserve">Coverage register entry</t>
  </si>
  <si>
    <t xml:space="preserve">Register entry lists the FND/ANA boundary with no duplicated items in either file</t>
  </si>
  <si>
    <t xml:space="preserve">NEW: category boundary per checklist prompt Loop 3</t>
  </si>
  <si>
    <t xml:space="preserve">FND-16.2.06</t>
  </si>
  <si>
    <t xml:space="preserve">Exit-gate evidence bundle assembled and reviewed for M6 reports base bootstrap task</t>
  </si>
  <si>
    <t xml:space="preserve">COR-01.1.01</t>
  </si>
  <si>
    <t xml:space="preserve">COR</t>
  </si>
  <si>
    <t xml:space="preserve">M7</t>
  </si>
  <si>
    <t xml:space="preserve">M7 LTI contracts and library adoption</t>
  </si>
  <si>
    <t xml:space="preserve">Launch and claims contract</t>
  </si>
  <si>
    <t xml:space="preserve">LTI 1.3 launch claims contract published to the contract registry covering id_token claim set, tenant binding, and deployment-id binding, with conformance tests written before implementation</t>
  </si>
  <si>
    <t xml:space="preserve">FND-01.1.02, FND-07.1.01</t>
  </si>
  <si>
    <t xml:space="preserve">Versioned contract in contract registry with conformance test suite</t>
  </si>
  <si>
    <t xml:space="preserve">Contract v1 merged and conformance tests execute against a sample launch payload</t>
  </si>
  <si>
    <t xml:space="preserve">PLAN M7 main-jobs; Review D-M7; MOD-002</t>
  </si>
  <si>
    <t xml:space="preserve">COR-01.1.02</t>
  </si>
  <si>
    <t xml:space="preserve">LTI-role to EdVidura-role mapping table defined with explicit precedence rule against M1/Keycloak roles and a rejection rule for unexpected role values</t>
  </si>
  <si>
    <t xml:space="preserve">Role-mapping table in contract repo</t>
  </si>
  <si>
    <t xml:space="preserve">Every LTI core role maps to exactly one EdVidura role and unknown roles map to reject-with-audit</t>
  </si>
  <si>
    <t xml:space="preserve">Review D-M7 required-changes</t>
  </si>
  <si>
    <t xml:space="preserve">COR-01.1.03</t>
  </si>
  <si>
    <t xml:space="preserve">Deep-linking contract drafted for quiz, eBook, and skill-test content-item types with the rule that the LMS stores only a link/ID per Rule 1</t>
  </si>
  <si>
    <t xml:space="preserve">Deep-linking contract in contract registry</t>
  </si>
  <si>
    <t xml:space="preserve">Contract enumerates all three content-item types and forbids content payload storage in the LMS</t>
  </si>
  <si>
    <t xml:space="preserve">PLAN M7 main-jobs; PLAN Rule 1</t>
  </si>
  <si>
    <t xml:space="preserve">COR-01.1.04</t>
  </si>
  <si>
    <t xml:space="preserve">AGS grade-passback contract published declaring M8/LRS as grade source of truth and the LMS gradebook as a reconciled projection, with idempotency key (lineitem, user, attempt)</t>
  </si>
  <si>
    <t xml:space="preserve">Passback contract in contract registry</t>
  </si>
  <si>
    <t xml:space="preserve">Source-of-truth declaration and idempotency key present and reviewed by architecture board</t>
  </si>
  <si>
    <t xml:space="preserve">Scenario 3; A-005; MOD-007</t>
  </si>
  <si>
    <t xml:space="preserve">COR-01.1.05</t>
  </si>
  <si>
    <t xml:space="preserve">NRPS roster contract published and roster-sync ownership decision recorded: M7 owns roster synchronization and M9 consumes it, resolving the M7/M9 duplication</t>
  </si>
  <si>
    <t xml:space="preserve">Roster contract plus signed decision record</t>
  </si>
  <si>
    <t xml:space="preserve">Decision record names M7 as sole roster-sync owner and M9 design references it</t>
  </si>
  <si>
    <t xml:space="preserve">Review D-M7 gap roster; D-M9 gap</t>
  </si>
  <si>
    <t xml:space="preserve">COR-01.1.06</t>
  </si>
  <si>
    <t xml:space="preserve">Course-copy behavior specification written covering deep-link and lineitem duplication on LMS course copy, including the cross-tenant copy prohibition</t>
  </si>
  <si>
    <t xml:space="preserve">Course-copy spec in contract repo</t>
  </si>
  <si>
    <t xml:space="preserve">Spec defines behavior for same-tenant copy, cross-tenant copy, and re-launch of copied links</t>
  </si>
  <si>
    <t xml:space="preserve">Review LOOP 8 course-copy; D-M8 gap</t>
  </si>
  <si>
    <t xml:space="preserve">COR-01.2.01</t>
  </si>
  <si>
    <t xml:space="preserve">Library adoption decision</t>
  </si>
  <si>
    <t xml:space="preserve">Maintained open-source LTI 1.3 library selected via decision record comparing at least two candidates on maintenance cadence, 1EdTech certification history, and AGS/NRPS coverage</t>
  </si>
  <si>
    <t xml:space="preserve">Decision record merged with named approver; custom-build path explicitly rejected or justified per Rule 6</t>
  </si>
  <si>
    <t xml:space="preserve">Review D-M7 required-changes; Brief provisional decision</t>
  </si>
  <si>
    <t xml:space="preserve">COR-01.2.02</t>
  </si>
  <si>
    <t xml:space="preserve">Custom-code boundary document written separating library-owned protocol logic from EdVidura wrapper code to scope the external security review</t>
  </si>
  <si>
    <t xml:space="preserve">Boundary document in architecture repo</t>
  </si>
  <si>
    <t xml:space="preserve">Every launch-path source file classified as library or wrapper with review owner assigned</t>
  </si>
  <si>
    <t xml:space="preserve">Review D-M7; Rule 6</t>
  </si>
  <si>
    <t xml:space="preserve">COR-01.2.03</t>
  </si>
  <si>
    <t xml:space="preserve">Exit-gate evidence bundle assembled and reviewed for task COR-01 (M7 LTI contracts and library adoption)</t>
  </si>
  <si>
    <t xml:space="preserve">Reviewed evidence bundle in program repository</t>
  </si>
  <si>
    <t xml:space="preserve">Bundle links evidence for every item in the task and review sign-off is recorded</t>
  </si>
  <si>
    <t xml:space="preserve">LOOP 2 exit-gate rule</t>
  </si>
  <si>
    <t xml:space="preserve">COR-02.1.01</t>
  </si>
  <si>
    <t xml:space="preserve">M7 launch path build</t>
  </si>
  <si>
    <t xml:space="preserve">Core launch flow</t>
  </si>
  <si>
    <t xml:space="preserve">OIDC third-party-initiated login and LTI 1.3 launch validation implemented using the selected maintained library with state, nonce, and id_token signature verification</t>
  </si>
  <si>
    <t xml:space="preserve">COR-01.1.01, COR-01.2.01</t>
  </si>
  <si>
    <t xml:space="preserve">Merged code plus passing launch integration test against Moodle</t>
  </si>
  <si>
    <t xml:space="preserve">Test launch from certified Moodle succeeds and tampered id_token is rejected</t>
  </si>
  <si>
    <t xml:space="preserve">PLAN M7 main-jobs; Review D-M7</t>
  </si>
  <si>
    <t xml:space="preserve">COR-02.1.02</t>
  </si>
  <si>
    <t xml:space="preserve">Replay and nonce store implemented with TTL-bounded persistence so a replayed or duplicate launch is rejected and written to the audit log</t>
  </si>
  <si>
    <t xml:space="preserve">Nonce store code plus replay rejection test</t>
  </si>
  <si>
    <t xml:space="preserve">Replayed launch within TTL rejected with audit record; nonce entries expire after TTL</t>
  </si>
  <si>
    <t xml:space="preserve">Review D-M7 gap replay; G security plan</t>
  </si>
  <si>
    <t xml:space="preserve">COR-02.1.03</t>
  </si>
  <si>
    <t xml:space="preserve">Deployment-id binding enforced: launches accepted only for registered (issuer, client_id, deployment_id) tuples bound to a single tenant</t>
  </si>
  <si>
    <t xml:space="preserve">Registration model code plus wrong-deployment-id rejection test</t>
  </si>
  <si>
    <t xml:space="preserve">Launch with unregistered or cross-tenant deployment_id rejected with audit record</t>
  </si>
  <si>
    <t xml:space="preserve">Review D-M7 gap deployment-ID</t>
  </si>
  <si>
    <t xml:space="preserve">COR-02.1.04</t>
  </si>
  <si>
    <t xml:space="preserve">Platform JWKS handling implemented with cached key fetch, rotation tolerance, and bounded clock skew, plus a manual JWKS import path for zero-egress enclaves</t>
  </si>
  <si>
    <t xml:space="preserve">JWKS client code plus rotated-key test</t>
  </si>
  <si>
    <t xml:space="preserve">Launch succeeds within one cache refresh after platform key rotation; enclave import documented and tested</t>
  </si>
  <si>
    <t xml:space="preserve">Review D-M7 gap JWKS; A-051</t>
  </si>
  <si>
    <t xml:space="preserve">COR-02.1.05</t>
  </si>
  <si>
    <t xml:space="preserve">Iframe session-establishment strategy implemented for blocked third-party cookies using Storage Access API with top-level redirect fallback</t>
  </si>
  <si>
    <t xml:space="preserve">Session strategy code plus Safari and managed-browser test evidence</t>
  </si>
  <si>
    <t xml:space="preserve">Launch completes in an iframe with third-party cookies disabled on Safari and Chrome managed profile</t>
  </si>
  <si>
    <t xml:space="preserve">Review D-M7 risk cookie/iframe; R-016</t>
  </si>
  <si>
    <t xml:space="preserve">COR-02.1.06</t>
  </si>
  <si>
    <t xml:space="preserve">Role mapping enforced at launch per the contract table with unexpected role values rejected and audited</t>
  </si>
  <si>
    <t xml:space="preserve">COR-01.1.02, COR-02.1.01</t>
  </si>
  <si>
    <t xml:space="preserve">Role-mapping middleware plus negative test</t>
  </si>
  <si>
    <t xml:space="preserve">Launch carrying an unmapped role value is rejected with an audit record naming the value</t>
  </si>
  <si>
    <t xml:space="preserve">Review D-M7 gap roles; LOOP 8</t>
  </si>
  <si>
    <t xml:space="preserve">COR-02.2.01</t>
  </si>
  <si>
    <t xml:space="preserve">Deep linking and roster</t>
  </si>
  <si>
    <t xml:space="preserve">Deep-linking flow implemented: teacher selects a specific quiz, book, or skill test and the content-item response returns only a link/ID to the LMS</t>
  </si>
  <si>
    <t xml:space="preserve">COR-01.1.03, COR-02.1.01</t>
  </si>
  <si>
    <t xml:space="preserve">Deep-link round-trip test against Moodle</t>
  </si>
  <si>
    <t xml:space="preserve">Selected resource launches from the stored link and LMS database contains no content payload</t>
  </si>
  <si>
    <t xml:space="preserve">COR-02.2.02</t>
  </si>
  <si>
    <t xml:space="preserve">NRPS roster pull implemented with pagination and tenant-scoped storage of membership records</t>
  </si>
  <si>
    <t xml:space="preserve">COR-01.1.05, COR-02.1.01</t>
  </si>
  <si>
    <t xml:space="preserve">Roster sync code plus paginated fetch test</t>
  </si>
  <si>
    <t xml:space="preserve">Roster of a 200-member fixture course lands complete with tenant ID on every row</t>
  </si>
  <si>
    <t xml:space="preserve">PLAN M7 main-jobs</t>
  </si>
  <si>
    <t xml:space="preserve">COR-02.2.03</t>
  </si>
  <si>
    <t xml:space="preserve">Course-copy handling implemented per specification with a negative test proving copied deep links never resolve across tenants</t>
  </si>
  <si>
    <t xml:space="preserve">COR-01.1.06, COR-02.2.01</t>
  </si>
  <si>
    <t xml:space="preserve">Course-copy test suite output</t>
  </si>
  <si>
    <t xml:space="preserve">Same-tenant copy relinks per spec; cross-tenant copy launch is rejected with audit record</t>
  </si>
  <si>
    <t xml:space="preserve">Review LOOP 8 course-copy</t>
  </si>
  <si>
    <t xml:space="preserve">COR-02.2.04</t>
  </si>
  <si>
    <t xml:space="preserve">Exit-gate evidence bundle assembled and reviewed for task COR-02 (M7 launch path build)</t>
  </si>
  <si>
    <t xml:space="preserve">COR-03.1.01</t>
  </si>
  <si>
    <t xml:space="preserve">M7 grade passback and reconciliation</t>
  </si>
  <si>
    <t xml:space="preserve">AGS passback service</t>
  </si>
  <si>
    <t xml:space="preserve">AGS OAuth2 client-credentials token management implemented per platform registration with token caching and refresh-on-expiry</t>
  </si>
  <si>
    <t xml:space="preserve">AGS token client code plus expiry test</t>
  </si>
  <si>
    <t xml:space="preserve">Expired token triggers exactly one refresh and the passback call succeeds without duplication</t>
  </si>
  <si>
    <t xml:space="preserve">Review D-M7 gap AGS token</t>
  </si>
  <si>
    <t xml:space="preserve">COR-03.1.02</t>
  </si>
  <si>
    <t xml:space="preserve">Persistent passback queue built on the transactional outbox with idempotent AGS score submission keyed by (lineitem, user, attempt)</t>
  </si>
  <si>
    <t xml:space="preserve">FND-03.1.01, COR-03.1.01</t>
  </si>
  <si>
    <t xml:space="preserve">Outbox consumer code plus duplicate-delivery test</t>
  </si>
  <si>
    <t xml:space="preserve">Same outbox message delivered twice produces exactly one gradebook line update</t>
  </si>
  <si>
    <t xml:space="preserve">MOD-004; Scenario 3 fix</t>
  </si>
  <si>
    <t xml:space="preserve">COR-03.1.03</t>
  </si>
  <si>
    <t xml:space="preserve">Bounded retry with exponential backoff and a dead-letter queue with alerting implemented for failed passback attempts</t>
  </si>
  <si>
    <t xml:space="preserve">Retry policy config plus dead-letter alert firing in test</t>
  </si>
  <si>
    <t xml:space="preserve">After max attempts the item lands in the dead-letter queue and an alert fires within 5 minutes</t>
  </si>
  <si>
    <t xml:space="preserve">Scenario 3 required-change b</t>
  </si>
  <si>
    <t xml:space="preserve">COR-03.1.04</t>
  </si>
  <si>
    <t xml:space="preserve">Immutable per-attempt grade-delivery audit record implemented storing submission hash, xAPI statement ID, every passback attempt, and each LMS response</t>
  </si>
  <si>
    <t xml:space="preserve">COR-03.1.02, PLT-02.1.01</t>
  </si>
  <si>
    <t xml:space="preserve">Audit record schema plus reconstruction test</t>
  </si>
  <si>
    <t xml:space="preserve">For any fixture attempt the full delivery history is reconstructable from audit data alone</t>
  </si>
  <si>
    <t xml:space="preserve">Scenario 3 required-change d</t>
  </si>
  <si>
    <t xml:space="preserve">COR-03.2.01</t>
  </si>
  <si>
    <t xml:space="preserve">Grade reconciliation (Scenario 3)</t>
  </si>
  <si>
    <t xml:space="preserve">Daily grade reconciliation job implemented diffing M8 authoritative scores against the LMS gradebook per course with a divergence report</t>
  </si>
  <si>
    <t xml:space="preserve">Reconciliation job code plus divergence report sample</t>
  </si>
  <si>
    <t xml:space="preserve">Seeded divergence of 5 grades in a fixture course appears on the next report run</t>
  </si>
  <si>
    <t xml:space="preserve">MOD-007; Scenario 3 required-change c</t>
  </si>
  <si>
    <t xml:space="preserve">COR-03.2.02</t>
  </si>
  <si>
    <t xml:space="preserve">Teacher-facing undelivered-grades panel data feed implemented from reconciliation and dead-letter state for surfacing in the teacher view</t>
  </si>
  <si>
    <t xml:space="preserve">COR-03.2.01, COR-03.1.03</t>
  </si>
  <si>
    <t xml:space="preserve">Panel API plus consuming view evidence</t>
  </si>
  <si>
    <t xml:space="preserve">Every dead-letter passback appears in the panel feed within 5 minutes with attempt identity</t>
  </si>
  <si>
    <t xml:space="preserve">Scenario 3; SMT-01 teacher view</t>
  </si>
  <si>
    <t xml:space="preserve">COR-03.2.03</t>
  </si>
  <si>
    <t xml:space="preserve">Scenario-3 fault-injection drill executed: 100 submissions at 10/50/100 percent passback failure rates with recovery verified</t>
  </si>
  <si>
    <t xml:space="preserve">COR-03.1.03, COR-03.2.01</t>
  </si>
  <si>
    <t xml:space="preserve">Signed drill report with timings</t>
  </si>
  <si>
    <t xml:space="preserve">All failures visible in dead-letter within 5 min and 100 percent reconciled to the gradebook within 24 h with zero manual entry</t>
  </si>
  <si>
    <t xml:space="preserve">Scenario 3 validation test</t>
  </si>
  <si>
    <t xml:space="preserve">COR-03.2.04</t>
  </si>
  <si>
    <t xml:space="preserve">Exit-gate evidence bundle assembled and reviewed for task COR-03 (M7 grade passback and reconciliation)</t>
  </si>
  <si>
    <t xml:space="preserve">COR-04.1.01</t>
  </si>
  <si>
    <t xml:space="preserve">M7 security review and LMS certification</t>
  </si>
  <si>
    <t xml:space="preserve">Launch-path security</t>
  </si>
  <si>
    <t xml:space="preserve">Launch security negative suite implemented and passing: replayed launch, tampered id_token, wrong deployment ID, expired nonce, and rotated platform keys all rejected with audit records</t>
  </si>
  <si>
    <t xml:space="preserve">COR-02.1.02, COR-02.1.03, COR-02.1.04</t>
  </si>
  <si>
    <t xml:space="preserve">CI security suite run output</t>
  </si>
  <si>
    <t xml:space="preserve">All five attack cases rejected and each produces an audit record; suite green in CI</t>
  </si>
  <si>
    <t xml:space="preserve">Review D-M7 tests; G security plan 2</t>
  </si>
  <si>
    <t xml:space="preserve">COR-04.1.02</t>
  </si>
  <si>
    <t xml:space="preserve">External third-party security review of the LTI launch and passback path completed per Rule 6 with all critical and high findings closed</t>
  </si>
  <si>
    <t xml:space="preserve">Review report plus closure evidence</t>
  </si>
  <si>
    <t xml:space="preserve">Zero open critical or high findings at review close-out</t>
  </si>
  <si>
    <t xml:space="preserve">Review D-M7 P0 risk; Rule 6</t>
  </si>
  <si>
    <t xml:space="preserve">COR-04.1.03</t>
  </si>
  <si>
    <t xml:space="preserve">Tool private keys stored in the platform secrets manager with a rehearsed rotation procedure that republishes the tool JWKS</t>
  </si>
  <si>
    <t xml:space="preserve">Secrets configuration plus rotation rehearsal log</t>
  </si>
  <si>
    <t xml:space="preserve">Key rotation rehearsed end-to-end with zero failed launches after propagation window</t>
  </si>
  <si>
    <t xml:space="preserve">Review G.4 secrets</t>
  </si>
  <si>
    <t xml:space="preserve">COR-04.2.01</t>
  </si>
  <si>
    <t xml:space="preserve">1EdTech certification per LMS</t>
  </si>
  <si>
    <t xml:space="preserve">1EdTech LTI 1.3 conformance suite (core, deep linking, AGS, NRPS) run and certification evidence obtained against certified Moodle</t>
  </si>
  <si>
    <t xml:space="preserve">COR-02.1.01, COR-02.2.01, COR-03.1.02</t>
  </si>
  <si>
    <t xml:space="preserve">1EdTech conformance report</t>
  </si>
  <si>
    <t xml:space="preserve">All in-scope conformance tests pass; certification or documented equivalent evidence filed</t>
  </si>
  <si>
    <t xml:space="preserve">Review D-M7 exit-criteria; DEC-012</t>
  </si>
  <si>
    <t xml:space="preserve">COR-04.2.02</t>
  </si>
  <si>
    <t xml:space="preserve">1EdTech conformance suite run and certification evidence obtained against Open edX</t>
  </si>
  <si>
    <t xml:space="preserve">1EdTech conformance report for Open edX</t>
  </si>
  <si>
    <t xml:space="preserve">All in-scope conformance tests pass on the pinned Open edX version</t>
  </si>
  <si>
    <t xml:space="preserve">DEC-012; R-016</t>
  </si>
  <si>
    <t xml:space="preserve">COR-04.2.03</t>
  </si>
  <si>
    <t xml:space="preserve">1EdTech conformance suite run and certification evidence obtained against Canvas per the matrix-driven expansion decision</t>
  </si>
  <si>
    <t xml:space="preserve">1EdTech conformance report for Canvas</t>
  </si>
  <si>
    <t xml:space="preserve">All in-scope conformance tests pass on the pinned Canvas version</t>
  </si>
  <si>
    <t xml:space="preserve">Cloud</t>
  </si>
  <si>
    <t xml:space="preserve">COR-04.2.04</t>
  </si>
  <si>
    <t xml:space="preserve">Cross-LMS compatibility matrix published with pass/fail per feature (launch, deep link, roster, passback) tested inside iframes with third-party cookies disabled</t>
  </si>
  <si>
    <t xml:space="preserve">COR-04.2.01, COR-04.2.02</t>
  </si>
  <si>
    <t xml:space="preserve">Published compatibility matrix</t>
  </si>
  <si>
    <t xml:space="preserve">Matrix covers all four features for every certified LMS version with dated results</t>
  </si>
  <si>
    <t xml:space="preserve">Review D-M7 exit-criteria; Loop 11</t>
  </si>
  <si>
    <t xml:space="preserve">COR-04.2.05</t>
  </si>
  <si>
    <t xml:space="preserve">Exit-gate evidence bundle assembled and reviewed for task COR-04 (M7 security review and LMS certification)</t>
  </si>
  <si>
    <t xml:space="preserve">COR-05.1.01</t>
  </si>
  <si>
    <t xml:space="preserve">M7 observability, deployment, and handoff</t>
  </si>
  <si>
    <t xml:space="preserve">Structured logs with correlation IDs implemented across the launch-to-grade chain so one ID traces launch, submit, grade, event, and passback</t>
  </si>
  <si>
    <t xml:space="preserve">COR-02.1.01, COR-03.1.02</t>
  </si>
  <si>
    <t xml:space="preserve">Log schema plus trace query demo</t>
  </si>
  <si>
    <t xml:space="preserve">A single correlation ID retrieves the full chain for a fixture attempt in the log store</t>
  </si>
  <si>
    <t xml:space="preserve">Review Section N correlation; Scenario 3</t>
  </si>
  <si>
    <t xml:space="preserve">COR-05.1.02</t>
  </si>
  <si>
    <t xml:space="preserve">M7 metrics exported and alerting configured: launch success rate, passback latency, dead-letter depth, and JWKS fetch failures with SLO thresholds</t>
  </si>
  <si>
    <t xml:space="preserve">Dashboard and alert rules in monitoring stack</t>
  </si>
  <si>
    <t xml:space="preserve">All four metrics visible and each alert fired at least once in a controlled test</t>
  </si>
  <si>
    <t xml:space="preserve">Review Section N; LOOP 7</t>
  </si>
  <si>
    <t xml:space="preserve">COR-05.1.03</t>
  </si>
  <si>
    <t xml:space="preserve">M7 operator runbook written covering passback dead-letter drain, key rotation, LMS registration, and launch-failure triage, walked by an engineer who did not write it</t>
  </si>
  <si>
    <t xml:space="preserve">Runbook plus walk-through sign-off</t>
  </si>
  <si>
    <t xml:space="preserve">Non-author completes all four procedures from the runbook without assistance</t>
  </si>
  <si>
    <t xml:space="preserve">TST-STD 8; Review N</t>
  </si>
  <si>
    <t xml:space="preserve">COR-05.2.01</t>
  </si>
  <si>
    <t xml:space="preserve">Deployment</t>
  </si>
  <si>
    <t xml:space="preserve">M7 CI pipeline and pinned container build added to the release bundle with contract conformance tests as a gate</t>
  </si>
  <si>
    <t xml:space="preserve">CI pipeline run plus bundle manifest entry</t>
  </si>
  <si>
    <t xml:space="preserve">Pipeline green including conformance tests; image digest pinned in bundle manifest</t>
  </si>
  <si>
    <t xml:space="preserve">MOD-015; LOOP 2 lane 6</t>
  </si>
  <si>
    <t xml:space="preserve">COR-05.2.02</t>
  </si>
  <si>
    <t xml:space="preserve">M7 installed in the zero-egress enclave simulator against local Moodle with manual JWKS import and the egress test passing</t>
  </si>
  <si>
    <t xml:space="preserve">COR-05.2.01, COR-02.1.04</t>
  </si>
  <si>
    <t xml:space="preserve">Enclave install log plus zero-egress CI result</t>
  </si>
  <si>
    <t xml:space="preserve">Launch, deep link, and passback succeed in the enclave with zero outbound connection attempts</t>
  </si>
  <si>
    <t xml:space="preserve">MOD-015; A-051; Stage 1 gate</t>
  </si>
  <si>
    <t xml:space="preserve">COR-05.2.03</t>
  </si>
  <si>
    <t xml:space="preserve">M7 release rollback rehearsed from bundle version N to N-1 with passback queue integrity verified after rollback</t>
  </si>
  <si>
    <t xml:space="preserve">Rollback rehearsal log</t>
  </si>
  <si>
    <t xml:space="preserve">Rollback completes and no queued passback item is lost or duplicated across versions</t>
  </si>
  <si>
    <t xml:space="preserve">TST-STD 9</t>
  </si>
  <si>
    <t xml:space="preserve">COR-05.3.01</t>
  </si>
  <si>
    <t xml:space="preserve">Documentation and handoff</t>
  </si>
  <si>
    <t xml:space="preserve">LMS administrator integration guide written per certified LMS covering registration, deployment IDs, key exchange, and course-copy behavior</t>
  </si>
  <si>
    <t xml:space="preserve">Published integration guide</t>
  </si>
  <si>
    <t xml:space="preserve">A pilot LMS admin completes Moodle registration using only the guide</t>
  </si>
  <si>
    <t xml:space="preserve">LOOP 2 lane 7</t>
  </si>
  <si>
    <t xml:space="preserve">COR-05.3.02</t>
  </si>
  <si>
    <t xml:space="preserve">M7 API documentation generated from the published contracts and P4 train-the-trainer notes drafted for the connector</t>
  </si>
  <si>
    <t xml:space="preserve">API docs site plus P4 notes</t>
  </si>
  <si>
    <t xml:space="preserve">Docs match contract version in registry and P4 notes reviewed by Program Manager</t>
  </si>
  <si>
    <t xml:space="preserve">LOOP 2 lane 7; P4</t>
  </si>
  <si>
    <t xml:space="preserve">COR-05.3.03</t>
  </si>
  <si>
    <t xml:space="preserve">Exit-gate evidence bundle assembled and reviewed for task COR-05 (M7 observability, deployment, and handoff)</t>
  </si>
  <si>
    <t xml:space="preserve">COR-06.1.01</t>
  </si>
  <si>
    <t xml:space="preserve">M8</t>
  </si>
  <si>
    <t xml:space="preserve">M8 contracts and saga design</t>
  </si>
  <si>
    <t xml:space="preserve">API and event contracts</t>
  </si>
  <si>
    <t xml:space="preserve">Quiz and question-bank CRUD API contract drafted, versioned, and published to the contract registry with conformance tests</t>
  </si>
  <si>
    <t xml:space="preserve">Versioned OpenAPI contract plus conformance suite</t>
  </si>
  <si>
    <t xml:space="preserve">Contract v1 in registry and conformance tests run red against an empty implementation</t>
  </si>
  <si>
    <t xml:space="preserve">PLAN M8 main-jobs; MOD-002</t>
  </si>
  <si>
    <t xml:space="preserve">COR-06.1.02</t>
  </si>
  <si>
    <t xml:space="preserve">Assessment xAPI profile registered (started, answered, finished, scored) against the canonical event envelope with tenant and correlation fields</t>
  </si>
  <si>
    <t xml:space="preserve">xAPI profile document in contract registry</t>
  </si>
  <si>
    <t xml:space="preserve">All four verbs validate against the envelope schema for a fixture attempt</t>
  </si>
  <si>
    <t xml:space="preserve">COR-06.1.03</t>
  </si>
  <si>
    <t xml:space="preserve">Score provenance schema defined with question version, grading-rule version, rubric/model/prompt version, and human-approver fields present from v1</t>
  </si>
  <si>
    <t xml:space="preserve">Score schema in contract registry</t>
  </si>
  <si>
    <t xml:space="preserve">Schema review confirms all provenance fields are non-nullable where grading occurred</t>
  </si>
  <si>
    <t xml:space="preserve">Review D-M8 required-changes; HS AI-governance</t>
  </si>
  <si>
    <t xml:space="preserve">COR-06.1.04</t>
  </si>
  <si>
    <t xml:space="preserve">Question immutability rule ratified: questions are versioned immutably and every score references the exact question version answered</t>
  </si>
  <si>
    <t xml:space="preserve">Versioning rule in contract registry plus schema constraint</t>
  </si>
  <si>
    <t xml:space="preserve">Attempted update of an answered question version is rejected at API and DB layers in test</t>
  </si>
  <si>
    <t xml:space="preserve">Review D-M8 required-changes</t>
  </si>
  <si>
    <t xml:space="preserve">COR-06.1.05</t>
  </si>
  <si>
    <t xml:space="preserve">Question-bank tenancy and sharing policy written covering cross-course sharing, cross-tenant prohibition, and content licensing fields</t>
  </si>
  <si>
    <t xml:space="preserve">Signed policy document</t>
  </si>
  <si>
    <t xml:space="preserve">Policy defines allowed sharing scopes and is referenced by the bank data model</t>
  </si>
  <si>
    <t xml:space="preserve">Review D-M8 gap bank tenancy; LOOP 8</t>
  </si>
  <si>
    <t xml:space="preserve">COR-06.2.01</t>
  </si>
  <si>
    <t xml:space="preserve">Submission saga design</t>
  </si>
  <si>
    <t xml:space="preserve">Submission saga design document approved covering submit, grade, store, event, passback stages on the transactional outbox with compensations and a stuck-state human-review queue</t>
  </si>
  <si>
    <t xml:space="preserve">FND-07.1.01, COR-01.1.04</t>
  </si>
  <si>
    <t xml:space="preserve">Approved saga design doc</t>
  </si>
  <si>
    <t xml:space="preserve">Design names attempt ID as idempotency key at every stage and defines a compensation per stage</t>
  </si>
  <si>
    <t xml:space="preserve">MOD-004; Review D-M8; LOOP 7</t>
  </si>
  <si>
    <t xml:space="preserve">COR-06.2.02</t>
  </si>
  <si>
    <t xml:space="preserve">Grade-dispute evidence model defined linking score to question version, answer record, grading-rule version, timestamps, and passback status</t>
  </si>
  <si>
    <t xml:space="preserve">COR-06.1.03, COR-06.2.01</t>
  </si>
  <si>
    <t xml:space="preserve">Evidence model in contract registry</t>
  </si>
  <si>
    <t xml:space="preserve">For a fixture score all five linkages resolve by query</t>
  </si>
  <si>
    <t xml:space="preserve">Review D-M8 gap dispute; journey 15</t>
  </si>
  <si>
    <t xml:space="preserve">COR-06.2.03</t>
  </si>
  <si>
    <t xml:space="preserve">Exit-gate evidence bundle assembled and reviewed for task COR-06 (M8 contracts and saga design)</t>
  </si>
  <si>
    <t xml:space="preserve">COR-07.1.01</t>
  </si>
  <si>
    <t xml:space="preserve">M8 authoring and question bank build</t>
  </si>
  <si>
    <t xml:space="preserve">Question bank</t>
  </si>
  <si>
    <t xml:space="preserve">Question CRUD implemented with immutable versioning for MCQ, multi-select, true/false, numeric, and matching item types</t>
  </si>
  <si>
    <t xml:space="preserve">COR-06.1.01, COR-06.1.04</t>
  </si>
  <si>
    <t xml:space="preserve">Merged code plus CRUD test suite</t>
  </si>
  <si>
    <t xml:space="preserve">All five item types create, version, and retrieve; editing an answered version forks a new version</t>
  </si>
  <si>
    <t xml:space="preserve">PLAN M8 main-jobs</t>
  </si>
  <si>
    <t xml:space="preserve">COR-07.1.02</t>
  </si>
  <si>
    <t xml:space="preserve">Question-bank organization implemented: banks per course with tag search and the sharing scopes allowed by the tenancy policy</t>
  </si>
  <si>
    <t xml:space="preserve">COR-07.1.01, COR-06.1.05</t>
  </si>
  <si>
    <t xml:space="preserve">Bank feature code plus scope test</t>
  </si>
  <si>
    <t xml:space="preserve">Sharing outside the allowed scope is rejected; cross-tenant read returns zero rows in negative test</t>
  </si>
  <si>
    <t xml:space="preserve">PLAN M8 main-jobs; Scenario 2</t>
  </si>
  <si>
    <t xml:space="preserve">COR-07.1.03</t>
  </si>
  <si>
    <t xml:space="preserve">Quiz assembly implemented supporting fixed item lists and random draw from banks with per-quiz settings</t>
  </si>
  <si>
    <t xml:space="preserve">Assembly code plus draw-distribution test</t>
  </si>
  <si>
    <t xml:space="preserve">Random draw produces only in-bank items and respects the configured count per section</t>
  </si>
  <si>
    <t xml:space="preserve">COR-07.1.04</t>
  </si>
  <si>
    <t xml:space="preserve">Academic-integrity controls implemented: attempt limits, quiz timers, and item/answer-order randomization</t>
  </si>
  <si>
    <t xml:space="preserve">Controls code plus enforcement tests</t>
  </si>
  <si>
    <t xml:space="preserve">Attempt beyond limit rejected; expired timer auto-submits; two learners receive different item orders</t>
  </si>
  <si>
    <t xml:space="preserve">Review D-M8 gap integrity</t>
  </si>
  <si>
    <t xml:space="preserve">COR-07.2.01</t>
  </si>
  <si>
    <t xml:space="preserve">Authoring UI</t>
  </si>
  <si>
    <t xml:space="preserve">Teacher authoring UI implemented in React for question, bank, and quiz management against the contract API</t>
  </si>
  <si>
    <t xml:space="preserve">COR-07.1.01, COR-07.1.03</t>
  </si>
  <si>
    <t xml:space="preserve">Deployed UI plus E2E authoring test</t>
  </si>
  <si>
    <t xml:space="preserve">Teacher persona creates a 10-question quiz end-to-end in E2E test</t>
  </si>
  <si>
    <t xml:space="preserve">PLAN M8 tools</t>
  </si>
  <si>
    <t xml:space="preserve">COR-07.2.02</t>
  </si>
  <si>
    <t xml:space="preserve">Accessibility Specialist</t>
  </si>
  <si>
    <t xml:space="preserve">Authoring UI accessibility pass completed: keyboard-only, screen reader, and contrast per WCAG 2.1 AA with zero critical findings</t>
  </si>
  <si>
    <t xml:space="preserve">Accessibility audit report</t>
  </si>
  <si>
    <t xml:space="preserve">Zero critical WCAG 2.1 AA findings on the authoring flows</t>
  </si>
  <si>
    <t xml:space="preserve">TST-STD 7</t>
  </si>
  <si>
    <t xml:space="preserve">COR-07.2.03</t>
  </si>
  <si>
    <t xml:space="preserve">Exit-gate evidence bundle assembled and reviewed for task COR-07 (M8 authoring and question bank build)</t>
  </si>
  <si>
    <t xml:space="preserve">COR-08.1.01</t>
  </si>
  <si>
    <t xml:space="preserve">M8 delivery and grading saga build</t>
  </si>
  <si>
    <t xml:space="preserve">Launch and take flow</t>
  </si>
  <si>
    <t xml:space="preserve">Quiz launch via M7 deep link implemented resolving the stored link ID to the pinned quiz version in the launch tenant</t>
  </si>
  <si>
    <t xml:space="preserve">COR-02.2.01, COR-07.1.03</t>
  </si>
  <si>
    <t xml:space="preserve">Launch integration test through Moodle</t>
  </si>
  <si>
    <t xml:space="preserve">Deep-linked quiz opens for a student launch and resolves to the correct version and tenant</t>
  </si>
  <si>
    <t xml:space="preserve">PLAN M8 main-jobs; PLAN M7</t>
  </si>
  <si>
    <t xml:space="preserve">COR-08.1.02</t>
  </si>
  <si>
    <t xml:space="preserve">Student take flow implemented with answer autosave and resume after disconnect</t>
  </si>
  <si>
    <t xml:space="preserve">Take-flow code plus resume test</t>
  </si>
  <si>
    <t xml:space="preserve">Simulated disconnect mid-quiz resumes with all previously saved answers intact</t>
  </si>
  <si>
    <t xml:space="preserve">COR-08.1.03</t>
  </si>
  <si>
    <t xml:space="preserve">Submit endpoint made idempotent by attempt ID so double-click, refresh, and network retry cannot create duplicate attempts</t>
  </si>
  <si>
    <t xml:space="preserve">COR-08.1.02, COR-06.2.01</t>
  </si>
  <si>
    <t xml:space="preserve">Idempotency middleware plus retry test</t>
  </si>
  <si>
    <t xml:space="preserve">25 concurrent submits of one attempt yield exactly one stored attempt</t>
  </si>
  <si>
    <t xml:space="preserve">Review D-M8 gap idempotency; MOD-004</t>
  </si>
  <si>
    <t xml:space="preserve">COR-08.2.01</t>
  </si>
  <si>
    <t xml:space="preserve">Grading pipeline</t>
  </si>
  <si>
    <t xml:space="preserve">Objective auto-grading engine implemented per item type with versioned grading rules recorded on every score</t>
  </si>
  <si>
    <t xml:space="preserve">COR-08.1.03, COR-06.1.03</t>
  </si>
  <si>
    <t xml:space="preserve">Grading engine plus rule-version test</t>
  </si>
  <si>
    <t xml:space="preserve">Every fixture score row carries the grading-rule version that produced it</t>
  </si>
  <si>
    <t xml:space="preserve">COR-08.2.02</t>
  </si>
  <si>
    <t xml:space="preserve">Submission saga implemented on the transactional outbox: grade, store, xAPI emit, and passback trigger as idempotent consumers per the design</t>
  </si>
  <si>
    <t xml:space="preserve">COR-08.2.01, COR-06.2.01, FND-03.1.01</t>
  </si>
  <si>
    <t xml:space="preserve">Saga code plus stage-replay test</t>
  </si>
  <si>
    <t xml:space="preserve">Replaying any stage message produces no duplicate score, statement, or passback</t>
  </si>
  <si>
    <t xml:space="preserve">MOD-004; Scenario 1/3</t>
  </si>
  <si>
    <t xml:space="preserve">COR-08.2.03</t>
  </si>
  <si>
    <t xml:space="preserve">Assessment xAPI emission implemented through M3 per the registered profile with correlation ID propagation</t>
  </si>
  <si>
    <t xml:space="preserve">COR-08.2.02, COR-06.1.02</t>
  </si>
  <si>
    <t xml:space="preserve">Event emission test through M3</t>
  </si>
  <si>
    <t xml:space="preserve">All four verbs land in the LRS for a fixture attempt with envelope validation green</t>
  </si>
  <si>
    <t xml:space="preserve">PLAN M8 main-jobs; PLAN Rule 2</t>
  </si>
  <si>
    <t xml:space="preserve">COR-08.2.04</t>
  </si>
  <si>
    <t xml:space="preserve">Stuck-state human-review queue implemented for saga states exceeding time bounds with grader/reviewer UI access</t>
  </si>
  <si>
    <t xml:space="preserve">Review queue code plus stuck-state test</t>
  </si>
  <si>
    <t xml:space="preserve">A saga stalled past threshold appears in the queue and can be resolved without DB surgery</t>
  </si>
  <si>
    <t xml:space="preserve">Review D-M8 required-changes; HR-2</t>
  </si>
  <si>
    <t xml:space="preserve">COR-08.3.01</t>
  </si>
  <si>
    <t xml:space="preserve">Acceptance drills</t>
  </si>
  <si>
    <t xml:space="preserve">Idempotency drill executed: the same attempt submitted 25 times concurrently produces exactly one attempt, one grade, one xAPI statement, and one passback</t>
  </si>
  <si>
    <t xml:space="preserve">COR-08.2.02, COR-03.1.02</t>
  </si>
  <si>
    <t xml:space="preserve">Signed drill report</t>
  </si>
  <si>
    <t xml:space="preserve">Counts equal exactly one across all four artifacts after the drill</t>
  </si>
  <si>
    <t xml:space="preserve">Review D-M8 tests</t>
  </si>
  <si>
    <t xml:space="preserve">COR-08.3.02</t>
  </si>
  <si>
    <t xml:space="preserve">Stage kill-test executed: grader, M3 emitter, and passback consumer each killed mid-flight with convergence to a consistent state verified</t>
  </si>
  <si>
    <t xml:space="preserve">1000 injected failures produce zero inconsistent end states and zero manual interventions</t>
  </si>
  <si>
    <t xml:space="preserve">Review D-M8 exit-criteria; Scenario 3</t>
  </si>
  <si>
    <t xml:space="preserve">COR-08.3.03</t>
  </si>
  <si>
    <t xml:space="preserve">Scenario-1 burst test executed as acceptance: 10000 submissions within 5 minutes sustained through the outbox with zero lost or duplicated grades, events, or passbacks</t>
  </si>
  <si>
    <t xml:space="preserve">Load test report with reconciliation output</t>
  </si>
  <si>
    <t xml:space="preserve">Post-burst reconciliation shows 10000 attempts, 10000 grades, 10000 statements, 10000 passbacks exactly</t>
  </si>
  <si>
    <t xml:space="preserve">Scenario 1; Stage 1 exit gate</t>
  </si>
  <si>
    <t xml:space="preserve">COR-08.3.04</t>
  </si>
  <si>
    <t xml:space="preserve">Exit-gate evidence bundle assembled and reviewed for task COR-08 (M8 delivery and grading saga build)</t>
  </si>
  <si>
    <t xml:space="preserve">COR-09.1.01</t>
  </si>
  <si>
    <t xml:space="preserve">AI/ML Engineer</t>
  </si>
  <si>
    <t xml:space="preserve">M8 deferred AI capabilities</t>
  </si>
  <si>
    <t xml:space="preserve">AI question generation</t>
  </si>
  <si>
    <t xml:space="preserve">[DEFERRED-3] AI question generation from an uploaded PDF implemented via the shared inference service with every generated item entering the bank as a draft requiring teacher approval</t>
  </si>
  <si>
    <t xml:space="preserve">PLT-03.1.01, AIA-05.1.01, COR-07.1.01</t>
  </si>
  <si>
    <t xml:space="preserve">Generation pipeline plus approval-gate test</t>
  </si>
  <si>
    <t xml:space="preserve">No AI-generated item is servable to students before a named teacher approval is recorded</t>
  </si>
  <si>
    <t xml:space="preserve">PLAN M8 later; Review D-M8 AI governance</t>
  </si>
  <si>
    <t xml:space="preserve">COR-09.1.02</t>
  </si>
  <si>
    <t xml:space="preserve">[DEFERRED-3] Generated-question provenance recorded per item: source document ID, model version, prompt version, and generation timestamp</t>
  </si>
  <si>
    <t xml:space="preserve">Provenance fields populated in fixture run</t>
  </si>
  <si>
    <t xml:space="preserve">Every generated fixture item carries all four provenance fields</t>
  </si>
  <si>
    <t xml:space="preserve">I.2-3; Scenario 10 chain</t>
  </si>
  <si>
    <t xml:space="preserve">COR-09.2.01</t>
  </si>
  <si>
    <t xml:space="preserve">Semantic grading</t>
  </si>
  <si>
    <t xml:space="preserve">[DEFERRED-3] Semantic grading of written answers implemented advisory-only: suggested score plus rationale routed to the grader queue with 100 percent human confirmation until confidence thresholds are calibrated</t>
  </si>
  <si>
    <t xml:space="preserve">PLT-03.1.01, AIA-05.1.01, COR-08.2.04</t>
  </si>
  <si>
    <t xml:space="preserve">Advisory grading pipeline plus queue routing test</t>
  </si>
  <si>
    <t xml:space="preserve">Zero semantic grades reach the gradebook without a recorded human confirmation in fixture runs</t>
  </si>
  <si>
    <t xml:space="preserve">A-034; I.2-2; HR-2</t>
  </si>
  <si>
    <t xml:space="preserve">COR-09.2.02</t>
  </si>
  <si>
    <t xml:space="preserve">[DEFERRED-3] Semantic-grade provenance recorded per score: model ID with weights hash and quantization, rubric/prompt version, and confirming grader identity</t>
  </si>
  <si>
    <t xml:space="preserve">Provenance audit query on fixture grades</t>
  </si>
  <si>
    <t xml:space="preserve">All provenance fields reconstructable for every semantic fixture grade</t>
  </si>
  <si>
    <t xml:space="preserve">I.2-3; Scenario 10</t>
  </si>
  <si>
    <t xml:space="preserve">COR-09.2.03</t>
  </si>
  <si>
    <t xml:space="preserve">[DEFERRED-3] Grading reproducibility gate executed: 20 reruns per fixture answer on the pinned quantized enclave model with band agreement at or above 99 percent before any semantic grade may feed a gradebook</t>
  </si>
  <si>
    <t xml:space="preserve">Reproducibility test report</t>
  </si>
  <si>
    <t xml:space="preserve">Band agreement &gt;= 99 percent on the fixture set for the pinned model or the capability stays advisory-only</t>
  </si>
  <si>
    <t xml:space="preserve">A-034; AI-eval plan 2</t>
  </si>
  <si>
    <t xml:space="preserve">COR-09.2.04</t>
  </si>
  <si>
    <t xml:space="preserve">Exit-gate evidence bundle assembled and reviewed for task COR-09 (M8 deferred AI capabilities)</t>
  </si>
  <si>
    <t xml:space="preserve">COR-10.1.01</t>
  </si>
  <si>
    <t xml:space="preserve">M8 data, security, operations, and handoff</t>
  </si>
  <si>
    <t xml:space="preserve">Data</t>
  </si>
  <si>
    <t xml:space="preserve">M8 schema and migrations implemented in its own database area with tenant RLS on banks, quizzes, attempts, and scores</t>
  </si>
  <si>
    <t xml:space="preserve">COR-06.1.01, FND-01.1.02</t>
  </si>
  <si>
    <t xml:space="preserve">Migration scripts plus RLS test</t>
  </si>
  <si>
    <t xml:space="preserve">Cross-tenant select under a foreign tenant token returns zero rows for all four tables</t>
  </si>
  <si>
    <t xml:space="preserve">PLAN Rule 1; DEC-006; Scenario 2</t>
  </si>
  <si>
    <t xml:space="preserve">COR-10.1.02</t>
  </si>
  <si>
    <t xml:space="preserve">Attempt and score retention policy implemented with migration up and down tested on a production-shaped dataset</t>
  </si>
  <si>
    <t xml:space="preserve">Retention config plus migration test log</t>
  </si>
  <si>
    <t xml:space="preserve">Down-migration restores the prior schema with zero data loss on the test dataset</t>
  </si>
  <si>
    <t xml:space="preserve">TST-STD 4</t>
  </si>
  <si>
    <t xml:space="preserve">COR-10.1.03</t>
  </si>
  <si>
    <t xml:space="preserve">Slice-A fixture dataset seeded: one course, one 10-question quiz, 30 learners, and expected grades for reconciliation tests</t>
  </si>
  <si>
    <t xml:space="preserve">Fixture seed scripts in repo</t>
  </si>
  <si>
    <t xml:space="preserve">Fixture loads repeatably and reconciliation baseline matches hand-computed grades</t>
  </si>
  <si>
    <t xml:space="preserve">Stage 1; TST fixtures</t>
  </si>
  <si>
    <t xml:space="preserve">COR-10.2.01</t>
  </si>
  <si>
    <t xml:space="preserve">Authorization enforced per role on every M8 endpoint with an anonymous scan showing zero unauthenticated routes</t>
  </si>
  <si>
    <t xml:space="preserve">Authz test suite plus scan report</t>
  </si>
  <si>
    <t xml:space="preserve">Anonymous scan finds zero accessible endpoints; role matrix negative tests green</t>
  </si>
  <si>
    <t xml:space="preserve">TST-STD 5; G.4</t>
  </si>
  <si>
    <t xml:space="preserve">COR-10.2.02</t>
  </si>
  <si>
    <t xml:space="preserve">Input validation and payload limits implemented on quiz submission and authoring endpoints with fuzz tests passing</t>
  </si>
  <si>
    <t xml:space="preserve">Fuzz test report</t>
  </si>
  <si>
    <t xml:space="preserve">Fuzzing produces zero crashes and zero 5xx-with-stack-trace responses</t>
  </si>
  <si>
    <t xml:space="preserve">TST-STD 5; Loop 9</t>
  </si>
  <si>
    <t xml:space="preserve">COR-10.2.03</t>
  </si>
  <si>
    <t xml:space="preserve">Cross-tenant negative suite (Scenario 2) executed against banks, attempts, scores, and events with zero leaks</t>
  </si>
  <si>
    <t xml:space="preserve">Scenario-2 suite CI output</t>
  </si>
  <si>
    <t xml:space="preserve">Zero cross-tenant reads or writes across all M8 stores in the suite run</t>
  </si>
  <si>
    <t xml:space="preserve">Scenario 2; MOD-008</t>
  </si>
  <si>
    <t xml:space="preserve">COR-10.3.01</t>
  </si>
  <si>
    <t xml:space="preserve">M8 metrics exported and alerting configured: submission rate, grading latency, outbox lag, and dead-letter depth with SLOs defined</t>
  </si>
  <si>
    <t xml:space="preserve">Dashboards plus alert rules</t>
  </si>
  <si>
    <t xml:space="preserve">All four metrics visible and alerts fired in a controlled test; SLO document approved</t>
  </si>
  <si>
    <t xml:space="preserve">Review N; LOOP 7</t>
  </si>
  <si>
    <t xml:space="preserve">COR-10.3.02</t>
  </si>
  <si>
    <t xml:space="preserve">M8 operator runbook written covering saga stuck states, outbox drain, and burst handling, walked by a non-author</t>
  </si>
  <si>
    <t xml:space="preserve">Non-author resolves a seeded stuck saga using only the runbook</t>
  </si>
  <si>
    <t xml:space="preserve">TST-STD 8</t>
  </si>
  <si>
    <t xml:space="preserve">COR-10.4.01</t>
  </si>
  <si>
    <t xml:space="preserve">M8 CI pipeline and pinned container added to the release bundle with contract conformance gates</t>
  </si>
  <si>
    <t xml:space="preserve">CI run plus bundle manifest</t>
  </si>
  <si>
    <t xml:space="preserve">Pipeline green with conformance gate; image digest pinned in manifest</t>
  </si>
  <si>
    <t xml:space="preserve">COR-10.4.02</t>
  </si>
  <si>
    <t xml:space="preserve">M8 installed in the zero-egress enclave simulator with the full submit-grade-event chain passing and no outbound calls</t>
  </si>
  <si>
    <t xml:space="preserve">Enclave install log plus egress test result</t>
  </si>
  <si>
    <t xml:space="preserve">Fixture quiz completes submit-to-report chain in enclave with zero egress attempts</t>
  </si>
  <si>
    <t xml:space="preserve">MOD-015; Stage 1 gate</t>
  </si>
  <si>
    <t xml:space="preserve">COR-10.4.03</t>
  </si>
  <si>
    <t xml:space="preserve">M8 rollback rehearsed with in-flight saga integrity verified across versions</t>
  </si>
  <si>
    <t xml:space="preserve">No in-flight attempt lost or duplicated across the rollback</t>
  </si>
  <si>
    <t xml:space="preserve">COR-10.4.04</t>
  </si>
  <si>
    <t xml:space="preserve">M8 API docs generated from contract plus teacher and admin guides and P4 training notes published</t>
  </si>
  <si>
    <t xml:space="preserve">COR-06.1.01, COR-07.2.01</t>
  </si>
  <si>
    <t xml:space="preserve">Docs set published</t>
  </si>
  <si>
    <t xml:space="preserve">Docs match contract version; teacher guide validated by a pilot teacher</t>
  </si>
  <si>
    <t xml:space="preserve">COR-10.4.05</t>
  </si>
  <si>
    <t xml:space="preserve">Exit-gate evidence bundle assembled and reviewed for task COR-10 (M8 data, security, operations, and handoff)</t>
  </si>
  <si>
    <t xml:space="preserve">COR-11.1.01</t>
  </si>
  <si>
    <t xml:space="preserve">M9</t>
  </si>
  <si>
    <t xml:space="preserve">M9 contracts and pipeline specification</t>
  </si>
  <si>
    <t xml:space="preserve">Event and API contracts</t>
  </si>
  <si>
    <t xml:space="preserve">Reading-event xAPI profile registered covering page-open, aggregated dwell heartbeat, and completion with client-side aggregation policy and retention stated</t>
  </si>
  <si>
    <t xml:space="preserve">Profile document in contract registry</t>
  </si>
  <si>
    <t xml:space="preserve">Profile defines heartbeat interval, aggregation window, and offline semantics; envelope validation green</t>
  </si>
  <si>
    <t xml:space="preserve">PLAN M9 main-jobs; Review D-M9 gap heartbeat</t>
  </si>
  <si>
    <t xml:space="preserve">COR-11.1.02</t>
  </si>
  <si>
    <t xml:space="preserve">Reading-event volume model documented sizing M3/M2 for heartbeat traffic at projected class scale</t>
  </si>
  <si>
    <t xml:space="preserve">Volume model in architecture repo</t>
  </si>
  <si>
    <t xml:space="preserve">Model states events/sec at 2000 concurrent readers and M3 sizing signed off by Platform Architect</t>
  </si>
  <si>
    <t xml:space="preserve">Review D-M9 risk volume; LOOP 10</t>
  </si>
  <si>
    <t xml:space="preserve">COR-11.1.03</t>
  </si>
  <si>
    <t xml:space="preserve">eBook library and metadata API contract drafted, versioned, and published with conformance tests</t>
  </si>
  <si>
    <t xml:space="preserve">Versioned contract in registry</t>
  </si>
  <si>
    <t xml:space="preserve">Contract v1 published and conformance suite executes</t>
  </si>
  <si>
    <t xml:space="preserve">PLAN M9 main-jobs; MOD-002</t>
  </si>
  <si>
    <t xml:space="preserve">COR-11.1.04</t>
  </si>
  <si>
    <t xml:space="preserve">Storage tenancy contract written: MinIO bucket and path conventions tenant-scoped, signed-URL scoping rules, and per-tenant encryption stated</t>
  </si>
  <si>
    <t xml:space="preserve">Storage contract document</t>
  </si>
  <si>
    <t xml:space="preserve">Contract defines path template with mandatory tenant segment and signed-URL TTL and scope rules</t>
  </si>
  <si>
    <t xml:space="preserve">Review D-M9 gap storage; LOOP 8</t>
  </si>
  <si>
    <t xml:space="preserve">COR-11.2.01</t>
  </si>
  <si>
    <t xml:space="preserve">Conversion pipeline specification</t>
  </si>
  <si>
    <t xml:space="preserve">Conversion pipeline specified as staged design (extract, structure, tag, QA) with per-stage failure handling and conversion-fidelity acceptance metrics</t>
  </si>
  <si>
    <t xml:space="preserve">Approved pipeline spec</t>
  </si>
  <si>
    <t xml:space="preserve">Spec defines a failure route and a fidelity metric for each of the four stages</t>
  </si>
  <si>
    <t xml:space="preserve">Review D-M9 required-changes</t>
  </si>
  <si>
    <t xml:space="preserve">COR-11.2.02</t>
  </si>
  <si>
    <t xml:space="preserve">WCAG ownership decision recorded: M9 owns the accessibility tagging quality bar and M13 consumes without re-checking</t>
  </si>
  <si>
    <t xml:space="preserve">Signed decision record</t>
  </si>
  <si>
    <t xml:space="preserve">Decision record merged and referenced by both M9 and M13 designs</t>
  </si>
  <si>
    <t xml:space="preserve">Review D-M9 gap ownership</t>
  </si>
  <si>
    <t xml:space="preserve">COR-11.2.03</t>
  </si>
  <si>
    <t xml:space="preserve">Accessibility tagging gate specified as block-not-warn: publication blocked until required tags and WCAG checks pass</t>
  </si>
  <si>
    <t xml:space="preserve">Gate specification with required-tag checklist</t>
  </si>
  <si>
    <t xml:space="preserve">Spec enumerates blocking checks; a document missing any required tag cannot reach published state</t>
  </si>
  <si>
    <t xml:space="preserve">Review D-M9; MOD-014 pattern</t>
  </si>
  <si>
    <t xml:space="preserve">COR-11.2.04</t>
  </si>
  <si>
    <t xml:space="preserve">Exit-gate evidence bundle assembled and reviewed for task COR-11 (M9 contracts and pipeline specification)</t>
  </si>
  <si>
    <t xml:space="preserve">COR-12.1.01</t>
  </si>
  <si>
    <t xml:space="preserve">M9 ingestion and conversion build</t>
  </si>
  <si>
    <t xml:space="preserve">Upload security</t>
  </si>
  <si>
    <t xml:space="preserve">Upload service implemented with malware scanning of every file before pipeline entry and quarantine of failures</t>
  </si>
  <si>
    <t xml:space="preserve">Upload service code plus EICAR-class test</t>
  </si>
  <si>
    <t xml:space="preserve">Malicious test file is quarantined with alert and never reaches conversion or storage</t>
  </si>
  <si>
    <t xml:space="preserve">Review D-M9 gap upload; Loop 9</t>
  </si>
  <si>
    <t xml:space="preserve">COR-12.1.02</t>
  </si>
  <si>
    <t xml:space="preserve">Conversion executed in sandboxed non-privileged workers with no network egress and resource limits</t>
  </si>
  <si>
    <t xml:space="preserve">Worker sandbox config plus egress test</t>
  </si>
  <si>
    <t xml:space="preserve">Worker egress attempt count is zero under test and a fork-bomb-class input is contained</t>
  </si>
  <si>
    <t xml:space="preserve">COR-12.1.03</t>
  </si>
  <si>
    <t xml:space="preserve">Parser fuzzing suite executed against the conversion stack: fuzzed and hostile PDFs fail safely and never persist as converted output</t>
  </si>
  <si>
    <t xml:space="preserve">Fuzzing campaign report</t>
  </si>
  <si>
    <t xml:space="preserve">Zero worker compromises and zero hostile files stored as converted across the campaign corpus</t>
  </si>
  <si>
    <t xml:space="preserve">Review D-M9 tests; G security plan 4</t>
  </si>
  <si>
    <t xml:space="preserve">COR-12.2.01</t>
  </si>
  <si>
    <t xml:space="preserve">Content Engineer</t>
  </si>
  <si>
    <t xml:space="preserve">Conversion stages</t>
  </si>
  <si>
    <t xml:space="preserve">Extraction stage implemented for layout, tables, images with alt-text placeholders, and OCR for scanned pages</t>
  </si>
  <si>
    <t xml:space="preserve">COR-12.1.02, COR-11.2.01</t>
  </si>
  <si>
    <t xml:space="preserve">Stage code plus extraction test on mixed corpus</t>
  </si>
  <si>
    <t xml:space="preserve">Fixture PDF with tables and scans extracts with structure preserved per fidelity metric</t>
  </si>
  <si>
    <t xml:space="preserve">Review D-M9 gap conversion</t>
  </si>
  <si>
    <t xml:space="preserve">COR-12.2.02</t>
  </si>
  <si>
    <t xml:space="preserve">Structuring stage implemented producing accessible HTML/EPUB output with navigable headings and reading order</t>
  </si>
  <si>
    <t xml:space="preserve">Stage code plus structure validation</t>
  </si>
  <si>
    <t xml:space="preserve">Output passes automated structure checks for headings, order, and table markup on the fixture set</t>
  </si>
  <si>
    <t xml:space="preserve">PLAN M9 main-jobs</t>
  </si>
  <si>
    <t xml:space="preserve">COR-12.2.03</t>
  </si>
  <si>
    <t xml:space="preserve">Accessibility tagging stage implemented with the block-not-warn publish gate enforced in the pipeline</t>
  </si>
  <si>
    <t xml:space="preserve">COR-12.2.02, COR-11.2.03</t>
  </si>
  <si>
    <t xml:space="preserve">Gate enforcement test</t>
  </si>
  <si>
    <t xml:space="preserve">A document missing alt text or language tags is blocked from published state with an actionable QA task</t>
  </si>
  <si>
    <t xml:space="preserve">PLAN M9 main-jobs; Review D-M9</t>
  </si>
  <si>
    <t xml:space="preserve">COR-12.2.04</t>
  </si>
  <si>
    <t xml:space="preserve">Human QA queue implemented for technical-manual conversions with a per-document fidelity checklist and correction loop</t>
  </si>
  <si>
    <t xml:space="preserve">QA queue plus resolved-item evidence</t>
  </si>
  <si>
    <t xml:space="preserve">Failed conversions appear as QA tasks and corrections re-enter the pipeline without restart</t>
  </si>
  <si>
    <t xml:space="preserve">COR-12.2.05</t>
  </si>
  <si>
    <t xml:space="preserve">Conversion corpus acceptance test executed on 50 representative technical PDFs measuring structural fidelity and accessibility-tag coverage against thresholds</t>
  </si>
  <si>
    <t xml:space="preserve">Corpus test report</t>
  </si>
  <si>
    <t xml:space="preserve">Fidelity and tag-coverage thresholds met on the 50-document corpus; every failure has a QA task</t>
  </si>
  <si>
    <t xml:space="preserve">Review D-M9 tests; Stage 2 gate</t>
  </si>
  <si>
    <t xml:space="preserve">COR-12.2.06</t>
  </si>
  <si>
    <t xml:space="preserve">Exit-gate evidence bundle assembled and reviewed for task COR-12 (M9 ingestion and conversion build)</t>
  </si>
  <si>
    <t xml:space="preserve">COR-13.1.01</t>
  </si>
  <si>
    <t xml:space="preserve">M9 reader and reading events build</t>
  </si>
  <si>
    <t xml:space="preserve">Reader</t>
  </si>
  <si>
    <t xml:space="preserve">Reader UI implemented in React and launched inside the course site via M7 deep link with the LMS storing only the book link/ID</t>
  </si>
  <si>
    <t xml:space="preserve">COR-02.2.01, COR-12.2.02</t>
  </si>
  <si>
    <t xml:space="preserve">Reader E2E test through Moodle iframe</t>
  </si>
  <si>
    <t xml:space="preserve">Book opens from deep link in an iframe with third-party cookies disabled</t>
  </si>
  <si>
    <t xml:space="preserve">PLAN M9 main-jobs; PLAN Rule 1</t>
  </si>
  <si>
    <t xml:space="preserve">COR-13.1.02</t>
  </si>
  <si>
    <t xml:space="preserve">Class roster consumed from M7 roster sync with no duplicate roster logic in M9</t>
  </si>
  <si>
    <t xml:space="preserve">COR-01.1.05, COR-13.1.01</t>
  </si>
  <si>
    <t xml:space="preserve">Roster consumption code review</t>
  </si>
  <si>
    <t xml:space="preserve">M9 contains zero roster-fetch code paths and reads membership from the M7-owned store</t>
  </si>
  <si>
    <t xml:space="preserve">Review D-M7/M9 roster decision</t>
  </si>
  <si>
    <t xml:space="preserve">COR-13.1.03</t>
  </si>
  <si>
    <t xml:space="preserve">Screen-reader journey test passed: open book in LMS iframe, read, and navigate with NVDA and TalkBack meeting WCAG 2.1 AA</t>
  </si>
  <si>
    <t xml:space="preserve">Accessibility journey test report</t>
  </si>
  <si>
    <t xml:space="preserve">Both screen readers complete the journey with zero critical WCAG 2.1 AA findings</t>
  </si>
  <si>
    <t xml:space="preserve">Review D-M9 tests</t>
  </si>
  <si>
    <t xml:space="preserve">COR-13.2.01</t>
  </si>
  <si>
    <t xml:space="preserve">Reading events</t>
  </si>
  <si>
    <t xml:space="preserve">Reading-event instrumentation implemented with client-side heartbeat aggregation before M3 per the registered profile</t>
  </si>
  <si>
    <t xml:space="preserve">COR-11.1.01, COR-13.1.01</t>
  </si>
  <si>
    <t xml:space="preserve">Instrumentation code plus event validation test</t>
  </si>
  <si>
    <t xml:space="preserve">Emitted events match the profile and aggregation reduces raw heartbeats per the stated window</t>
  </si>
  <si>
    <t xml:space="preserve">COR-13.2.02</t>
  </si>
  <si>
    <t xml:space="preserve">Offline and background-tab semantics implemented per profile: paused tabs stop dwell accrual and offline reads queue events for later upload</t>
  </si>
  <si>
    <t xml:space="preserve">Semantics test evidence</t>
  </si>
  <si>
    <t xml:space="preserve">Backgrounded tab accrues zero dwell and queued offline events upload once with no duplicates</t>
  </si>
  <si>
    <t xml:space="preserve">Review D-M9 gap dwell; Scenario 6 pattern</t>
  </si>
  <si>
    <t xml:space="preserve">COR-13.2.03</t>
  </si>
  <si>
    <t xml:space="preserve">Reading-event load test executed through M3 at projected class scale against the volume model</t>
  </si>
  <si>
    <t xml:space="preserve">COR-13.2.01, COR-11.1.02</t>
  </si>
  <si>
    <t xml:space="preserve">Event pipeline sustains the modeled rate for 2000 concurrent readers with zero loss</t>
  </si>
  <si>
    <t xml:space="preserve">Review D-M9 exit-criteria</t>
  </si>
  <si>
    <t xml:space="preserve">COR-13.2.04</t>
  </si>
  <si>
    <t xml:space="preserve">Exit-gate evidence bundle assembled and reviewed for task COR-13 (M9 reader and reading events build)</t>
  </si>
  <si>
    <t xml:space="preserve">COR-14.1.01</t>
  </si>
  <si>
    <t xml:space="preserve">M9 data, security, operations, and handoff</t>
  </si>
  <si>
    <t xml:space="preserve">Data and storage</t>
  </si>
  <si>
    <t xml:space="preserve">M9 schema and migrations implemented in its own database area with tenant RLS on library, documents, and reading state</t>
  </si>
  <si>
    <t xml:space="preserve">Migrations plus RLS negative test</t>
  </si>
  <si>
    <t xml:space="preserve">Cross-tenant select returns zero rows on all M9 tables</t>
  </si>
  <si>
    <t xml:space="preserve">PLAN Rule 1; Scenario 2</t>
  </si>
  <si>
    <t xml:space="preserve">COR-14.1.02</t>
  </si>
  <si>
    <t xml:space="preserve">MinIO object storage configured with tenant-scoped paths and per-tenant encryption per the storage contract</t>
  </si>
  <si>
    <t xml:space="preserve">Storage config plus path audit</t>
  </si>
  <si>
    <t xml:space="preserve">Storage tenancy audit finds zero objects outside the tenant path convention</t>
  </si>
  <si>
    <t xml:space="preserve">COR-14.1.03</t>
  </si>
  <si>
    <t xml:space="preserve">Signed-URL scoping negative test executed: a URL issued for tenant A object fails for tenant B principals and after TTL expiry</t>
  </si>
  <si>
    <t xml:space="preserve">Negative test report</t>
  </si>
  <si>
    <t xml:space="preserve">Both cross-tenant and expired accesses are denied with audit records</t>
  </si>
  <si>
    <t xml:space="preserve">LOOP 8 object-storage; Scenario 2</t>
  </si>
  <si>
    <t xml:space="preserve">COR-14.2.01</t>
  </si>
  <si>
    <t xml:space="preserve">M9 pipeline observability implemented: per-stage conversion metrics, failure alerts, correlation IDs, and an SLO for conversion turnaround</t>
  </si>
  <si>
    <t xml:space="preserve">All stage metrics visible and a seeded stage failure fires its alert</t>
  </si>
  <si>
    <t xml:space="preserve">Review N; LOOP 2 lane 5</t>
  </si>
  <si>
    <t xml:space="preserve">COR-14.2.02</t>
  </si>
  <si>
    <t xml:space="preserve">M9 operator runbook written covering conversion failures, QA queue management, and storage restore, walked by a non-author</t>
  </si>
  <si>
    <t xml:space="preserve">Non-author completes all three procedures from the runbook</t>
  </si>
  <si>
    <t xml:space="preserve">COR-14.2.03</t>
  </si>
  <si>
    <t xml:space="preserve">M9 CI pipeline and pinned container added to the release bundle including bundled fonts and reader assets for offline serving</t>
  </si>
  <si>
    <t xml:space="preserve">Pipeline green and no reader asset is fetched from an external origin at runtime</t>
  </si>
  <si>
    <t xml:space="preserve">COR-14.2.04</t>
  </si>
  <si>
    <t xml:space="preserve">M9 installed in the zero-egress enclave simulator with upload, conversion, read, and event chain passing and zero egress</t>
  </si>
  <si>
    <t xml:space="preserve">Enclave install log plus egress result</t>
  </si>
  <si>
    <t xml:space="preserve">Full chain completes in the enclave with zero outbound connection attempts</t>
  </si>
  <si>
    <t xml:space="preserve">MOD-015; Stage 2 gate</t>
  </si>
  <si>
    <t xml:space="preserve">COR-14.2.05</t>
  </si>
  <si>
    <t xml:space="preserve">M9 rollback rehearsed with in-flight conversion jobs verified to resume or fail visibly after rollback</t>
  </si>
  <si>
    <t xml:space="preserve">No conversion job silently lost across rollback; queue state consistent</t>
  </si>
  <si>
    <t xml:space="preserve">COR-14.3.01</t>
  </si>
  <si>
    <t xml:space="preserve">Documentation</t>
  </si>
  <si>
    <t xml:space="preserve">M9 admin and teacher guides published covering upload, conversion QA, library management, and accessibility conformance statement, plus P4 notes</t>
  </si>
  <si>
    <t xml:space="preserve">Published docs set</t>
  </si>
  <si>
    <t xml:space="preserve">A pilot teacher uploads and publishes a document using only the guide</t>
  </si>
  <si>
    <t xml:space="preserve">COR-14.3.02</t>
  </si>
  <si>
    <t xml:space="preserve">Exit-gate evidence bundle assembled and reviewed for task COR-14 (M9 data, security, operations, and handoff)</t>
  </si>
  <si>
    <t xml:space="preserve">SMT-01.1.01</t>
  </si>
  <si>
    <t xml:space="preserve">SMT</t>
  </si>
  <si>
    <t xml:space="preserve">M10</t>
  </si>
  <si>
    <t xml:space="preserve">M10 teacher-view layer on unified analytics</t>
  </si>
  <si>
    <t xml:space="preserve">Scope and contracts</t>
  </si>
  <si>
    <t xml:space="preserve">M6/M10 merge responsibility matrix recorded: dashboard construction owned by ANA-05, M10 delivers the teacher-experience layer and embedding hooks only, with no duplicate aggregation logic</t>
  </si>
  <si>
    <t xml:space="preserve">ANA-05.1.01</t>
  </si>
  <si>
    <t xml:space="preserve">Signed responsibility matrix</t>
  </si>
  <si>
    <t xml:space="preserve">Matrix assigns every dashboard and aggregation to exactly one owner and is approved by architecture board</t>
  </si>
  <si>
    <t xml:space="preserve">Review D-M10 required-changes; MOD merge; K</t>
  </si>
  <si>
    <t xml:space="preserve">REVIEW: depends on later-stage item</t>
  </si>
  <si>
    <t xml:space="preserve">SMT-01.1.02</t>
  </si>
  <si>
    <t xml:space="preserve">Teacher-view freshness and performance SLO recorded: p95 at or below 2 s for a 2000-learner class at 500 concurrent teachers with data staleness displayed on every view</t>
  </si>
  <si>
    <t xml:space="preserve">SLO document in architecture repo</t>
  </si>
  <si>
    <t xml:space="preserve">SLO document approved with both numeric targets and the staleness-display requirement</t>
  </si>
  <si>
    <t xml:space="preserve">Review D-M10 required-changes; Loop 10</t>
  </si>
  <si>
    <t xml:space="preserve">SMT-01.1.03</t>
  </si>
  <si>
    <t xml:space="preserve">Cache design document approved defining every cached number as strictly derived with source query, TTL, tenant-scoped key, and rebuild job so Redis loss is a latency event only</t>
  </si>
  <si>
    <t xml:space="preserve">Approved cache design doc</t>
  </si>
  <si>
    <t xml:space="preserve">Every planned cache entry lists all four attributes; no cached value lacks a rebuild path</t>
  </si>
  <si>
    <t xml:space="preserve">Review D-M10 gap cache; R-027; LOOP 5</t>
  </si>
  <si>
    <t xml:space="preserve">SMT-01.2.01</t>
  </si>
  <si>
    <t xml:space="preserve">Embedding hooks and teacher-specific views</t>
  </si>
  <si>
    <t xml:space="preserve">Teacher dashboard embedding implemented in course-site teacher views via M7 launch context resolving to ANA signed-embed URLs</t>
  </si>
  <si>
    <t xml:space="preserve">ANA-06.1.03, COR-01.1.01</t>
  </si>
  <si>
    <t xml:space="preserve">Embed integration test through Moodle</t>
  </si>
  <si>
    <t xml:space="preserve">Teacher launch opens the ANA teacher pack inside the LMS with tenant scope from server-side JWT only</t>
  </si>
  <si>
    <t xml:space="preserve">PLAN M10 main-jobs; ANA-06</t>
  </si>
  <si>
    <t xml:space="preserve">SMT-01.2.02</t>
  </si>
  <si>
    <t xml:space="preserve">At-risk drill-down handoff implemented: teacher view links each flag to the M11 explanation panel showing factors, confidence, and data-completeness</t>
  </si>
  <si>
    <t xml:space="preserve">SMT-03.2.04, ANA-05.1.05</t>
  </si>
  <si>
    <t xml:space="preserve">Drill-down E2E test</t>
  </si>
  <si>
    <t xml:space="preserve">Clicking a fixture flag renders factors, confidence, and completeness values matching engine output</t>
  </si>
  <si>
    <t xml:space="preserve">PLAN M10; Review D-M11; Scenario 5</t>
  </si>
  <si>
    <t xml:space="preserve">SMT-01.2.03</t>
  </si>
  <si>
    <t xml:space="preserve">Undelivered-grades panel embedded in the teacher view fed by the M7 reconciliation feed</t>
  </si>
  <si>
    <t xml:space="preserve">Panel E2E test</t>
  </si>
  <si>
    <t xml:space="preserve">Seeded failed passback appears in the teacher panel within 5 minutes</t>
  </si>
  <si>
    <t xml:space="preserve">Scenario 3 required-change c</t>
  </si>
  <si>
    <t xml:space="preserve">SMT-01.2.04</t>
  </si>
  <si>
    <t xml:space="preserve">Teacher export hook implemented delegating to the ANA governed export path with no separate M10 export pipeline</t>
  </si>
  <si>
    <t xml:space="preserve">Export hook code review plus test</t>
  </si>
  <si>
    <t xml:space="preserve">Export produced via ANA path with export audit log entry; no M10-local export code exists</t>
  </si>
  <si>
    <t xml:space="preserve">PLAN M10 main-jobs; ANA-07</t>
  </si>
  <si>
    <t xml:space="preserve">SMT-01.3.01</t>
  </si>
  <si>
    <t xml:space="preserve">Cache build and validation</t>
  </si>
  <si>
    <t xml:space="preserve">Tenant-scoped cache keys implemented for all teacher-view cached numbers per the cache design</t>
  </si>
  <si>
    <t xml:space="preserve">Cache key implementation plus review</t>
  </si>
  <si>
    <t xml:space="preserve">Every cache key contains the tenant ID segment; static analysis finds zero unscoped keys</t>
  </si>
  <si>
    <t xml:space="preserve">LOOP 8 cache tenancy; Review D-M10</t>
  </si>
  <si>
    <t xml:space="preserve">SMT-01.3.02</t>
  </si>
  <si>
    <t xml:space="preserve">Cache tenancy fuzz test executed: concurrent identical dashboard requests across tenants with zero cross-tenant cache hits</t>
  </si>
  <si>
    <t xml:space="preserve">Zero cross-tenant hits across the full fuzz run</t>
  </si>
  <si>
    <t xml:space="preserve">Review D-M10 tests; Scenario 2</t>
  </si>
  <si>
    <t xml:space="preserve">SMT-01.3.03</t>
  </si>
  <si>
    <t xml:space="preserve">Cache rebuild job implemented and Redis FLUSHALL chaos test passed under load: views degrade to source reads or rebuilding states, numbers never change incorrectly, rebuild completes within SLO</t>
  </si>
  <si>
    <t xml:space="preserve">Zero incorrect numbers during flush recovery and rebuild inside the SLO window</t>
  </si>
  <si>
    <t xml:space="preserve">Review D-M10 tests; R-027</t>
  </si>
  <si>
    <t xml:space="preserve">SMT-01.3.04</t>
  </si>
  <si>
    <t xml:space="preserve">Aggregate consistency check automated in CI: teacher-view aggregate equals mart-derived export for the same class and window exactly</t>
  </si>
  <si>
    <t xml:space="preserve">SMT-01.3.03, SMT-01.2.04</t>
  </si>
  <si>
    <t xml:space="preserve">CI consistency job output</t>
  </si>
  <si>
    <t xml:space="preserve">Exact match on the fixture class across all compared aggregates in CI</t>
  </si>
  <si>
    <t xml:space="preserve">Review D-M10 tests</t>
  </si>
  <si>
    <t xml:space="preserve">SMT-01.4.01</t>
  </si>
  <si>
    <t xml:space="preserve">Operations and handoff</t>
  </si>
  <si>
    <t xml:space="preserve">M10 observability implemented: embed load p95, cache hit ratio, and staleness age metrics with alerts and a runbook walked by a non-author</t>
  </si>
  <si>
    <t xml:space="preserve">Dashboards, alert rules, runbook sign-off</t>
  </si>
  <si>
    <t xml:space="preserve">All three metrics visible, alerts fired in test, and non-author completes the runbook walk</t>
  </si>
  <si>
    <t xml:space="preserve">Review N; TST-STD 8</t>
  </si>
  <si>
    <t xml:space="preserve">SMT-01.4.02</t>
  </si>
  <si>
    <t xml:space="preserve">M10 teacher-view layer installed in the zero-egress enclave simulator against the enclave reporting replica with zero egress</t>
  </si>
  <si>
    <t xml:space="preserve">Teacher views render from the enclave replica with zero outbound attempts</t>
  </si>
  <si>
    <t xml:space="preserve">MOD-015; A-014</t>
  </si>
  <si>
    <t xml:space="preserve">SMT-01.4.03</t>
  </si>
  <si>
    <t xml:space="preserve">Teacher user guide published for embedded views, drill-downs, and exports, plus P4 training notes</t>
  </si>
  <si>
    <t xml:space="preserve">Published guide plus P4 notes</t>
  </si>
  <si>
    <t xml:space="preserve">Pilot teacher completes flag drill-down and export using only the guide</t>
  </si>
  <si>
    <t xml:space="preserve">SMT-01.4.04</t>
  </si>
  <si>
    <t xml:space="preserve">Exit-gate evidence bundle assembled and reviewed for task SMT-01 (M10 teacher-view layer on unified analytics)</t>
  </si>
  <si>
    <t xml:space="preserve">SMT-02.1.01</t>
  </si>
  <si>
    <t xml:space="preserve">M11</t>
  </si>
  <si>
    <t xml:space="preserve">M11 contracts and risk model card</t>
  </si>
  <si>
    <t xml:space="preserve">Risk-signal contract</t>
  </si>
  <si>
    <t xml:space="preserve">Risk-signal event schema published to the contract registry with confidence field, data-completeness qualifier, staleness bound, rule-set version, and input-window checksum, with conformance tests</t>
  </si>
  <si>
    <t xml:space="preserve">Versioned signal schema plus conformance suite</t>
  </si>
  <si>
    <t xml:space="preserve">Schema v1 in registry; a signal missing any mandatory field fails conformance</t>
  </si>
  <si>
    <t xml:space="preserve">Scenario 5 fix; I.3-5; MOD-002</t>
  </si>
  <si>
    <t xml:space="preserve">SMT-02.1.02</t>
  </si>
  <si>
    <t xml:space="preserve">Signal transport boundary decision recorded: signals published via the transactional outbox on the M4 backbone and also landed as auditable records through M3 so adaptive decisions are reconstructable</t>
  </si>
  <si>
    <t xml:space="preserve">SMT-02.1.01, FND-04.1.01</t>
  </si>
  <si>
    <t xml:space="preserve">Decision resolves the Rule-2 boundary question and both paths are named with owners</t>
  </si>
  <si>
    <t xml:space="preserve">Review D-M11 gap boundary; MOD-004</t>
  </si>
  <si>
    <t xml:space="preserve">SMT-02.1.03</t>
  </si>
  <si>
    <t xml:space="preserve">Retraction event contract published: late-arriving events trigger rescore and a retraction signal with defined M13 undo semantics</t>
  </si>
  <si>
    <t xml:space="preserve">Retraction contract in registry</t>
  </si>
  <si>
    <t xml:space="preserve">Contract defines retraction payload, ordering rule, and consumer obligations</t>
  </si>
  <si>
    <t xml:space="preserve">Scenario 5 required-change d</t>
  </si>
  <si>
    <t xml:space="preserve">SMT-02.2.01</t>
  </si>
  <si>
    <t xml:space="preserve">Risk model card</t>
  </si>
  <si>
    <t xml:space="preserve">Risk model card v1 written defining the at-risk outcome, rule set, thresholds, and recompute cadence</t>
  </si>
  <si>
    <t xml:space="preserve">Model card document</t>
  </si>
  <si>
    <t xml:space="preserve">Card states a falsifiable outcome definition and every rule with its threshold and version</t>
  </si>
  <si>
    <t xml:space="preserve">Review D-M11 required-changes; A-038</t>
  </si>
  <si>
    <t xml:space="preserve">SMT-02.2.02</t>
  </si>
  <si>
    <t xml:space="preserve">Validation methodology defined in the model card: retrospective backtest plan plus pilot precision/recall targets</t>
  </si>
  <si>
    <t xml:space="preserve">Methodology section approved</t>
  </si>
  <si>
    <t xml:space="preserve">Numeric precision and recall targets stated with the evaluation dataset defined</t>
  </si>
  <si>
    <t xml:space="preserve">Review D-M11; challenge Q11</t>
  </si>
  <si>
    <t xml:space="preserve">SMT-02.2.03</t>
  </si>
  <si>
    <t xml:space="preserve">Bias review plan written covering connectivity-constrained, shift-work, and offline-device learner cohorts with comparison metrics</t>
  </si>
  <si>
    <t xml:space="preserve">Bias review plan document</t>
  </si>
  <si>
    <t xml:space="preserve">Plan names cohorts, metrics, and review cadence and is approved by Product Manager</t>
  </si>
  <si>
    <t xml:space="preserve">Review D-M11 gap fairness; I.3-2</t>
  </si>
  <si>
    <t xml:space="preserve">SMT-02.2.04</t>
  </si>
  <si>
    <t xml:space="preserve">Instructional Designer</t>
  </si>
  <si>
    <t xml:space="preserve">Teacher feedback loop designed: flags surfaced as for-review with one-click dismiss/confirm captured as labeled data feeding rule revision</t>
  </si>
  <si>
    <t xml:space="preserve">Feedback loop design doc</t>
  </si>
  <si>
    <t xml:space="preserve">Design defines the label schema and the rule-revision consumption path</t>
  </si>
  <si>
    <t xml:space="preserve">Scenario 5 required-change c; A-019</t>
  </si>
  <si>
    <t xml:space="preserve">SMT-02.2.05</t>
  </si>
  <si>
    <t xml:space="preserve">Exit-gate evidence bundle assembled and reviewed for task SMT-02 (M11 contracts and risk model card)</t>
  </si>
  <si>
    <t xml:space="preserve">SMT-03.1.01</t>
  </si>
  <si>
    <t xml:space="preserve">M11 engine build</t>
  </si>
  <si>
    <t xml:space="preserve">Scoring pipeline</t>
  </si>
  <si>
    <t xml:space="preserve">Activity-signal readers implemented for time-spent, failure counts, inactivity, and guessing patterns reading from the mart/read replica only</t>
  </si>
  <si>
    <t xml:space="preserve">SMT-02.1.01, ANA-02.2.04</t>
  </si>
  <si>
    <t xml:space="preserve">Reader code plus source audit</t>
  </si>
  <si>
    <t xml:space="preserve">Readers hold no credentials to the live write path; all four signal families computed on fixtures</t>
  </si>
  <si>
    <t xml:space="preserve">PLAN M11 main-jobs; PLAN Rule 4</t>
  </si>
  <si>
    <t xml:space="preserve">SMT-03.1.02</t>
  </si>
  <si>
    <t xml:space="preserve">Sync-watermark consumption implemented: per-device and per-learner last-sync watermarks from M3 gate inactivity rules, suppressing or downgrading flags to low-confidence when completeness is below threshold</t>
  </si>
  <si>
    <t xml:space="preserve">Watermark gating code plus test</t>
  </si>
  <si>
    <t xml:space="preserve">Fixture learner with pending offline sync produces no full-confidence inactivity flag</t>
  </si>
  <si>
    <t xml:space="preserve">Scenario 5 fix; I.3-2</t>
  </si>
  <si>
    <t xml:space="preserve">SMT-03.1.03</t>
  </si>
  <si>
    <t xml:space="preserve">Rule engine v1 implemented with versioned rule sets and every score stamped with the producing rule-set version</t>
  </si>
  <si>
    <t xml:space="preserve">SMT-02.2.01, SMT-03.1.01</t>
  </si>
  <si>
    <t xml:space="preserve">Engine code plus version stamp test</t>
  </si>
  <si>
    <t xml:space="preserve">Every fixture score carries rule-set version; rule change produces a new version identifier</t>
  </si>
  <si>
    <t xml:space="preserve">PLAN M11 main-jobs; I.3-5</t>
  </si>
  <si>
    <t xml:space="preserve">SMT-03.1.04</t>
  </si>
  <si>
    <t xml:space="preserve">Explainable factors implemented: every score stores its contributing factors with rule references for drill-down display</t>
  </si>
  <si>
    <t xml:space="preserve">Factor storage plus explanation query test</t>
  </si>
  <si>
    <t xml:space="preserve">For any fixture score the factor list reproduces the rule evaluation exactly</t>
  </si>
  <si>
    <t xml:space="preserve">Review D-M11; PLAN M11 clear rules</t>
  </si>
  <si>
    <t xml:space="preserve">SMT-03.1.05</t>
  </si>
  <si>
    <t xml:space="preserve">Suggested help-action mapping implemented from fired rules to recommended actions</t>
  </si>
  <si>
    <t xml:space="preserve">Mapping table plus output test</t>
  </si>
  <si>
    <t xml:space="preserve">Each fixture flag carries at least one action tied to a fired rule</t>
  </si>
  <si>
    <t xml:space="preserve">PLAN M11 main-jobs</t>
  </si>
  <si>
    <t xml:space="preserve">SMT-03.1.06</t>
  </si>
  <si>
    <t xml:space="preserve">Background pre-computation workers implemented at the model-card cadence keeping dashboard reads off the scoring path</t>
  </si>
  <si>
    <t xml:space="preserve">Worker deployment plus cadence evidence</t>
  </si>
  <si>
    <t xml:space="preserve">Scores recompute on schedule with zero synchronous scoring on dashboard requests</t>
  </si>
  <si>
    <t xml:space="preserve">SMT-03.2.01</t>
  </si>
  <si>
    <t xml:space="preserve">Persistence and publication</t>
  </si>
  <si>
    <t xml:space="preserve">Durable versioned score store implemented in PostgreSQL, tenant-scoped, with Redis strictly a rebuildable cache</t>
  </si>
  <si>
    <t xml:space="preserve">Score store schema plus rebuild test</t>
  </si>
  <si>
    <t xml:space="preserve">Redis flush followed by rebuild restores identical scores from PostgreSQL</t>
  </si>
  <si>
    <t xml:space="preserve">Review D-M11 required-changes; R-027</t>
  </si>
  <si>
    <t xml:space="preserve">SMT-03.2.02</t>
  </si>
  <si>
    <t xml:space="preserve">Risk-signal publication implemented via the transactional outbox with idempotent consumers per the transport decision</t>
  </si>
  <si>
    <t xml:space="preserve">SMT-02.1.02, SMT-03.2.01</t>
  </si>
  <si>
    <t xml:space="preserve">Publisher code plus duplicate-consume test</t>
  </si>
  <si>
    <t xml:space="preserve">Duplicate signal delivery produces no duplicate downstream state change</t>
  </si>
  <si>
    <t xml:space="preserve">MOD-004; Scenario 5</t>
  </si>
  <si>
    <t xml:space="preserve">SMT-03.2.03</t>
  </si>
  <si>
    <t xml:space="preserve">Recompute-and-retract implemented: late-arriving events trigger rescoring and a retraction that invalidates cache, notifies M13, and updates dashboards within one scoring cycle</t>
  </si>
  <si>
    <t xml:space="preserve">SMT-02.1.03, SMT-03.2.02</t>
  </si>
  <si>
    <t xml:space="preserve">Retraction flow test</t>
  </si>
  <si>
    <t xml:space="preserve">Late fixture events retract the prior flag across Redis, dashboard feed, and M13 notification in one cycle</t>
  </si>
  <si>
    <t xml:space="preserve">SMT-03.2.04</t>
  </si>
  <si>
    <t xml:space="preserve">Explanation API implemented for teacher drill-down returning factors, confidence, and data-completeness per flag</t>
  </si>
  <si>
    <t xml:space="preserve">SMT-03.1.04, SMT-03.1.02</t>
  </si>
  <si>
    <t xml:space="preserve">API contract test</t>
  </si>
  <si>
    <t xml:space="preserve">API returns all three field groups for every fixture flag with authorization enforced</t>
  </si>
  <si>
    <t xml:space="preserve">Review D-M11; A-019 mitigation</t>
  </si>
  <si>
    <t xml:space="preserve">SMT-03.3.01</t>
  </si>
  <si>
    <t xml:space="preserve">Validation drills</t>
  </si>
  <si>
    <t xml:space="preserve">Scenario-5 replay harness executed: synthetic learner with 7 days of device-queued events produces no full-confidence flag before sync and full retraction propagation within one cycle after sync</t>
  </si>
  <si>
    <t xml:space="preserve">SMT-03.2.03, SMT-03.1.02</t>
  </si>
  <si>
    <t xml:space="preserve">Replay harness report</t>
  </si>
  <si>
    <t xml:space="preserve">Both assertions pass: pre-sync suppression and post-sync retraction to Redis, dashboards, and M13</t>
  </si>
  <si>
    <t xml:space="preserve">Scenario 5 validation test</t>
  </si>
  <si>
    <t xml:space="preserve">SMT-03.3.02</t>
  </si>
  <si>
    <t xml:space="preserve">Retrospective backtest executed on the pilot/historical cohort reporting precision and recall against model-card targets</t>
  </si>
  <si>
    <t xml:space="preserve">SMT-03.1.03, SMT-02.2.02</t>
  </si>
  <si>
    <t xml:space="preserve">Backtest report</t>
  </si>
  <si>
    <t xml:space="preserve">Precision and recall computed and compared to targets with pass/fail conclusion recorded</t>
  </si>
  <si>
    <t xml:space="preserve">Review D-M11 tests; A-038</t>
  </si>
  <si>
    <t xml:space="preserve">SMT-03.3.03</t>
  </si>
  <si>
    <t xml:space="preserve">Bias check executed comparing false-positive rates across the model-card cohorts with results reviewed and rule changes logged</t>
  </si>
  <si>
    <t xml:space="preserve">SMT-03.3.02, SMT-02.2.03</t>
  </si>
  <si>
    <t xml:space="preserve">Bias check report with review minutes</t>
  </si>
  <si>
    <t xml:space="preserve">Cohort comparison published; any disparity above the stated bound has a logged rule action</t>
  </si>
  <si>
    <t xml:space="preserve">Review D-M11 gap fairness</t>
  </si>
  <si>
    <t xml:space="preserve">SMT-03.3.04</t>
  </si>
  <si>
    <t xml:space="preserve">Signal-integrity chaos test executed: Redis and the bus killed mid-recompute with M13 degrading to no-new-signals and never consuming stale-beyond-bound or wrong-tenant scores</t>
  </si>
  <si>
    <t xml:space="preserve">Zero stale-beyond-bound or cross-tenant signals consumed during the outage window</t>
  </si>
  <si>
    <t xml:space="preserve">Review D-M11 tests</t>
  </si>
  <si>
    <t xml:space="preserve">SMT-03.3.05</t>
  </si>
  <si>
    <t xml:space="preserve">End-to-end audit test executed: for a fixture M13 adaptive change, the exact score, rule version, and input events are reconstructed from stored records</t>
  </si>
  <si>
    <t xml:space="preserve">SMT-03.2.02, SMT-02.1.02</t>
  </si>
  <si>
    <t xml:space="preserve">Audit reconstruction evidence</t>
  </si>
  <si>
    <t xml:space="preserve">Full chain reconstructed from durable records alone with no cache reads</t>
  </si>
  <si>
    <t xml:space="preserve">Review D-M11 exit-criteria</t>
  </si>
  <si>
    <t xml:space="preserve">SMT-03.3.06</t>
  </si>
  <si>
    <t xml:space="preserve">Exit-gate evidence bundle assembled and reviewed for task SMT-03 (M11 engine build)</t>
  </si>
  <si>
    <t xml:space="preserve">SMT-04.1.01</t>
  </si>
  <si>
    <t xml:space="preserve">M11 data, security, operations, and handoff</t>
  </si>
  <si>
    <t xml:space="preserve">Data and security</t>
  </si>
  <si>
    <t xml:space="preserve">M11 schema and migrations implemented with tenant RLS on scores, signals, and feedback labels, including learner-deletion handling for score inputs</t>
  </si>
  <si>
    <t xml:space="preserve">Migrations plus RLS and deletion tests</t>
  </si>
  <si>
    <t xml:space="preserve">Cross-tenant select returns zero rows and a deleted learner's identifiers are absent from recomputed inputs</t>
  </si>
  <si>
    <t xml:space="preserve">Scenario 2; Review D-M11 lifecycle</t>
  </si>
  <si>
    <t xml:space="preserve">SMT-04.1.02</t>
  </si>
  <si>
    <t xml:space="preserve">Authorization enforced on the explanation API and signal endpoints with cross-tenant negative tests green</t>
  </si>
  <si>
    <t xml:space="preserve">Authz suite output</t>
  </si>
  <si>
    <t xml:space="preserve">Foreign-tenant token receives zero flags and zero explanations in negative tests</t>
  </si>
  <si>
    <t xml:space="preserve">TST-STD 5; Scenario 2</t>
  </si>
  <si>
    <t xml:space="preserve">SMT-04.1.03</t>
  </si>
  <si>
    <t xml:space="preserve">Instructor risk views confirmed delivered through the unified analytics layer with the separate Streamlit surface formally dropped or justified in the decision register</t>
  </si>
  <si>
    <t xml:space="preserve">Decision record or removal evidence</t>
  </si>
  <si>
    <t xml:space="preserve">No Streamlit deployment exists in the release bundle, or a signed decision record justifies it</t>
  </si>
  <si>
    <t xml:space="preserve">Review D-M11 required-changes</t>
  </si>
  <si>
    <t xml:space="preserve">SMT-04.2.01</t>
  </si>
  <si>
    <t xml:space="preserve">M11 observability implemented: scoring lag, retraction rate, flag volume, and watermark backlog metrics with alerts, SLO, and runbook walked by a non-author</t>
  </si>
  <si>
    <t xml:space="preserve">Dashboards, alerts, runbook sign-off</t>
  </si>
  <si>
    <t xml:space="preserve">All four metrics visible, alerts fired in test, and non-author completes the runbook walk</t>
  </si>
  <si>
    <t xml:space="preserve">SMT-04.2.02</t>
  </si>
  <si>
    <t xml:space="preserve">M11 CI pipeline and pinned container added to the release bundle and installed in the zero-egress enclave simulator with separately tuned enclave rule parameters</t>
  </si>
  <si>
    <t xml:space="preserve">CI run, bundle manifest, enclave install log</t>
  </si>
  <si>
    <t xml:space="preserve">Enclave scoring runs with zero egress and the enclave rule profile loaded</t>
  </si>
  <si>
    <t xml:space="preserve">MOD-015; I.3-2 federated skew</t>
  </si>
  <si>
    <t xml:space="preserve">SMT-04.2.03</t>
  </si>
  <si>
    <t xml:space="preserve">M11 rollback rehearsed with score-store integrity and in-flight recompute state verified across versions</t>
  </si>
  <si>
    <t xml:space="preserve">No score lost or duplicated across rollback; recompute resumes cleanly</t>
  </si>
  <si>
    <t xml:space="preserve">SMT-04.2.04</t>
  </si>
  <si>
    <t xml:space="preserve">Plain-language model card published to teachers and admins plus quarterly false-positive/negative evaluation cadence documented and P4 notes drafted</t>
  </si>
  <si>
    <t xml:space="preserve">SMT-02.2.01, SMT-03.3.02</t>
  </si>
  <si>
    <t xml:space="preserve">Published model card plus evaluation calendar</t>
  </si>
  <si>
    <t xml:space="preserve">Model card readable by a pilot teacher and the quarterly evaluation owner named</t>
  </si>
  <si>
    <t xml:space="preserve">Scenario 5 required-change e; P4</t>
  </si>
  <si>
    <t xml:space="preserve">SMT-04.2.05</t>
  </si>
  <si>
    <t xml:space="preserve">Exit-gate evidence bundle assembled and reviewed for task SMT-04 (M11 data, security, operations, and handoff)</t>
  </si>
  <si>
    <t xml:space="preserve">SMT-05.1.01</t>
  </si>
  <si>
    <t xml:space="preserve">M12</t>
  </si>
  <si>
    <t xml:space="preserve">M12 contracts and registry binding</t>
  </si>
  <si>
    <t xml:space="preserve">Registry and evidence contracts</t>
  </si>
  <si>
    <t xml:space="preserve">Official-record write contract published requiring M19 registry skill IDs plus framework version on every write with free-text skill tags rejected by API validation</t>
  </si>
  <si>
    <t xml:space="preserve">TLA-01.1.01, FND-07.1.01</t>
  </si>
  <si>
    <t xml:space="preserve">Versioned write contract plus rejection test</t>
  </si>
  <si>
    <t xml:space="preserve">A write carrying a non-registry skill reference is rejected by contract validation</t>
  </si>
  <si>
    <t xml:space="preserve">Review D-M12 required-changes; MOD-003</t>
  </si>
  <si>
    <t xml:space="preserve">SMT-05.1.02</t>
  </si>
  <si>
    <t xml:space="preserve">Evidence-chain schema published: source statement IDs, assessment item version, rubric version, model and prompt version when AI-assisted, named human approver, and approval timestamp, with M3 rejecting writes lacking any field</t>
  </si>
  <si>
    <t xml:space="preserve">Evidence-chain schema plus enforcement test</t>
  </si>
  <si>
    <t xml:space="preserve">Write missing any mandatory evidence field is rejected at the API contract layer</t>
  </si>
  <si>
    <t xml:space="preserve">Scenario 10 required-change a; HS official-records</t>
  </si>
  <si>
    <t xml:space="preserve">SMT-05.1.03</t>
  </si>
  <si>
    <t xml:space="preserve">Official-record lifecycle contract published: issue, amend, and revoke as append-only signed events with reason codes and supersedes links, revocation as a first-class published event</t>
  </si>
  <si>
    <t xml:space="preserve">Lifecycle contract in registry</t>
  </si>
  <si>
    <t xml:space="preserve">All three event types defined with reason-code enumeration and consumer obligations</t>
  </si>
  <si>
    <t xml:space="preserve">Scenario 10 required-change b; challenge Q8</t>
  </si>
  <si>
    <t xml:space="preserve">SMT-05.1.04</t>
  </si>
  <si>
    <t xml:space="preserve">Skill-level mapping convention recorded: beginner-to-advanced test levels mapped to M19 framework level definitions by ID and version</t>
  </si>
  <si>
    <t xml:space="preserve">TLA-01.1.01</t>
  </si>
  <si>
    <t xml:space="preserve">Mapping convention document</t>
  </si>
  <si>
    <t xml:space="preserve">Every test level resolves to exactly one registry level ID for the fixture framework</t>
  </si>
  <si>
    <t xml:space="preserve">PLAN M12 main-jobs; Review D-M12</t>
  </si>
  <si>
    <t xml:space="preserve">SMT-05.2.01</t>
  </si>
  <si>
    <t xml:space="preserve">Human-review workflow specification</t>
  </si>
  <si>
    <t xml:space="preserve">Human-review workflow specified as the Rule 6 artifact: reviewer roles and qualifications, SLA, sampling policy at scale, and quorum rules</t>
  </si>
  <si>
    <t xml:space="preserve">Approved workflow specification</t>
  </si>
  <si>
    <t xml:space="preserve">Spec states numeric SLA and sampling rates and names qualifying reviewer roles</t>
  </si>
  <si>
    <t xml:space="preserve">Review D-M12 required-changes; Rule 6</t>
  </si>
  <si>
    <t xml:space="preserve">SMT-05.2.02</t>
  </si>
  <si>
    <t xml:space="preserve">Reviewer audit-log requirement specified: reviewer identity, decision, rationale, and timestamp stored append-only for every review action</t>
  </si>
  <si>
    <t xml:space="preserve">SMT-05.2.01, PLT-02.1.01</t>
  </si>
  <si>
    <t xml:space="preserve">Audit-log requirement in workflow spec</t>
  </si>
  <si>
    <t xml:space="preserve">Spec mandates all four fields via the shared audit service for every decision</t>
  </si>
  <si>
    <t xml:space="preserve">Review D-M12 gap review; MOD-013</t>
  </si>
  <si>
    <t xml:space="preserve">SMT-05.2.03</t>
  </si>
  <si>
    <t xml:space="preserve">Exit-gate evidence bundle assembled and reviewed for task SMT-05 (M12 contracts and registry binding)</t>
  </si>
  <si>
    <t xml:space="preserve">SMT-06.1.01</t>
  </si>
  <si>
    <t xml:space="preserve">M12 build and lifecycle drills</t>
  </si>
  <si>
    <t xml:space="preserve">Skill test management</t>
  </si>
  <si>
    <t xml:space="preserve">Skill-question management implemented tied to M19 skill IDs and levels with immutable question versioning</t>
  </si>
  <si>
    <t xml:space="preserve">SMT-05.1.01, SMT-05.1.04</t>
  </si>
  <si>
    <t xml:space="preserve">Question management code plus registry-reference test</t>
  </si>
  <si>
    <t xml:space="preserve">Every fixture question stores a resolvable registry skill ID and level; free-text tags impossible</t>
  </si>
  <si>
    <t xml:space="preserve">PLAN M12 main-jobs; MOD-003</t>
  </si>
  <si>
    <t xml:space="preserve">SMT-06.1.02</t>
  </si>
  <si>
    <t xml:space="preserve">Skill-check delivery and objective auto-grading implemented reusing the M8 grading engine with grading-rule version recorded per result</t>
  </si>
  <si>
    <t xml:space="preserve">COR-08.2.01, SMT-06.1.01</t>
  </si>
  <si>
    <t xml:space="preserve">Delivery code plus grading test</t>
  </si>
  <si>
    <t xml:space="preserve">Fixture skill check grades correctly and every result carries the grading-rule version</t>
  </si>
  <si>
    <t xml:space="preserve">PLAN M12 main-jobs; PLAN M12 tools</t>
  </si>
  <si>
    <t xml:space="preserve">SMT-06.1.03</t>
  </si>
  <si>
    <t xml:space="preserve">Result-to-skill mapping engine implemented producing suggested mappings from results to registry skill assertions</t>
  </si>
  <si>
    <t xml:space="preserve">Mapping engine plus suggestion test</t>
  </si>
  <si>
    <t xml:space="preserve">Fixture results produce suggested mappings referencing only registry IDs</t>
  </si>
  <si>
    <t xml:space="preserve">PLAN M12 main-jobs</t>
  </si>
  <si>
    <t xml:space="preserve">SMT-06.1.04</t>
  </si>
  <si>
    <t xml:space="preserve">[DEFERRED-3] AI-suggested skill mappings implemented via the shared inference service as advisory-only suggestions entering the same human approval queue</t>
  </si>
  <si>
    <t xml:space="preserve">PLT-03.1.01, AIA-05.1.01, SMT-06.1.03</t>
  </si>
  <si>
    <t xml:space="preserve">AI suggestion pipeline plus queue routing test</t>
  </si>
  <si>
    <t xml:space="preserve">Zero AI-suggested mappings become records without a named human approval</t>
  </si>
  <si>
    <t xml:space="preserve">PLAN M12 main-jobs; Rule 6</t>
  </si>
  <si>
    <t xml:space="preserve">SMT-06.2.01</t>
  </si>
  <si>
    <t xml:space="preserve">Approval queue and official records</t>
  </si>
  <si>
    <t xml:space="preserve">Human approval queue implemented with reviewer UI, approve/reject with rationale, and append-only reviewer audit trail via the shared audit service</t>
  </si>
  <si>
    <t xml:space="preserve">SMT-05.2.01, SMT-05.2.02</t>
  </si>
  <si>
    <t xml:space="preserve">Queue code plus audit trail test</t>
  </si>
  <si>
    <t xml:space="preserve">No record writable without a queue approval; every decision reconstructable with all four audit fields</t>
  </si>
  <si>
    <t xml:space="preserve">SMT-06.2.02</t>
  </si>
  <si>
    <t xml:space="preserve">Official-record write implemented through M3 into the M2 official level with the full evidence chain enforced at write time</t>
  </si>
  <si>
    <t xml:space="preserve">SMT-06.2.01, SMT-05.1.02</t>
  </si>
  <si>
    <t xml:space="preserve">Write path code plus enforcement test</t>
  </si>
  <si>
    <t xml:space="preserve">Write lacking any evidence-chain field is rejected; complete fixture write lands in M2 official level</t>
  </si>
  <si>
    <t xml:space="preserve">Scenario 10; PLAN M12 main-jobs</t>
  </si>
  <si>
    <t xml:space="preserve">SMT-06.2.03</t>
  </si>
  <si>
    <t xml:space="preserve">Amend and revoke implemented as append-only correction records propagating to consumers via outbox events with M14 gap recompute and dashboard updates verified</t>
  </si>
  <si>
    <t xml:space="preserve">SMT-06.2.02, SMT-05.1.03</t>
  </si>
  <si>
    <t xml:space="preserve">Revocation propagation test</t>
  </si>
  <si>
    <t xml:space="preserve">Fixture revocation reaches M14 recompute and dashboard feeds within one processing cycle</t>
  </si>
  <si>
    <t xml:space="preserve">Scenario 10 required-change b; MOD-007</t>
  </si>
  <si>
    <t xml:space="preserve">SMT-06.2.04</t>
  </si>
  <si>
    <t xml:space="preserve">Appeal workflow implemented: dispute intake, auto-assembled evidence bundle, SME re-review, and recorded outcome</t>
  </si>
  <si>
    <t xml:space="preserve">Appeal workflow code plus E2E test</t>
  </si>
  <si>
    <t xml:space="preserve">Fixture dispute produces a complete evidence bundle and a recorded re-review outcome</t>
  </si>
  <si>
    <t xml:space="preserve">Scenario 10 required-change c</t>
  </si>
  <si>
    <t xml:space="preserve">SMT-06.2.05</t>
  </si>
  <si>
    <t xml:space="preserve">Evidence-bundle retention implemented for the credential life plus statutory period with retention policy configuration</t>
  </si>
  <si>
    <t xml:space="preserve">Retention config plus policy test</t>
  </si>
  <si>
    <t xml:space="preserve">Bundle for an aged fixture record remains retrievable within policy and purges after expiry in test</t>
  </si>
  <si>
    <t xml:space="preserve">Scenario 10 required-change d</t>
  </si>
  <si>
    <t xml:space="preserve">SMT-06.3.01</t>
  </si>
  <si>
    <t xml:space="preserve">Lifecycle drills</t>
  </si>
  <si>
    <t xml:space="preserve">Scenario-10 revocation drill executed: AI-assisted record created, grading model upgraded, simulated two-year migration, evidence bundle reproduced, appeal executed, revocation propagated within one cycle, original readable and marked superseded</t>
  </si>
  <si>
    <t xml:space="preserve">SMT-06.2.03, SMT-06.2.04</t>
  </si>
  <si>
    <t xml:space="preserve">All six drill assertions pass in one rehearsal run</t>
  </si>
  <si>
    <t xml:space="preserve">Scenario 10 validation test; Stage 2 gate</t>
  </si>
  <si>
    <t xml:space="preserve">SMT-06.3.02</t>
  </si>
  <si>
    <t xml:space="preserve">Full lifecycle test executed: issue, amend, and revoke a record with M2 official level, report copies, and M14 gap outputs all converging</t>
  </si>
  <si>
    <t xml:space="preserve">Lifecycle test report</t>
  </si>
  <si>
    <t xml:space="preserve">All three consumers show the latest assertion after each transition with zero manual fixes</t>
  </si>
  <si>
    <t xml:space="preserve">Review D-M12 tests</t>
  </si>
  <si>
    <t xml:space="preserve">SMT-06.3.03</t>
  </si>
  <si>
    <t xml:space="preserve">Ontology-consistency test executed with M14: records and role requirements resolve to identical registry IDs and a framework version bump does not reinterpret old records</t>
  </si>
  <si>
    <t xml:space="preserve">SMT-06.1.01, TLA-03.1.01</t>
  </si>
  <si>
    <t xml:space="preserve">Consistency test report</t>
  </si>
  <si>
    <t xml:space="preserve">Zero vocabulary mismatches and aged fixture records retain their original framework version meaning</t>
  </si>
  <si>
    <t xml:space="preserve">Review D-M12 tests; PER-08 dependency</t>
  </si>
  <si>
    <t xml:space="preserve">SMT-06.3.04</t>
  </si>
  <si>
    <t xml:space="preserve">Exit-gate evidence bundle assembled and reviewed for task SMT-06 (M12 build and lifecycle drills)</t>
  </si>
  <si>
    <t xml:space="preserve">SMT-07.1.01</t>
  </si>
  <si>
    <t xml:space="preserve">M12 data, security, operations, and handoff</t>
  </si>
  <si>
    <t xml:space="preserve">M12 schema and migrations implemented with tenant RLS and a Slice-C fixture framework with fixture records seeded</t>
  </si>
  <si>
    <t xml:space="preserve">Migrations plus fixture seed</t>
  </si>
  <si>
    <t xml:space="preserve">RLS negative test green and fixture framework loads repeatably for Stage-2 drills</t>
  </si>
  <si>
    <t xml:space="preserve">Scenario 2; Stage 2 Slice C</t>
  </si>
  <si>
    <t xml:space="preserve">SMT-07.1.02</t>
  </si>
  <si>
    <t xml:space="preserve">Authorization enforced for reviewer and approver roles on queue and record endpoints with role negative tests green</t>
  </si>
  <si>
    <t xml:space="preserve">Non-reviewer roles cannot approve; anonymous scan finds zero open endpoints</t>
  </si>
  <si>
    <t xml:space="preserve">TST-STD 5; Rule 6</t>
  </si>
  <si>
    <t xml:space="preserve">SMT-07.1.03</t>
  </si>
  <si>
    <t xml:space="preserve">Audit-log tamper test executed against the official-record chain: modification attempts on audit or record history are detected and rejected</t>
  </si>
  <si>
    <t xml:space="preserve">SMT-06.2.02, PLT-02.1.01</t>
  </si>
  <si>
    <t xml:space="preserve">Tamper test report</t>
  </si>
  <si>
    <t xml:space="preserve">All tamper attempts detected via hash-chain verification with alerts raised</t>
  </si>
  <si>
    <t xml:space="preserve">G security plan 8; Scenario 10/15</t>
  </si>
  <si>
    <t xml:space="preserve">SMT-07.2.01</t>
  </si>
  <si>
    <t xml:space="preserve">M12 observability implemented: review-queue SLA metrics, revocation propagation latency, and record-write failure alerts with SLO and runbook walked by a non-author</t>
  </si>
  <si>
    <t xml:space="preserve">All metrics visible, alerts fired in test, non-author completes the runbook walk</t>
  </si>
  <si>
    <t xml:space="preserve">SMT-07.2.02</t>
  </si>
  <si>
    <t xml:space="preserve">M12 CI pipeline and pinned container added to the release bundle and installed in the zero-egress enclave simulator with the record write chain passing and zero egress</t>
  </si>
  <si>
    <t xml:space="preserve">Fixture official-record write completes in the enclave with zero outbound attempts</t>
  </si>
  <si>
    <t xml:space="preserve">SMT-07.2.03</t>
  </si>
  <si>
    <t xml:space="preserve">M12 rollback rehearsed with record-store immutability verified across versions</t>
  </si>
  <si>
    <t xml:space="preserve">No official record altered or lost across rollback; append-only history intact</t>
  </si>
  <si>
    <t xml:space="preserve">SMT-07.2.04</t>
  </si>
  <si>
    <t xml:space="preserve">Compliance-owner sign-off obtained on the official-record lifecycle demonstration plus reviewer guide and P4 notes published</t>
  </si>
  <si>
    <t xml:space="preserve">Signed compliance sign-off plus docs</t>
  </si>
  <si>
    <t xml:space="preserve">Named compliance owner signs the lifecycle demo evidence and reviewer guide is validated by a pilot reviewer</t>
  </si>
  <si>
    <t xml:space="preserve">Review D-M12 exit-criteria; P4</t>
  </si>
  <si>
    <t xml:space="preserve">SMT-07.2.05</t>
  </si>
  <si>
    <t xml:space="preserve">Exit-gate evidence bundle assembled and reviewed for task SMT-07 (M12 data, security, operations, and handoff)</t>
  </si>
  <si>
    <t xml:space="preserve">PER-01.1.01</t>
  </si>
  <si>
    <t xml:space="preserve">PER</t>
  </si>
  <si>
    <t xml:space="preserve">M13</t>
  </si>
  <si>
    <t xml:space="preserve">M13 sequencing contracts</t>
  </si>
  <si>
    <t xml:space="preserve">Signal and metadata contracts</t>
  </si>
  <si>
    <t xml:space="preserve">M11 risk/gap signal consumption contract drafted with schema fields, staleness bound, confidence field, and retraction semantics, and published to the contract registry</t>
  </si>
  <si>
    <t xml:space="preserve">Contract registry entry v1 plus conformance test</t>
  </si>
  <si>
    <t xml:space="preserve">Contract v1 in registry; conformance test green in CI</t>
  </si>
  <si>
    <t xml:space="preserve">MOD-002; REV D1 M13 gaps</t>
  </si>
  <si>
    <t xml:space="preserve">PER-01.1.02</t>
  </si>
  <si>
    <t xml:space="preserve">Fail-static clause documented in the signal contract: signal silence freezes learner paths with no oscillation and raises an alert</t>
  </si>
  <si>
    <t xml:space="preserve">Contract clause and named test case</t>
  </si>
  <si>
    <t xml:space="preserve">Clause merged into contract v1; fail-static test case defined</t>
  </si>
  <si>
    <t xml:space="preserve">REV D1 M13 required-changes</t>
  </si>
  <si>
    <t xml:space="preserve">PER-01.1.03</t>
  </si>
  <si>
    <t xml:space="preserve">M14-to-M13 curriculum request/response contract drafted using M19 skill IDs with plan / partial / cannot-fulfill outcomes and published</t>
  </si>
  <si>
    <t xml:space="preserve">Contract registry entry</t>
  </si>
  <si>
    <t xml:space="preserve">Contract v1 published; cannot-fulfill outcome schema present</t>
  </si>
  <si>
    <t xml:space="preserve">REV D1 M14 required-changes</t>
  </si>
  <si>
    <t xml:space="preserve">PER-01.1.04</t>
  </si>
  <si>
    <t xml:space="preserve">Adaptive-decision log schema defined covering signal, rule version, prior path, new path, actor, and timestamp, and published</t>
  </si>
  <si>
    <t xml:space="preserve">Versioned schema in contract registry</t>
  </si>
  <si>
    <t xml:space="preserve">Schema v1 published with all six fields mandatory</t>
  </si>
  <si>
    <t xml:space="preserve">PER-01.1.05</t>
  </si>
  <si>
    <t xml:space="preserve">Content-metadata query contract against M18/ECC drafted covering objectives, M19 skill IDs, prerequisites, and difficulty</t>
  </si>
  <si>
    <t xml:space="preserve">TLA-02.1.01, TLA-01.1.01</t>
  </si>
  <si>
    <t xml:space="preserve">Contract v1 published; conformance test green</t>
  </si>
  <si>
    <t xml:space="preserve">MOD-003; R-018</t>
  </si>
  <si>
    <t xml:space="preserve">PER-01.1.06</t>
  </si>
  <si>
    <t xml:space="preserve">DCT naming contradiction resolved: annex C9 renamed Adaptive Sequencing, DCT reserved for M22, both controlling documents corrected and re-issued</t>
  </si>
  <si>
    <t xml:space="preserve">Change records in both controlling documents</t>
  </si>
  <si>
    <t xml:space="preserve">Both documents re-issued with corrected names</t>
  </si>
  <si>
    <t xml:space="preserve">REV D2 M22 CONTRADICTED</t>
  </si>
  <si>
    <t xml:space="preserve">PER-01.1.07</t>
  </si>
  <si>
    <t xml:space="preserve">MOD-006 split ruling recorded in the responsibility matrix: M13 retains sequencing only; content-building ceded to M22, accessibility QA to M24, manual-watch to M25</t>
  </si>
  <si>
    <t xml:space="preserve">Responsibility matrix entry</t>
  </si>
  <si>
    <t xml:space="preserve">Matrix shows zero duplicated business rules for revision detection and accessibility</t>
  </si>
  <si>
    <t xml:space="preserve">MOD-006</t>
  </si>
  <si>
    <t xml:space="preserve">PER-01.1.08</t>
  </si>
  <si>
    <t xml:space="preserve">Contract conformance tests for all M13 contracts wired into CI before implementation start</t>
  </si>
  <si>
    <t xml:space="preserve">CI job configuration and first run</t>
  </si>
  <si>
    <t xml:space="preserve">Conformance suite runs blocking in CI</t>
  </si>
  <si>
    <t xml:space="preserve">Brief lane 1</t>
  </si>
  <si>
    <t xml:space="preserve">PER-01.1.09</t>
  </si>
  <si>
    <t xml:space="preserve">Exit-gate evidence bundle assembled and reviewed for the M13 contracts task</t>
  </si>
  <si>
    <t xml:space="preserve">Signed evidence bundle</t>
  </si>
  <si>
    <t xml:space="preserve">Bundle reviewed and signed by QA Lead</t>
  </si>
  <si>
    <t xml:space="preserve">Brief exit-gate rule</t>
  </si>
  <si>
    <t xml:space="preserve">PER-02.1.01</t>
  </si>
  <si>
    <t xml:space="preserve">M13 sequencing engine build</t>
  </si>
  <si>
    <t xml:space="preserve">Rules engine core</t>
  </si>
  <si>
    <t xml:space="preserve">Sequencing rules engine implemented consuming M11 signals and ECC content metadata to re-order or swap lesson pieces in the same session</t>
  </si>
  <si>
    <t xml:space="preserve">PER-01.1.01, PER-01.1.05</t>
  </si>
  <si>
    <t xml:space="preserve">Service code plus demo recording</t>
  </si>
  <si>
    <t xml:space="preserve">Fixture learner path changes per configured rules on seeded signals</t>
  </si>
  <si>
    <t xml:space="preserve">PLAN M13 main-jobs</t>
  </si>
  <si>
    <t xml:space="preserve">PER-02.1.02</t>
  </si>
  <si>
    <t xml:space="preserve">Rule versioning implemented: every path decision stamped with the rule version that produced it</t>
  </si>
  <si>
    <t xml:space="preserve">Decision-log entries from test run</t>
  </si>
  <si>
    <t xml:space="preserve">100% of decisions in test run carry a rule version</t>
  </si>
  <si>
    <t xml:space="preserve">REV D1 M13 tests</t>
  </si>
  <si>
    <t xml:space="preserve">PER-02.1.03</t>
  </si>
  <si>
    <t xml:space="preserve">Fail-static behavior implemented and chaos-tested: M11 signals cut mid-session, paths freeze predictably, alert raised</t>
  </si>
  <si>
    <t xml:space="preserve">Zero path changes after signal cut; alert fired within 5 minutes</t>
  </si>
  <si>
    <t xml:space="preserve">PER-02.1.04</t>
  </si>
  <si>
    <t xml:space="preserve">Signal-retraction handling implemented: a retracted M11 signal undoes path changes newer than the configured depth</t>
  </si>
  <si>
    <t xml:space="preserve">Retraction test report</t>
  </si>
  <si>
    <t xml:space="preserve">Path reverted within one scoring cycle of retraction event</t>
  </si>
  <si>
    <t xml:space="preserve">Scenario 5</t>
  </si>
  <si>
    <t xml:space="preserve">PER-02.2.01</t>
  </si>
  <si>
    <t xml:space="preserve">Pedagogy guardrails</t>
  </si>
  <si>
    <t xml:space="preserve">Allowed change-point configuration implemented; mid-assessment path changes impossible</t>
  </si>
  <si>
    <t xml:space="preserve">Negative test green: zero path changes during an active assessment</t>
  </si>
  <si>
    <t xml:space="preserve">REV D1 M13 exit-criteria</t>
  </si>
  <si>
    <t xml:space="preserve">PER-02.2.02</t>
  </si>
  <si>
    <t xml:space="preserve">Maximum path-changes-per-session limit enforced and configurable per tenant</t>
  </si>
  <si>
    <t xml:space="preserve">Config schema and limit test</t>
  </si>
  <si>
    <t xml:space="preserve">Changes beyond limit suppressed and logged in decision log</t>
  </si>
  <si>
    <t xml:space="preserve">REV D1 M13 gaps; NEW: brief inclusion max-path-change limits</t>
  </si>
  <si>
    <t xml:space="preserve">PER-02.2.03</t>
  </si>
  <si>
    <t xml:space="preserve">Remediation-loop prevention implemented: oscillation guard blocks repeated A-B-A path swaps within a session</t>
  </si>
  <si>
    <t xml:space="preserve">Oscillation test report</t>
  </si>
  <si>
    <t xml:space="preserve">A-B-A swap attempt blocked and logged; test green</t>
  </si>
  <si>
    <t xml:space="preserve">NEW: brief inclusion remediation-loop prevention</t>
  </si>
  <si>
    <t xml:space="preserve">PER-02.2.04</t>
  </si>
  <si>
    <t xml:space="preserve">Instructor override implemented: instructor can pin or revert a learner path from the UI with an audit record</t>
  </si>
  <si>
    <t xml:space="preserve">UI walkthrough and audit row</t>
  </si>
  <si>
    <t xml:space="preserve">Override takes effect within 1 minute; audit row written</t>
  </si>
  <si>
    <t xml:space="preserve">PER-02.2.05</t>
  </si>
  <si>
    <t xml:space="preserve">Learner-visible explanation implemented: each path change displays its reason in the learner UI</t>
  </si>
  <si>
    <t xml:space="preserve">UI screenshot and automated test</t>
  </si>
  <si>
    <t xml:space="preserve">100% of path changes render an explanation string</t>
  </si>
  <si>
    <t xml:space="preserve">PER-02.2.06</t>
  </si>
  <si>
    <t xml:space="preserve">Cannot-fulfill path implemented for M14 curriculum requests: explicit response with reasons, no silent drop</t>
  </si>
  <si>
    <t xml:space="preserve">Unfulfillable-request test report</t>
  </si>
  <si>
    <t xml:space="preserve">Request for uncovered skill returns cannot-fulfill with reasons</t>
  </si>
  <si>
    <t xml:space="preserve">REV D1 M14 tests</t>
  </si>
  <si>
    <t xml:space="preserve">PER-02.2.07</t>
  </si>
  <si>
    <t xml:space="preserve">Exit-gate evidence bundle assembled and reviewed for the M13 sequencing build task</t>
  </si>
  <si>
    <t xml:space="preserve">PER-03.1.01</t>
  </si>
  <si>
    <t xml:space="preserve">M13 data layer</t>
  </si>
  <si>
    <t xml:space="preserve">Decision log and fixtures</t>
  </si>
  <si>
    <t xml:space="preserve">Decision-log and path-state tables created with tenant RLS; migrations tested up and down on a production-shaped dataset</t>
  </si>
  <si>
    <t xml:space="preserve">Migration run logs and RLS test</t>
  </si>
  <si>
    <t xml:space="preserve">Up and down migrations green; RLS negative test passes</t>
  </si>
  <si>
    <t xml:space="preserve">MOD-008; Brief lane 3</t>
  </si>
  <si>
    <t xml:space="preserve">PER-03.1.02</t>
  </si>
  <si>
    <t xml:space="preserve">Decision-log retention policy defined and enforced by scheduled job</t>
  </si>
  <si>
    <t xml:space="preserve">Retention config and job run log</t>
  </si>
  <si>
    <t xml:space="preserve">Records older than policy purged in test; job scheduled</t>
  </si>
  <si>
    <t xml:space="preserve">Brief lane 3</t>
  </si>
  <si>
    <t xml:space="preserve">PER-03.1.03</t>
  </si>
  <si>
    <t xml:space="preserve">Fixture dataset seeded: learners, signals, and metadata-tagged Phase-1 content including one quiz and one eBook chapter with registry-linked skill tags</t>
  </si>
  <si>
    <t xml:space="preserve">TLA-03.1.01</t>
  </si>
  <si>
    <t xml:space="preserve">Fixture load script and data snapshot</t>
  </si>
  <si>
    <t xml:space="preserve">Metadata round-trip test green: M13 queries tags without manual mapping</t>
  </si>
  <si>
    <t xml:space="preserve">PER-03.1.04</t>
  </si>
  <si>
    <t xml:space="preserve">Decision-audit reconstruction test executed: for every path change in pilot fixtures, signal, rule version, and before/after path reconstructed from the log alone</t>
  </si>
  <si>
    <t xml:space="preserve">PER-03.1.01, PER-02.1.02</t>
  </si>
  <si>
    <t xml:space="preserve">Reconstruction test report</t>
  </si>
  <si>
    <t xml:space="preserve">100% of fixture path changes fully reconstructed</t>
  </si>
  <si>
    <t xml:space="preserve">PER-03.1.05</t>
  </si>
  <si>
    <t xml:space="preserve">Exit-gate evidence bundle assembled and reviewed for the M13 data task</t>
  </si>
  <si>
    <t xml:space="preserve">PER-04.1.01</t>
  </si>
  <si>
    <t xml:space="preserve">M13 security</t>
  </si>
  <si>
    <t xml:space="preserve">Authorization and audit</t>
  </si>
  <si>
    <t xml:space="preserve">Authorization negative tests passed: learner cannot read another learner's path; override restricted to instructor role</t>
  </si>
  <si>
    <t xml:space="preserve">Both negative tests green in CI</t>
  </si>
  <si>
    <t xml:space="preserve">Brief lane 4</t>
  </si>
  <si>
    <t xml:space="preserve">PER-04.1.02</t>
  </si>
  <si>
    <t xml:space="preserve">Signal payload schema validation implemented with malformed-input rejection tests</t>
  </si>
  <si>
    <t xml:space="preserve">Validation test report</t>
  </si>
  <si>
    <t xml:space="preserve">Malformed signals rejected with 4xx and logged; test green</t>
  </si>
  <si>
    <t xml:space="preserve">PER-04.1.03</t>
  </si>
  <si>
    <t xml:space="preserve">Path-change and override audit events emitted through the shared hash-chained audit service</t>
  </si>
  <si>
    <t xml:space="preserve">PLT-02.1.01</t>
  </si>
  <si>
    <t xml:space="preserve">Audit query output</t>
  </si>
  <si>
    <t xml:space="preserve">Every path change and override retrievable from audit store</t>
  </si>
  <si>
    <t xml:space="preserve">PER-04.1.04</t>
  </si>
  <si>
    <t xml:space="preserve">Exit-gate evidence bundle assembled and reviewed for the M13 security task</t>
  </si>
  <si>
    <t xml:space="preserve">PER-05.1.01</t>
  </si>
  <si>
    <t xml:space="preserve">M13 observability</t>
  </si>
  <si>
    <t xml:space="preserve">Metrics alerts and SLO</t>
  </si>
  <si>
    <t xml:space="preserve">Structured logs with correlation IDs propagating from signal receipt to path decision</t>
  </si>
  <si>
    <t xml:space="preserve">Log trace sample</t>
  </si>
  <si>
    <t xml:space="preserve">One correlation ID traces a signal to its path change end to end</t>
  </si>
  <si>
    <t xml:space="preserve">Brief lane 5</t>
  </si>
  <si>
    <t xml:space="preserve">PER-05.1.02</t>
  </si>
  <si>
    <t xml:space="preserve">Metrics dashboard live: path-change rate, override rate, oscillation-guard triggers, signal staleness</t>
  </si>
  <si>
    <t xml:space="preserve">Dashboard URL</t>
  </si>
  <si>
    <t xml:space="preserve">All four metrics render with live data in staging</t>
  </si>
  <si>
    <t xml:space="preserve">PER-05.1.03</t>
  </si>
  <si>
    <t xml:space="preserve">Alerts configured for sequencing oscillation and signal-feed silence; runbook written and walked by a non-author</t>
  </si>
  <si>
    <t xml:space="preserve">Alert config and runbook walkthrough record</t>
  </si>
  <si>
    <t xml:space="preserve">Both alerts fired in test; runbook walked by non-author</t>
  </si>
  <si>
    <t xml:space="preserve">PER-05.1.04</t>
  </si>
  <si>
    <t xml:space="preserve">Path-decision latency SLO defined and measured in staging</t>
  </si>
  <si>
    <t xml:space="preserve">SLO document and staging measurement</t>
  </si>
  <si>
    <t xml:space="preserve">SLO documented; staging p95 within target</t>
  </si>
  <si>
    <t xml:space="preserve">PER-05.1.05</t>
  </si>
  <si>
    <t xml:space="preserve">Exit-gate evidence bundle assembled and reviewed for the M13 observability task</t>
  </si>
  <si>
    <t xml:space="preserve">PER-06.1.01</t>
  </si>
  <si>
    <t xml:space="preserve">M13 deployment</t>
  </si>
  <si>
    <t xml:space="preserve">CI and enclave install</t>
  </si>
  <si>
    <t xml:space="preserve">CI pipeline live: container build, contract conformance gate, unit and integration suites blocking</t>
  </si>
  <si>
    <t xml:space="preserve">CI pipeline run</t>
  </si>
  <si>
    <t xml:space="preserve">Pipeline green and blocking on main branch</t>
  </si>
  <si>
    <t xml:space="preserve">Brief lane 6</t>
  </si>
  <si>
    <t xml:space="preserve">PER-06.1.02</t>
  </si>
  <si>
    <t xml:space="preserve">Enclave install from release bundle verified zero-egress: sequencing runs with no external calls</t>
  </si>
  <si>
    <t xml:space="preserve">Zero-egress test log from enclave simulator</t>
  </si>
  <si>
    <t xml:space="preserve">Zero outbound connections observed during full sequencing cycle</t>
  </si>
  <si>
    <t xml:space="preserve">PER-06.1.03</t>
  </si>
  <si>
    <t xml:space="preserve">Rollback of a sequencing release rehearsed; kill-switch reverting to static paths verified</t>
  </si>
  <si>
    <t xml:space="preserve">Rollback rehearsal record</t>
  </si>
  <si>
    <t xml:space="preserve">Rollback completed; kill-switch freezes paths within one session</t>
  </si>
  <si>
    <t xml:space="preserve">PER-06.1.04</t>
  </si>
  <si>
    <t xml:space="preserve">Exit-gate evidence bundle assembled and reviewed for the M13 deployment task</t>
  </si>
  <si>
    <t xml:space="preserve">PER-07.1.01</t>
  </si>
  <si>
    <t xml:space="preserve">M13 documentation and handoff</t>
  </si>
  <si>
    <t xml:space="preserve">Docs and training</t>
  </si>
  <si>
    <t xml:space="preserve">API docs generated from contracts and admin guide for guardrail and override configuration published</t>
  </si>
  <si>
    <t xml:space="preserve">Docs published and linked from contract registry</t>
  </si>
  <si>
    <t xml:space="preserve">Brief lane 7</t>
  </si>
  <si>
    <t xml:space="preserve">PER-07.1.02</t>
  </si>
  <si>
    <t xml:space="preserve">Adaptive-decision governance document (change points, override, explanation, decision log) approved by the Instructional Designer</t>
  </si>
  <si>
    <t xml:space="preserve">Approved governance document</t>
  </si>
  <si>
    <t xml:space="preserve">Document signed by Instructional Designer</t>
  </si>
  <si>
    <t xml:space="preserve">PER-07.1.03</t>
  </si>
  <si>
    <t xml:space="preserve">P4 instructor training notes on override and path explanations delivered</t>
  </si>
  <si>
    <t xml:space="preserve">Training notes in P4 pack</t>
  </si>
  <si>
    <t xml:space="preserve">Notes accepted by P4 curriculum owner</t>
  </si>
  <si>
    <t xml:space="preserve">PER-07.1.04</t>
  </si>
  <si>
    <t xml:space="preserve">Exit-gate evidence bundle assembled and reviewed for the M13 documentation task</t>
  </si>
  <si>
    <t xml:space="preserve">PER-08.1.01</t>
  </si>
  <si>
    <t xml:space="preserve">M14</t>
  </si>
  <si>
    <t xml:space="preserve">M14 contracts and policies</t>
  </si>
  <si>
    <t xml:space="preserve">Gap contracts</t>
  </si>
  <si>
    <t xml:space="preserve">Gap-computation contract drafted: inputs and outputs exclusively M19 registry IDs with zero free-text skill matching</t>
  </si>
  <si>
    <t xml:space="preserve">Contract v1 published; conformance test rejects non-registry IDs</t>
  </si>
  <si>
    <t xml:space="preserve">MOD-003; REV D1 M14 exit-criteria</t>
  </si>
  <si>
    <t xml:space="preserve">PER-08.1.02</t>
  </si>
  <si>
    <t xml:space="preserve">Role-profile artifact defined as a versioned registry artifact with owner, import format, and approval flow</t>
  </si>
  <si>
    <t xml:space="preserve">Role-profile specification</t>
  </si>
  <si>
    <t xml:space="preserve">Specification approved; sample profile imported and versioned</t>
  </si>
  <si>
    <t xml:space="preserve">PER-08.1.03</t>
  </si>
  <si>
    <t xml:space="preserve">Held-skill evidence policy documented: record levels counted, recency and expiry rules for previously proven skills</t>
  </si>
  <si>
    <t xml:space="preserve">Approved evidence policy document</t>
  </si>
  <si>
    <t xml:space="preserve">Policy approved with explicit expiry rules</t>
  </si>
  <si>
    <t xml:space="preserve">REV D1 M14 gaps</t>
  </si>
  <si>
    <t xml:space="preserve">PER-08.1.04</t>
  </si>
  <si>
    <t xml:space="preserve">Supervisor edit semantics decision recorded: per-learner override versus role-profile fork, with approval authority named</t>
  </si>
  <si>
    <t xml:space="preserve">Decision record</t>
  </si>
  <si>
    <t xml:space="preserve">Decision recorded with named approval authority</t>
  </si>
  <si>
    <t xml:space="preserve">PER-08.1.05</t>
  </si>
  <si>
    <t xml:space="preserve">Audit-trail content specification for gap approvals defined: actor, action, versions of inputs, timestamp</t>
  </si>
  <si>
    <t xml:space="preserve">Audit-trail specification</t>
  </si>
  <si>
    <t xml:space="preserve">Specification published; all four field groups mandatory</t>
  </si>
  <si>
    <t xml:space="preserve">PLAN M14 main-jobs</t>
  </si>
  <si>
    <t xml:space="preserve">PER-08.1.06</t>
  </si>
  <si>
    <t xml:space="preserve">Official-record change subscription contract drafted for issue and revoke events driving gap recompute</t>
  </si>
  <si>
    <t xml:space="preserve">Contract v1 published with recompute trigger semantics</t>
  </si>
  <si>
    <t xml:space="preserve">PER-08.1.07</t>
  </si>
  <si>
    <t xml:space="preserve">Contract conformance tests for M14 contracts wired into CI before implementation</t>
  </si>
  <si>
    <t xml:space="preserve">CI job run</t>
  </si>
  <si>
    <t xml:space="preserve">Conformance suite blocking in CI</t>
  </si>
  <si>
    <t xml:space="preserve">PER-08.1.08</t>
  </si>
  <si>
    <t xml:space="preserve">Exit-gate evidence bundle assembled and reviewed for the M14 contracts task</t>
  </si>
  <si>
    <t xml:space="preserve">PER-09.1.01</t>
  </si>
  <si>
    <t xml:space="preserve">M14 gap engine build</t>
  </si>
  <si>
    <t xml:space="preserve">Gap computation</t>
  </si>
  <si>
    <t xml:space="preserve">Required-skills loader implemented from versioned role profiles in the M19 registry</t>
  </si>
  <si>
    <t xml:space="preserve">TLA-03.1.01, PER-08.1.02</t>
  </si>
  <si>
    <t xml:space="preserve">Loader code and test run</t>
  </si>
  <si>
    <t xml:space="preserve">Fixture role profile loads with version recorded</t>
  </si>
  <si>
    <t xml:space="preserve">PER-09.1.02</t>
  </si>
  <si>
    <t xml:space="preserve">Held-skills loader implemented via M3/LRS per the evidence policy including expiry handling</t>
  </si>
  <si>
    <t xml:space="preserve">Loader test run</t>
  </si>
  <si>
    <t xml:space="preserve">Expired fixture skill excluded per policy in test</t>
  </si>
  <si>
    <t xml:space="preserve">PER-09.1.03</t>
  </si>
  <si>
    <t xml:space="preserve">Gap computation engine implemented handling levels, partial competence, equivalences, and prerequisite structures</t>
  </si>
  <si>
    <t xml:space="preserve">PER-09.1.01, PER-09.1.02</t>
  </si>
  <si>
    <t xml:space="preserve">Engine code and unit suite</t>
  </si>
  <si>
    <t xml:space="preserve">Unit suite covering all four structures green</t>
  </si>
  <si>
    <t xml:space="preserve">PLAN M14 main-jobs; REV D1 M14 gaps</t>
  </si>
  <si>
    <t xml:space="preserve">PER-09.1.04</t>
  </si>
  <si>
    <t xml:space="preserve">Gap-correctness test executed against hand-computed fixture truth including level and expiry edge cases</t>
  </si>
  <si>
    <t xml:space="preserve">PER-09.1.03, PER-10.1.03</t>
  </si>
  <si>
    <t xml:space="preserve">Test report</t>
  </si>
  <si>
    <t xml:space="preserve">Computed gaps match hand-computed truth on all fixtures</t>
  </si>
  <si>
    <t xml:space="preserve">PER-09.2.01</t>
  </si>
  <si>
    <t xml:space="preserve">Supervisor workflow</t>
  </si>
  <si>
    <t xml:space="preserve">Supervisor review and edit UI implemented with versioned diffs of the required list</t>
  </si>
  <si>
    <t xml:space="preserve">UI walkthrough recording</t>
  </si>
  <si>
    <t xml:space="preserve">Supervisor edits produce a versioned diff visible in UI</t>
  </si>
  <si>
    <t xml:space="preserve">PER-09.2.02</t>
  </si>
  <si>
    <t xml:space="preserve">Approval workflow implemented: only approved plans trigger curriculum requests</t>
  </si>
  <si>
    <t xml:space="preserve">Workflow test report</t>
  </si>
  <si>
    <t xml:space="preserve">Unapproved plan cannot issue a curriculum request (negative test)</t>
  </si>
  <si>
    <t xml:space="preserve">PER-09.2.03</t>
  </si>
  <si>
    <t xml:space="preserve">Curriculum request to M13 implemented per contract; completion events update held-skill state through M3</t>
  </si>
  <si>
    <t xml:space="preserve">PER-01.1.03, FND-03.1.01</t>
  </si>
  <si>
    <t xml:space="preserve">Integration test run</t>
  </si>
  <si>
    <t xml:space="preserve">Completion event updates held-skill state in test</t>
  </si>
  <si>
    <t xml:space="preserve">PER-09.2.04</t>
  </si>
  <si>
    <t xml:space="preserve">Cannot-fulfill notifications surfaced to the supervisor with reasons; nothing silently drops</t>
  </si>
  <si>
    <t xml:space="preserve">Notification test report</t>
  </si>
  <si>
    <t xml:space="preserve">Supervisor receives explicit cannot-fulfill outcome in test</t>
  </si>
  <si>
    <t xml:space="preserve">PER-09.2.05</t>
  </si>
  <si>
    <t xml:space="preserve">Revocation reactivity implemented: record issue or revoke recomputes gaps and flags affected approved plans within the stated SLA</t>
  </si>
  <si>
    <t xml:space="preserve">Recompute job logs</t>
  </si>
  <si>
    <t xml:space="preserve">Affected plan flagged and recomputed within SLA in test</t>
  </si>
  <si>
    <t xml:space="preserve">PER-09.2.06</t>
  </si>
  <si>
    <t xml:space="preserve">Revocation-propagation test executed: revoking an underpinning record flags and recomputes the plan, notifies the supervisor, and completes the audit trail</t>
  </si>
  <si>
    <t xml:space="preserve">All four outcomes observed in one test run</t>
  </si>
  <si>
    <t xml:space="preserve">PER-09.2.07</t>
  </si>
  <si>
    <t xml:space="preserve">Exit-gate evidence bundle assembled and reviewed for the M14 build task including the journey-9 end-to-end demo</t>
  </si>
  <si>
    <t xml:space="preserve">Signed evidence bundle with demo recording</t>
  </si>
  <si>
    <t xml:space="preserve">Journey 9 demonstrated end to end with complete audit trail</t>
  </si>
  <si>
    <t xml:space="preserve">REV D1 M14 exit-criteria</t>
  </si>
  <si>
    <t xml:space="preserve">PER-10.1.01</t>
  </si>
  <si>
    <t xml:space="preserve">M14 data layer</t>
  </si>
  <si>
    <t xml:space="preserve">Plans and audit trail</t>
  </si>
  <si>
    <t xml:space="preserve">Gap plan, role-profile snapshot, and audit-trail tables created with tenant RLS; migrations tested up and down</t>
  </si>
  <si>
    <t xml:space="preserve">Migration logs and RLS test</t>
  </si>
  <si>
    <t xml:space="preserve">Migrations green both directions; RLS negative test passes</t>
  </si>
  <si>
    <t xml:space="preserve">PER-10.1.02</t>
  </si>
  <si>
    <t xml:space="preserve">Gap-approval audit trail written append-only through the shared hash-chained audit service</t>
  </si>
  <si>
    <t xml:space="preserve">Every approval action retrievable with hash-chain intact</t>
  </si>
  <si>
    <t xml:space="preserve">MOD-013; PLAN M14 main-jobs</t>
  </si>
  <si>
    <t xml:space="preserve">PER-10.1.03</t>
  </si>
  <si>
    <t xml:space="preserve">Fixture learners with known records and versioned role profiles seeded for gap tests</t>
  </si>
  <si>
    <t xml:space="preserve">Fixture snapshot</t>
  </si>
  <si>
    <t xml:space="preserve">Fixtures load reproducibly in CI</t>
  </si>
  <si>
    <t xml:space="preserve">PER-10.1.04</t>
  </si>
  <si>
    <t xml:space="preserve">Exit-gate evidence bundle assembled and reviewed for the M14 data task</t>
  </si>
  <si>
    <t xml:space="preserve">PER-11.1.01</t>
  </si>
  <si>
    <t xml:space="preserve">M14 security</t>
  </si>
  <si>
    <t xml:space="preserve">Roles and input validation</t>
  </si>
  <si>
    <t xml:space="preserve">Role-based authorization negative tests passed: learner cannot edit or approve required lists; supervisor scoped to own units</t>
  </si>
  <si>
    <t xml:space="preserve">All negative tests green in CI</t>
  </si>
  <si>
    <t xml:space="preserve">PER-11.1.02</t>
  </si>
  <si>
    <t xml:space="preserve">Input validation on imported role profiles: schema check and ID resolution against M19 with rejection of unresolvable IDs</t>
  </si>
  <si>
    <t xml:space="preserve">Profile with an unknown skill ID rejected with actionable error</t>
  </si>
  <si>
    <t xml:space="preserve">PER-11.1.03</t>
  </si>
  <si>
    <t xml:space="preserve">Exit-gate evidence bundle assembled and reviewed for the M14 security task</t>
  </si>
  <si>
    <t xml:space="preserve">PER-12.1.01</t>
  </si>
  <si>
    <t xml:space="preserve">M14 observability</t>
  </si>
  <si>
    <t xml:space="preserve">Metrics and alerts</t>
  </si>
  <si>
    <t xml:space="preserve">Metrics live: gaps computed, plans approved, recompute latency, cannot-fulfill rate; correlation IDs end to end</t>
  </si>
  <si>
    <t xml:space="preserve">Dashboard URL and trace sample</t>
  </si>
  <si>
    <t xml:space="preserve">All four metrics render; one trace spans request to plan</t>
  </si>
  <si>
    <t xml:space="preserve">PER-12.1.02</t>
  </si>
  <si>
    <t xml:space="preserve">Alerts configured on recompute backlog and cannot-fulfill spikes; runbook walked by a non-author</t>
  </si>
  <si>
    <t xml:space="preserve">Alert config and walkthrough record</t>
  </si>
  <si>
    <t xml:space="preserve">Both alerts fired in test; runbook walked</t>
  </si>
  <si>
    <t xml:space="preserve">PER-12.1.03</t>
  </si>
  <si>
    <t xml:space="preserve">SLO defined for gap recompute latency after a record change and measured in staging</t>
  </si>
  <si>
    <t xml:space="preserve">SLO document and measurement</t>
  </si>
  <si>
    <t xml:space="preserve">Staging recompute latency within SLO</t>
  </si>
  <si>
    <t xml:space="preserve">PER-12.1.04</t>
  </si>
  <si>
    <t xml:space="preserve">Exit-gate evidence bundle assembled and reviewed for the M14 observability task</t>
  </si>
  <si>
    <t xml:space="preserve">PER-13.1.01</t>
  </si>
  <si>
    <t xml:space="preserve">M14 deployment</t>
  </si>
  <si>
    <t xml:space="preserve">CI pipeline live with contract conformance gates and reproducible container build</t>
  </si>
  <si>
    <t xml:space="preserve">CI run</t>
  </si>
  <si>
    <t xml:space="preserve">Pipeline green and blocking</t>
  </si>
  <si>
    <t xml:space="preserve">PER-13.1.02</t>
  </si>
  <si>
    <t xml:space="preserve">Enclave install from release bundle verified zero-egress</t>
  </si>
  <si>
    <t xml:space="preserve">Zero-egress test log</t>
  </si>
  <si>
    <t xml:space="preserve">Zero outbound connections during full gap workflow</t>
  </si>
  <si>
    <t xml:space="preserve">PER-13.1.03</t>
  </si>
  <si>
    <t xml:space="preserve">Rollback rehearsed; feature flag disabling automatic recompute verified</t>
  </si>
  <si>
    <t xml:space="preserve">Rehearsal record</t>
  </si>
  <si>
    <t xml:space="preserve">Rollback completed; flag suppresses recompute in test</t>
  </si>
  <si>
    <t xml:space="preserve">PER-13.1.04</t>
  </si>
  <si>
    <t xml:space="preserve">Exit-gate evidence bundle assembled and reviewed for the M14 deployment task</t>
  </si>
  <si>
    <t xml:space="preserve">PER-14.1.01</t>
  </si>
  <si>
    <t xml:space="preserve">M14 documentation and handoff</t>
  </si>
  <si>
    <t xml:space="preserve">API docs from contracts and supervisor guide covering edit semantics, approval, and audit published</t>
  </si>
  <si>
    <t xml:space="preserve">PER-14.1.02</t>
  </si>
  <si>
    <t xml:space="preserve">Journey-9 walkthrough documented with audit evidence and P4 training notes for supervisors delivered</t>
  </si>
  <si>
    <t xml:space="preserve">Walkthrough doc and P4 notes</t>
  </si>
  <si>
    <t xml:space="preserve">Accepted by P4 curriculum owner</t>
  </si>
  <si>
    <t xml:space="preserve">PER-14.1.03</t>
  </si>
  <si>
    <t xml:space="preserve">Exit-gate evidence bundle assembled and reviewed for the M14 documentation task</t>
  </si>
  <si>
    <t xml:space="preserve">KNI-01.1.01</t>
  </si>
  <si>
    <t xml:space="preserve">KNI</t>
  </si>
  <si>
    <t xml:space="preserve">M15</t>
  </si>
  <si>
    <t xml:space="preserve">M15 contracts and corpus lifecycle</t>
  </si>
  <si>
    <t xml:space="preserve">Retrieval and lifecycle contracts</t>
  </si>
  <si>
    <t xml:space="preserve">Retrieval API contract published with mandatory tenant filter parameter and citation schema carrying doc ID, revision, and chunk ID</t>
  </si>
  <si>
    <t xml:space="preserve">REV D1 M15 required-changes</t>
  </si>
  <si>
    <t xml:space="preserve">KNI-01.1.02</t>
  </si>
  <si>
    <t xml:space="preserve">Corpus lifecycle contract defined: approval workflow, supersession handling, re-chunk and re-embed on update, embedding-model version pinned per index</t>
  </si>
  <si>
    <t xml:space="preserve">PLT-04.1.01</t>
  </si>
  <si>
    <t xml:space="preserve">Lifecycle contract document</t>
  </si>
  <si>
    <t xml:space="preserve">All four lifecycle stages specified with owners</t>
  </si>
  <si>
    <t xml:space="preserve">KNI-01.1.03</t>
  </si>
  <si>
    <t xml:space="preserve">Chat usage xAPI profile registered in the event contract: asked, answered, refused, quiz-taken</t>
  </si>
  <si>
    <t xml:space="preserve">Profile entry in contract registry</t>
  </si>
  <si>
    <t xml:space="preserve">Profile v1 registered; sample statements validate</t>
  </si>
  <si>
    <t xml:space="preserve">PLAN M15 main-jobs; MOD-002</t>
  </si>
  <si>
    <t xml:space="preserve">KNI-01.1.04</t>
  </si>
  <si>
    <t xml:space="preserve">Freshness ownership recorded: M25 and the lineage service own source currency; M15 honors tombstones with no duplicate revision-detection logic</t>
  </si>
  <si>
    <t xml:space="preserve">Matrix shows single owner for revision detection</t>
  </si>
  <si>
    <t xml:space="preserve">MOD-006; REV D1 M15 gaps</t>
  </si>
  <si>
    <t xml:space="preserve">KNI-01.1.05</t>
  </si>
  <si>
    <t xml:space="preserve">Practice-quiz feature ruling recorded: routed through the M8 item and event model or cut with [DEFERRED-Phase4] tag</t>
  </si>
  <si>
    <t xml:space="preserve">Ruling recorded; no independent M15 item bank exists</t>
  </si>
  <si>
    <t xml:space="preserve">KNI-01.1.06</t>
  </si>
  <si>
    <t xml:space="preserve">Contract conformance tests for retrieval and citation contracts wired into CI</t>
  </si>
  <si>
    <t xml:space="preserve">KNI-01.1.07</t>
  </si>
  <si>
    <t xml:space="preserve">Exit-gate evidence bundle assembled and reviewed for the M15 contracts task</t>
  </si>
  <si>
    <t xml:space="preserve">KNI-02.1.01</t>
  </si>
  <si>
    <t xml:space="preserve">M15 RAG pipeline build</t>
  </si>
  <si>
    <t xml:space="preserve">Ingest and index</t>
  </si>
  <si>
    <t xml:space="preserve">Document upload and approval workflow implemented; only approved manuals enter the retrieval corpus</t>
  </si>
  <si>
    <t xml:space="preserve">Workflow test run</t>
  </si>
  <si>
    <t xml:space="preserve">Unapproved document not retrievable (negative test)</t>
  </si>
  <si>
    <t xml:space="preserve">PLAN M15 main-jobs</t>
  </si>
  <si>
    <t xml:space="preserve">KNI-02.1.02</t>
  </si>
  <si>
    <t xml:space="preserve">Chunking implemented with overlapping windows; every chunk carries doc ID, revision, effective date, and supersedes fields</t>
  </si>
  <si>
    <t xml:space="preserve">Chunk store sample</t>
  </si>
  <si>
    <t xml:space="preserve">100% of chunks carry all four lifecycle fields</t>
  </si>
  <si>
    <t xml:space="preserve">PLAN M15 main-jobs; Scenario 4</t>
  </si>
  <si>
    <t xml:space="preserve">KNI-02.1.03</t>
  </si>
  <si>
    <t xml:space="preserve">Embedding generation implemented via the shared inference service with embedding-model version pinned and recorded per index</t>
  </si>
  <si>
    <t xml:space="preserve">PLT-03.1.01</t>
  </si>
  <si>
    <t xml:space="preserve">Index metadata record</t>
  </si>
  <si>
    <t xml:space="preserve">Index metadata shows pinned embedding-model version</t>
  </si>
  <si>
    <t xml:space="preserve">MOD-009; REV D1 M15 gaps</t>
  </si>
  <si>
    <t xml:space="preserve">KNI-02.1.04</t>
  </si>
  <si>
    <t xml:space="preserve">Tenant-scoped indexes implemented: per-tenant index or namespace with no shared cross-tenant vector store</t>
  </si>
  <si>
    <t xml:space="preserve">Index topology doc and test</t>
  </si>
  <si>
    <t xml:space="preserve">Each tenant's chunks physically separated; verified by inspection test</t>
  </si>
  <si>
    <t xml:space="preserve">MOD-008; R-022</t>
  </si>
  <si>
    <t xml:space="preserve">KNI-02.2.01</t>
  </si>
  <si>
    <t xml:space="preserve">Retrieve and answer</t>
  </si>
  <si>
    <t xml:space="preserve">Retrieval implemented with mandatory tenant filter plus post-retrieval tenant assertion before prompt assembly</t>
  </si>
  <si>
    <t xml:space="preserve">Retrieval code and unit tests</t>
  </si>
  <si>
    <t xml:space="preserve">Assertion rejects any cross-tenant chunk before prompting; test green</t>
  </si>
  <si>
    <t xml:space="preserve">KNI-02.2.02</t>
  </si>
  <si>
    <t xml:space="preserve">Document ACL enforcement at query time: unauthorized documents never retrieved for the asking user</t>
  </si>
  <si>
    <t xml:space="preserve">ACL negative test report</t>
  </si>
  <si>
    <t xml:space="preserve">Negative test green for learner, instructor, and admin roles</t>
  </si>
  <si>
    <t xml:space="preserve">KNI-02.2.03</t>
  </si>
  <si>
    <t xml:space="preserve">Supersession tombstones honored at query time: superseded chunks blocked from retrieval before re-index completes</t>
  </si>
  <si>
    <t xml:space="preserve">PLT-04.1.01, KNI-02.1.02</t>
  </si>
  <si>
    <t xml:space="preserve">Tombstone test report</t>
  </si>
  <si>
    <t xml:space="preserve">Tombstoned chunk unretrievable immediately on manifest application</t>
  </si>
  <si>
    <t xml:space="preserve">Scenario 4; R-010</t>
  </si>
  <si>
    <t xml:space="preserve">KNI-02.2.04</t>
  </si>
  <si>
    <t xml:space="preserve">Answer generation implemented with citations rendering doc revision and a corpus-verified-as-of date</t>
  </si>
  <si>
    <t xml:space="preserve">Answer samples</t>
  </si>
  <si>
    <t xml:space="preserve">100% of answers show citations with revision and as-of date</t>
  </si>
  <si>
    <t xml:space="preserve">KNI-02.2.05</t>
  </si>
  <si>
    <t xml:space="preserve">Refusal behavior implemented with a defined confidence metric and threshold; low-confidence queries refused</t>
  </si>
  <si>
    <t xml:space="preserve">Refusal test set results</t>
  </si>
  <si>
    <t xml:space="preserve">Refusal fires on the unanswerable fixture set at or above target rate</t>
  </si>
  <si>
    <t xml:space="preserve">PLAN M15 main-jobs; REV D1 M15 gaps</t>
  </si>
  <si>
    <t xml:space="preserve">KNI-02.2.06</t>
  </si>
  <si>
    <t xml:space="preserve">Enclave currency banner implemented: deployments past the staleness threshold display a mandatory warning on every answer</t>
  </si>
  <si>
    <t xml:space="preserve">UI screenshot and threshold test</t>
  </si>
  <si>
    <t xml:space="preserve">Banner appears when corpus age exceeds threshold in simulator</t>
  </si>
  <si>
    <t xml:space="preserve">Scenario 4; Scenario 13</t>
  </si>
  <si>
    <t xml:space="preserve">KNI-02.2.07</t>
  </si>
  <si>
    <t xml:space="preserve">Exit-gate evidence bundle assembled and reviewed for the M15 RAG build task</t>
  </si>
  <si>
    <t xml:space="preserve">KNI-03.1.01</t>
  </si>
  <si>
    <t xml:space="preserve">M15 prompt-injection defenses</t>
  </si>
  <si>
    <t xml:space="preserve">Ingestion and output hardening</t>
  </si>
  <si>
    <t xml:space="preserve">Ingestion-time injection screening implemented: uploaded documents scanned for adversarial instruction patterns with flagged documents quarantined for review</t>
  </si>
  <si>
    <t xml:space="preserve">Quarantine workflow test</t>
  </si>
  <si>
    <t xml:space="preserve">Seeded adversarial document quarantined, not indexed</t>
  </si>
  <si>
    <t xml:space="preserve">Scenario 9</t>
  </si>
  <si>
    <t xml:space="preserve">KNI-03.1.02</t>
  </si>
  <si>
    <t xml:space="preserve">Prompt assembly hardened: retrieved chunks delimited as data with system-prompt isolation and output constrained to cited content</t>
  </si>
  <si>
    <t xml:space="preserve">Hardening design note and tests</t>
  </si>
  <si>
    <t xml:space="preserve">Injection canary strings in chunks never executed as instructions</t>
  </si>
  <si>
    <t xml:space="preserve">KNI-03.1.03</t>
  </si>
  <si>
    <t xml:space="preserve">Injection red-team suite executed: adversarial instructions inside a test manual do not alter behavior, subvert refusal, or exfiltrate other documents</t>
  </si>
  <si>
    <t xml:space="preserve">AIA-05.1.01, KNI-03.1.02</t>
  </si>
  <si>
    <t xml:space="preserve">Red-team report</t>
  </si>
  <si>
    <t xml:space="preserve">Zero successful injections across the suite on hosted and local models</t>
  </si>
  <si>
    <t xml:space="preserve">Scenario 9; MOD-010</t>
  </si>
  <si>
    <t xml:space="preserve">KNI-03.1.04</t>
  </si>
  <si>
    <t xml:space="preserve">Exit-gate evidence bundle assembled and reviewed for the M15 injection-defense task</t>
  </si>
  <si>
    <t xml:space="preserve">KNI-04.1.01</t>
  </si>
  <si>
    <t xml:space="preserve">M15 evaluation harness</t>
  </si>
  <si>
    <t xml:space="preserve">Eval gates</t>
  </si>
  <si>
    <t xml:space="preserve">Golden Q&amp;A set assembled per corpus from the shared fixture-manual corpus: known-answer, unanswerable, and superseded questions</t>
  </si>
  <si>
    <t xml:space="preserve">AIA-05.1.01</t>
  </si>
  <si>
    <t xml:space="preserve">Versioned QA dataset</t>
  </si>
  <si>
    <t xml:space="preserve">Dataset covers all three question classes with review sign-off</t>
  </si>
  <si>
    <t xml:space="preserve">MOD-010; REV T days-31-60</t>
  </si>
  <si>
    <t xml:space="preserve">KNI-04.1.02</t>
  </si>
  <si>
    <t xml:space="preserve">Evaluation metrics implemented: retrieval precision and recall, citation support, groundedness, refusal correctness, hallucination rate</t>
  </si>
  <si>
    <t xml:space="preserve">Eval harness code and sample run</t>
  </si>
  <si>
    <t xml:space="preserve">All five metrics computed on the golden set</t>
  </si>
  <si>
    <t xml:space="preserve">MOD-010</t>
  </si>
  <si>
    <t xml:space="preserve">KNI-04.1.03</t>
  </si>
  <si>
    <t xml:space="preserve">Evaluation run on hosted AND target local model with published quality bars; hosted-vs-local delta recorded and accepted in writing</t>
  </si>
  <si>
    <t xml:space="preserve">PLT-03.1.01, KNI-04.1.02</t>
  </si>
  <si>
    <t xml:space="preserve">Eval report with signed acceptance</t>
  </si>
  <si>
    <t xml:space="preserve">Quality bars met on both configurations; delta acceptance signed</t>
  </si>
  <si>
    <t xml:space="preserve">MOD-010; R-005</t>
  </si>
  <si>
    <t xml:space="preserve">KNI-04.1.04</t>
  </si>
  <si>
    <t xml:space="preserve">Evaluation suite wired into CI as a release gate; regression blocks release</t>
  </si>
  <si>
    <t xml:space="preserve">CI gate config and blocked-run demo</t>
  </si>
  <si>
    <t xml:space="preserve">Deliberate regression blocks a test release</t>
  </si>
  <si>
    <t xml:space="preserve">REV D1 M15 exit-criteria</t>
  </si>
  <si>
    <t xml:space="preserve">KNI-04.1.05</t>
  </si>
  <si>
    <t xml:space="preserve">Groundedness human-rater sampling executed: cited passages verified to support answers above the quality bar on the local model configuration</t>
  </si>
  <si>
    <t xml:space="preserve">Rater report</t>
  </si>
  <si>
    <t xml:space="preserve">Citation-support rate above bar on local model</t>
  </si>
  <si>
    <t xml:space="preserve">REV D1 M15 tests</t>
  </si>
  <si>
    <t xml:space="preserve">KNI-04.1.06</t>
  </si>
  <si>
    <t xml:space="preserve">Exit-gate evidence bundle assembled and reviewed for the M15 evaluation task</t>
  </si>
  <si>
    <t xml:space="preserve">KNI-05.1.01</t>
  </si>
  <si>
    <t xml:space="preserve">M15 data layer</t>
  </si>
  <si>
    <t xml:space="preserve">Chat logs and stores</t>
  </si>
  <si>
    <t xml:space="preserve">Chat logs record chunk IDs and doc revisions per answer with tenant attribution, enabling exposure reconstruction</t>
  </si>
  <si>
    <t xml:space="preserve">Log schema and audit query</t>
  </si>
  <si>
    <t xml:space="preserve">One query lists every session that touched a given doc revision</t>
  </si>
  <si>
    <t xml:space="preserve">Scenario 4 audit; REV D1 M15 gaps</t>
  </si>
  <si>
    <t xml:space="preserve">KNI-05.1.02</t>
  </si>
  <si>
    <t xml:space="preserve">Retention and PII policy for chat history configured and enforced</t>
  </si>
  <si>
    <t xml:space="preserve">Policy config and purge job log</t>
  </si>
  <si>
    <t xml:space="preserve">Purge job removes expired history in test</t>
  </si>
  <si>
    <t xml:space="preserve">KNI-05.1.03</t>
  </si>
  <si>
    <t xml:space="preserve">Document store and index metadata tables created with tenant RLS; migrations tested up and down</t>
  </si>
  <si>
    <t xml:space="preserve">Migrations green; RLS negative test passes</t>
  </si>
  <si>
    <t xml:space="preserve">KNI-05.1.04</t>
  </si>
  <si>
    <t xml:space="preserve">Exit-gate evidence bundle assembled and reviewed for the M15 data task</t>
  </si>
  <si>
    <t xml:space="preserve">KNI-06.1.01</t>
  </si>
  <si>
    <t xml:space="preserve">M15 security</t>
  </si>
  <si>
    <t xml:space="preserve">Tenancy and access</t>
  </si>
  <si>
    <t xml:space="preserve">Adversarial cross-tenant retrieval test executed: seeded look-alike documents across tenants with thousands of queries and zero cross-tenant chunks retrieved or cited</t>
  </si>
  <si>
    <t xml:space="preserve">Pen test report</t>
  </si>
  <si>
    <t xml:space="preserve">Zero cross-tenant retrievals across the full query set</t>
  </si>
  <si>
    <t xml:space="preserve">R-002; R-022; REV D1 M15 tests</t>
  </si>
  <si>
    <t xml:space="preserve">KNI-06.1.02</t>
  </si>
  <si>
    <t xml:space="preserve">Authentication required on every endpoint (anonymous scan) and role authorization negative tests for admin upload versus learner query</t>
  </si>
  <si>
    <t xml:space="preserve">Scan and test reports</t>
  </si>
  <si>
    <t xml:space="preserve">Anonymous scan clean; role negative tests green</t>
  </si>
  <si>
    <t xml:space="preserve">KNI-06.1.03</t>
  </si>
  <si>
    <t xml:space="preserve">Secrets for inference and index access managed via the platform secrets service; dependency scan clean or waived</t>
  </si>
  <si>
    <t xml:space="preserve">Scan reports</t>
  </si>
  <si>
    <t xml:space="preserve">No plaintext secrets; dependency scan clean or waiver signed</t>
  </si>
  <si>
    <t xml:space="preserve">KNI-06.1.04</t>
  </si>
  <si>
    <t xml:space="preserve">Exit-gate evidence bundle assembled and reviewed for the M15 security task</t>
  </si>
  <si>
    <t xml:space="preserve">KNI-07.1.01</t>
  </si>
  <si>
    <t xml:space="preserve">M15 observability and capacity</t>
  </si>
  <si>
    <t xml:space="preserve">Metrics and capacity</t>
  </si>
  <si>
    <t xml:space="preserve">Metrics live: query rate, refusal rate, retrieval latency, index freshness age, inference queue depth; correlation IDs end to end</t>
  </si>
  <si>
    <t xml:space="preserve">Dashboard URL and trace</t>
  </si>
  <si>
    <t xml:space="preserve">All five metrics render; one trace spans query to answer</t>
  </si>
  <si>
    <t xml:space="preserve">KNI-07.1.02</t>
  </si>
  <si>
    <t xml:space="preserve">Alerts configured: index staleness beyond SLA, refusal-rate anomaly, evaluation regression; runbook walked by a non-author</t>
  </si>
  <si>
    <t xml:space="preserve">All three alerts fired in test; runbook walked</t>
  </si>
  <si>
    <t xml:space="preserve">Brief lane 5; Scenario 4 detection</t>
  </si>
  <si>
    <t xml:space="preserve">KNI-07.1.03</t>
  </si>
  <si>
    <t xml:space="preserve">Capacity model documented: concurrent class-wide usage versus GPU sizing for the exam-period profile, reviewed against inference-service admission control</t>
  </si>
  <si>
    <t xml:space="preserve">Capacity model document</t>
  </si>
  <si>
    <t xml:space="preserve">Model reviewed and sized against Loop-10 concurrency numbers</t>
  </si>
  <si>
    <t xml:space="preserve">R-009; REV D1 M15 gaps</t>
  </si>
  <si>
    <t xml:space="preserve">KNI-07.1.04</t>
  </si>
  <si>
    <t xml:space="preserve">Exit-gate evidence bundle assembled and reviewed for the M15 observability task</t>
  </si>
  <si>
    <t xml:space="preserve">KNI-08.1.01</t>
  </si>
  <si>
    <t xml:space="preserve">M15 deployment and docs</t>
  </si>
  <si>
    <t xml:space="preserve">Release and handoff</t>
  </si>
  <si>
    <t xml:space="preserve">CI container build live; release bundle includes local model reference, index tooling, and offline assets</t>
  </si>
  <si>
    <t xml:space="preserve">Bundle manifest</t>
  </si>
  <si>
    <t xml:space="preserve">Bundle installs without external fetches in staging</t>
  </si>
  <si>
    <t xml:space="preserve">KNI-08.1.02</t>
  </si>
  <si>
    <t xml:space="preserve">Enclave zero-egress install verified: local model served via the inference service with no hosted fallback dependency</t>
  </si>
  <si>
    <t xml:space="preserve">Zero outbound connections during full chat cycle in simulator</t>
  </si>
  <si>
    <t xml:space="preserve">MOD-015; R-007</t>
  </si>
  <si>
    <t xml:space="preserve">KNI-08.1.03</t>
  </si>
  <si>
    <t xml:space="preserve">Re-index runbook for embedding-model change and corpus update rehearsed end to end</t>
  </si>
  <si>
    <t xml:space="preserve">Re-index completed per runbook by a non-author</t>
  </si>
  <si>
    <t xml:space="preserve">KNI-08.1.04</t>
  </si>
  <si>
    <t xml:space="preserve">API docs, admin corpus-management guide, and P4 training notes published</t>
  </si>
  <si>
    <t xml:space="preserve">Docs published and accepted by P4 owner</t>
  </si>
  <si>
    <t xml:space="preserve">KNI-08.1.05</t>
  </si>
  <si>
    <t xml:space="preserve">Exit-gate evidence bundle assembled and reviewed for the M15 deployment and docs task</t>
  </si>
  <si>
    <t xml:space="preserve">KNI-09.1.01</t>
  </si>
  <si>
    <t xml:space="preserve">M16</t>
  </si>
  <si>
    <t xml:space="preserve">M16 contracts</t>
  </si>
  <si>
    <t xml:space="preserve">Sync and signing contracts</t>
  </si>
  <si>
    <t xml:space="preserve">Store-and-forward sync contract adopted from the shared SDK: client event UUID, monotonic device sequence, device and server timestamps, batch manifest with hash, resume-from-ack</t>
  </si>
  <si>
    <t xml:space="preserve">PLT-05.1.01, FND-07.1.01</t>
  </si>
  <si>
    <t xml:space="preserve">Contract v1 published; a third-party vendor can implement from docs alone</t>
  </si>
  <si>
    <t xml:space="preserve">REV S.4; Scenario 6; REV D1 M16 required-changes</t>
  </si>
  <si>
    <t xml:space="preserve">KNI-09.1.02</t>
  </si>
  <si>
    <t xml:space="preserve">Burst and backpressure contract agreed with M3: max batch size, jittered client backoff, server 429 semantics published in the event contract</t>
  </si>
  <si>
    <t xml:space="preserve">Contract clause</t>
  </si>
  <si>
    <t xml:space="preserve">Clause published; M3 and M16 teams both sign</t>
  </si>
  <si>
    <t xml:space="preserve">Scenario 6; R-012</t>
  </si>
  <si>
    <t xml:space="preserve">KNI-09.1.03</t>
  </si>
  <si>
    <t xml:space="preserve">Simulator learning-event xAPI profile published covering attempts, scores, and procedure steps for third-party instrumentation</t>
  </si>
  <si>
    <t xml:space="preserve">Profile registry entry</t>
  </si>
  <si>
    <t xml:space="preserve">Profile v1 published; sample sim statements validate</t>
  </si>
  <si>
    <t xml:space="preserve">REV D1 M16 gaps; MOD-002</t>
  </si>
  <si>
    <t xml:space="preserve">KNI-09.1.04</t>
  </si>
  <si>
    <t xml:space="preserve">Simulator package signing contract defined: publisher signing workflow and per-platform signature verification requirements</t>
  </si>
  <si>
    <t xml:space="preserve">Signing contract document</t>
  </si>
  <si>
    <t xml:space="preserve">Contract approved covering iOS, Android, and Windows</t>
  </si>
  <si>
    <t xml:space="preserve">REV D1 M16 required-changes</t>
  </si>
  <si>
    <t xml:space="preserve">KNI-09.1.05</t>
  </si>
  <si>
    <t xml:space="preserve">Offline credential doctrine agreed with M1: bounded offline token validity, authorization re-check at sync, revoked-user quarantine</t>
  </si>
  <si>
    <t xml:space="preserve">Doctrine document signed by M1 owner</t>
  </si>
  <si>
    <t xml:space="preserve">Doctrine approved with numeric token-validity bound</t>
  </si>
  <si>
    <t xml:space="preserve">KNI-09.1.06</t>
  </si>
  <si>
    <t xml:space="preserve">Contract conformance tests for M16 contracts wired into CI</t>
  </si>
  <si>
    <t xml:space="preserve">KNI-09.1.07</t>
  </si>
  <si>
    <t xml:space="preserve">Exit-gate evidence bundle assembled and reviewed for the M16 contracts task</t>
  </si>
  <si>
    <t xml:space="preserve">KNI-10.1.01</t>
  </si>
  <si>
    <t xml:space="preserve">Mobile/XR Engineer</t>
  </si>
  <si>
    <t xml:space="preserve">M16 store client build</t>
  </si>
  <si>
    <t xml:space="preserve">Catalog and lifecycle</t>
  </si>
  <si>
    <t xml:space="preserve">Catalog UI implemented: browse, banners, installed-apps view, and image caching for offline speed</t>
  </si>
  <si>
    <t xml:space="preserve">App build and walkthrough</t>
  </si>
  <si>
    <t xml:space="preserve">Catalog renders from cache with network disabled</t>
  </si>
  <si>
    <t xml:space="preserve">PLAN M16 main-jobs</t>
  </si>
  <si>
    <t xml:space="preserve">KNI-10.1.02</t>
  </si>
  <si>
    <t xml:space="preserve">Install, launch, and uninstall implemented per platform with a per-platform mechanics assessment recorded covering iOS sideload constraints and react-native-windows maturity</t>
  </si>
  <si>
    <t xml:space="preserve">Assessment doc and platform test runs</t>
  </si>
  <si>
    <t xml:space="preserve">All three lifecycle actions pass on each supported platform</t>
  </si>
  <si>
    <t xml:space="preserve">PLAN M16 main-jobs; REV D1 M16 gaps</t>
  </si>
  <si>
    <t xml:space="preserve">KNI-10.1.03</t>
  </si>
  <si>
    <t xml:space="preserve">Device login and secure on-device session storage implemented</t>
  </si>
  <si>
    <t xml:space="preserve">Security test notes</t>
  </si>
  <si>
    <t xml:space="preserve">Session survives restart; storage passes platform keystore check</t>
  </si>
  <si>
    <t xml:space="preserve">KNI-10.1.04</t>
  </si>
  <si>
    <t xml:space="preserve">Pre-release launch test suite implemented and required for every published title</t>
  </si>
  <si>
    <t xml:space="preserve">Suite run on a fixture title</t>
  </si>
  <si>
    <t xml:space="preserve">Title with failing launch test cannot publish (negative test)</t>
  </si>
  <si>
    <t xml:space="preserve">KNI-10.1.05</t>
  </si>
  <si>
    <t xml:space="preserve">Publisher workflow implemented: title submission, signing, and catalog publish</t>
  </si>
  <si>
    <t xml:space="preserve">Fixture title flows submission to storefront with signature</t>
  </si>
  <si>
    <t xml:space="preserve">KNI-10.1.06</t>
  </si>
  <si>
    <t xml:space="preserve">Exit-gate evidence bundle assembled and reviewed for the M16 store client task</t>
  </si>
  <si>
    <t xml:space="preserve">KNI-11.1.01</t>
  </si>
  <si>
    <t xml:space="preserve">M16 offline event queue</t>
  </si>
  <si>
    <t xml:space="preserve">On-device queue</t>
  </si>
  <si>
    <t xml:space="preserve">Encrypted on-device event queue implemented with cap and aging policy</t>
  </si>
  <si>
    <t xml:space="preserve">Queue implementation and tests</t>
  </si>
  <si>
    <t xml:space="preserve">Queue encrypted at rest; cap and aging enforced in test</t>
  </si>
  <si>
    <t xml:space="preserve">KNI-11.1.02</t>
  </si>
  <si>
    <t xml:space="preserve">Client-generated UUID and monotonic device sequence stamped on every queued event</t>
  </si>
  <si>
    <t xml:space="preserve">Queue inspection test</t>
  </si>
  <si>
    <t xml:space="preserve">100% of queued events carry UUID and sequence</t>
  </si>
  <si>
    <t xml:space="preserve">Scenario 6</t>
  </si>
  <si>
    <t xml:space="preserve">KNI-11.1.03</t>
  </si>
  <si>
    <t xml:space="preserve">Device-side journal maintained for post-sync exactly-once verification</t>
  </si>
  <si>
    <t xml:space="preserve">Journal spec and test</t>
  </si>
  <si>
    <t xml:space="preserve">Journal reconciles with server record after sync in test</t>
  </si>
  <si>
    <t xml:space="preserve">REV D1 M16 tests</t>
  </si>
  <si>
    <t xml:space="preserve">KNI-11.1.04</t>
  </si>
  <si>
    <t xml:space="preserve">Offline token validity enforced: expired-credential events retained pending re-authorization, never silently dropped</t>
  </si>
  <si>
    <t xml:space="preserve">Expiry test report</t>
  </si>
  <si>
    <t xml:space="preserve">Events survive token expiry and upload after re-auth</t>
  </si>
  <si>
    <t xml:space="preserve">KNI-11.1.05</t>
  </si>
  <si>
    <t xml:space="preserve">Exit-gate evidence bundle assembled and reviewed for the M16 offline queue task</t>
  </si>
  <si>
    <t xml:space="preserve">KNI-12.1.01</t>
  </si>
  <si>
    <t xml:space="preserve">M16 sync protocol</t>
  </si>
  <si>
    <t xml:space="preserve">Upload dedup and backpressure</t>
  </si>
  <si>
    <t xml:space="preserve">Batch upload with resumable checkpoints implemented resuming from the last-acknowledged manifest</t>
  </si>
  <si>
    <t xml:space="preserve">KNI-11.1.03, PLT-05.1.01</t>
  </si>
  <si>
    <t xml:space="preserve">Resume test report</t>
  </si>
  <si>
    <t xml:space="preserve">Mid-batch disconnect resumes with no gap and no resend of acked events</t>
  </si>
  <si>
    <t xml:space="preserve">KNI-12.1.02</t>
  </si>
  <si>
    <t xml:space="preserve">Server-side dedup keyed on device, sequence, and event ID verified idempotent at M3</t>
  </si>
  <si>
    <t xml:space="preserve">FND-03.1.01, KNI-11.1.02</t>
  </si>
  <si>
    <t xml:space="preserve">Idempotency test report</t>
  </si>
  <si>
    <t xml:space="preserve">Duplicate batch replay produces zero duplicate statements in M2</t>
  </si>
  <si>
    <t xml:space="preserve">Scenario 6; MOD-004</t>
  </si>
  <si>
    <t xml:space="preserve">KNI-12.1.03</t>
  </si>
  <si>
    <t xml:space="preserve">Clock-skew handling implemented: device event timestamps preserved while server received-time is authoritative for ordering</t>
  </si>
  <si>
    <t xml:space="preserve">Skew test report</t>
  </si>
  <si>
    <t xml:space="preserve">Events with plus/minus 48h skew stored with both timestamps correctly</t>
  </si>
  <si>
    <t xml:space="preserve">KNI-12.1.04</t>
  </si>
  <si>
    <t xml:space="preserve">Jittered client backoff and server 429 handling implemented so reconnection bursts do not degrade online users</t>
  </si>
  <si>
    <t xml:space="preserve">M3 p95 for online users within SLO during burst test</t>
  </si>
  <si>
    <t xml:space="preserve">KNI-12.1.05</t>
  </si>
  <si>
    <t xml:space="preserve">Revoked-user quarantine implemented: a deactivated user's queued events land in quarantine with audit records and none enter cleaned or official levels</t>
  </si>
  <si>
    <t xml:space="preserve">KNI-09.1.05, PLT-02.1.01</t>
  </si>
  <si>
    <t xml:space="preserve">Revoked-user test report</t>
  </si>
  <si>
    <t xml:space="preserve">Quarantine holds all events; zero reach cleaned/official levels</t>
  </si>
  <si>
    <t xml:space="preserve">KNI-12.1.06</t>
  </si>
  <si>
    <t xml:space="preserve">Scenario-6 acceptance test executed: 500 virtual devices at 200 events each with 30% mid-batch disconnects and clock skew; zero lost and zero duplicate statements; all devices show synced</t>
  </si>
  <si>
    <t xml:space="preserve">KNI-12.1.01, KNI-12.1.02, KNI-12.1.04</t>
  </si>
  <si>
    <t xml:space="preserve">Fleet simulation report</t>
  </si>
  <si>
    <t xml:space="preserve">Zero lost, zero duplicates in M2; fleet telemetry shows 100% synced</t>
  </si>
  <si>
    <t xml:space="preserve">Scenario 6 validation test</t>
  </si>
  <si>
    <t xml:space="preserve">KNI-12.1.07</t>
  </si>
  <si>
    <t xml:space="preserve">Reconnection matrix test executed: offline 1 hour, 7 days, and 60 days with clock skew and same learner on two devices; exactly-once history in causal order verified against device journals</t>
  </si>
  <si>
    <t xml:space="preserve">Matrix test report</t>
  </si>
  <si>
    <t xml:space="preserve">Exactly-once event history for every cell of the matrix</t>
  </si>
  <si>
    <t xml:space="preserve">KNI-12.1.08</t>
  </si>
  <si>
    <t xml:space="preserve">Fleet sync telemetry live: expected-versus-received per device dashboard with unsynced-device visibility</t>
  </si>
  <si>
    <t xml:space="preserve">A device that should have uploaded but did not is visibly flagged</t>
  </si>
  <si>
    <t xml:space="preserve">Scenario 6 detection</t>
  </si>
  <si>
    <t xml:space="preserve">KNI-12.1.09</t>
  </si>
  <si>
    <t xml:space="preserve">Exit-gate evidence bundle assembled and reviewed for the M16 sync protocol task</t>
  </si>
  <si>
    <t xml:space="preserve">KNI-13.1.01</t>
  </si>
  <si>
    <t xml:space="preserve">M16 package security</t>
  </si>
  <si>
    <t xml:space="preserve">Signing and device security</t>
  </si>
  <si>
    <t xml:space="preserve">Simulator package signing pipeline implemented; unsigned packages cannot be published to the catalog</t>
  </si>
  <si>
    <t xml:space="preserve">Pipeline run and negative test</t>
  </si>
  <si>
    <t xml:space="preserve">Unsigned package rejected at publish (negative test)</t>
  </si>
  <si>
    <t xml:space="preserve">KNI-13.1.02</t>
  </si>
  <si>
    <t xml:space="preserve">On-device signature verification before install on all supported platforms; tampered package fails installation</t>
  </si>
  <si>
    <t xml:space="preserve">Tampered package fails install on every platform</t>
  </si>
  <si>
    <t xml:space="preserve">KNI-13.1.03</t>
  </si>
  <si>
    <t xml:space="preserve">Device storage security review passed covering queue encryption, key handling, and remote wipe path</t>
  </si>
  <si>
    <t xml:space="preserve">Security review report</t>
  </si>
  <si>
    <t xml:space="preserve">Review signed with zero open high findings</t>
  </si>
  <si>
    <t xml:space="preserve">REV D1 M16 exit-criteria</t>
  </si>
  <si>
    <t xml:space="preserve">KNI-13.1.04</t>
  </si>
  <si>
    <t xml:space="preserve">Exit-gate evidence bundle assembled and reviewed for the M16 package security task</t>
  </si>
  <si>
    <t xml:space="preserve">KNI-14.1.01</t>
  </si>
  <si>
    <t xml:space="preserve">M16 data and observability</t>
  </si>
  <si>
    <t xml:space="preserve">Stores metrics and SLO</t>
  </si>
  <si>
    <t xml:space="preserve">Catalog and entitlement tables created with tenant RLS; migrations tested up and down</t>
  </si>
  <si>
    <t xml:space="preserve">KNI-14.1.02</t>
  </si>
  <si>
    <t xml:space="preserve">Metrics live: install success rate, sync lag, per-device queue depth, quarantine volume; alerts on fleet sync failures with runbook walked by a non-author</t>
  </si>
  <si>
    <t xml:space="preserve">Dashboard URL and walkthrough record</t>
  </si>
  <si>
    <t xml:space="preserve">All four metrics render; alert fired in test; runbook walked</t>
  </si>
  <si>
    <t xml:space="preserve">KNI-14.1.03</t>
  </si>
  <si>
    <t xml:space="preserve">SLO defined for sync completion after reconnect and measured in staging</t>
  </si>
  <si>
    <t xml:space="preserve">Staging sync completion within SLO</t>
  </si>
  <si>
    <t xml:space="preserve">KNI-14.1.04</t>
  </si>
  <si>
    <t xml:space="preserve">Exit-gate evidence bundle assembled and reviewed for the M16 data and observability task</t>
  </si>
  <si>
    <t xml:space="preserve">KNI-15.1.01</t>
  </si>
  <si>
    <t xml:space="preserve">M16 deployment and docs</t>
  </si>
  <si>
    <t xml:space="preserve">Release and vendor handoff</t>
  </si>
  <si>
    <t xml:space="preserve">CI builds live for iOS, Android, and Windows clients; release bundle includes store server and signed clients</t>
  </si>
  <si>
    <t xml:space="preserve">CI runs and bundle manifest</t>
  </si>
  <si>
    <t xml:space="preserve">All three client builds green; bundle manifest complete</t>
  </si>
  <si>
    <t xml:space="preserve">KNI-15.1.02</t>
  </si>
  <si>
    <t xml:space="preserve">Enclave zero-egress install verified: catalog, packages, and images served entirely from local infrastructure</t>
  </si>
  <si>
    <t xml:space="preserve">Zero outbound connections during browse-install-launch cycle</t>
  </si>
  <si>
    <t xml:space="preserve">KNI-15.1.03</t>
  </si>
  <si>
    <t xml:space="preserve">Rollback of the store server release rehearsed; client kill-switch verified</t>
  </si>
  <si>
    <t xml:space="preserve">Rollback completed; kill-switch disables installs in test</t>
  </si>
  <si>
    <t xml:space="preserve">KNI-15.1.04</t>
  </si>
  <si>
    <t xml:space="preserve">Third-party simulator vendor integration guide published covering store-and-forward protocol and event profile, validated by the docs-alone MOSA test</t>
  </si>
  <si>
    <t xml:space="preserve">KNI-09.1.01, KNI-09.1.03</t>
  </si>
  <si>
    <t xml:space="preserve">Published guide and MOSA test record</t>
  </si>
  <si>
    <t xml:space="preserve">An engineer implements a stub sim client from docs alone</t>
  </si>
  <si>
    <t xml:space="preserve">KNI-15.1.05</t>
  </si>
  <si>
    <t xml:space="preserve">Admin guide and P4 training notes for store operators published</t>
  </si>
  <si>
    <t xml:space="preserve">Docs accepted by P4 owner</t>
  </si>
  <si>
    <t xml:space="preserve">KNI-15.1.06</t>
  </si>
  <si>
    <t xml:space="preserve">Exit-gate evidence bundle assembled and reviewed for the M16 deployment and docs task</t>
  </si>
  <si>
    <t xml:space="preserve">TLA</t>
  </si>
  <si>
    <t xml:space="preserve">M19 competency registry contracts</t>
  </si>
  <si>
    <t xml:space="preserve">Framework schema definition</t>
  </si>
  <si>
    <t xml:space="preserve">Competency object model v1 drafted defining framework, competency, level, prerequisite/parent relationship, and credential entity types with field-level definitions</t>
  </si>
  <si>
    <t xml:space="preserve">Schema spec v1 in contract registry</t>
  </si>
  <si>
    <t xml:space="preserve">Spec defines all five entity types with required fields; review sign-off by SME Lead recorded</t>
  </si>
  <si>
    <t xml:space="preserve">Review D-M19 gap 1; MOD-003; HS-5</t>
  </si>
  <si>
    <t xml:space="preserve">TLA-01.1.02</t>
  </si>
  <si>
    <t xml:space="preserve">Language-neutral competency ID rule specified: definitions stored language-neutral with localized labels per supported language tier</t>
  </si>
  <si>
    <t xml:space="preserve">Localization section of schema spec</t>
  </si>
  <si>
    <t xml:space="preserve">Same competency ID resolves to identical definition under two label locales in fixture test</t>
  </si>
  <si>
    <t xml:space="preserve">Review D-M19 gap 5; A-058; R-024</t>
  </si>
  <si>
    <t xml:space="preserve">TLA-01.1.03</t>
  </si>
  <si>
    <t xml:space="preserve">Equipment/platform variant model drafted in the ontology so M36 can compute variant deltas from registry data</t>
  </si>
  <si>
    <t xml:space="preserve">Variant model section of schema spec</t>
  </si>
  <si>
    <t xml:space="preserve">Reference variant pair expressible in schema; M36 delta query answerable on paper walkthrough</t>
  </si>
  <si>
    <t xml:space="preserve">Review D-M19 gap 7; D-M36</t>
  </si>
  <si>
    <t xml:space="preserve">TLA-01.1.04</t>
  </si>
  <si>
    <t xml:space="preserve">Credential definition model drafted covering issuing authority, validity period, renewal, and revocation semantics</t>
  </si>
  <si>
    <t xml:space="preserve">Credential model section of schema spec</t>
  </si>
  <si>
    <t xml:space="preserve">One real credential from a fixture framework representable without free-text overflow fields</t>
  </si>
  <si>
    <t xml:space="preserve">Review D-M19 gap 1</t>
  </si>
  <si>
    <t xml:space="preserve">TLA-01.1.05</t>
  </si>
  <si>
    <t xml:space="preserve">Framework governance metadata defined: authoring owner, approval state, effective/retired dates, and named governance owner per framework</t>
  </si>
  <si>
    <t xml:space="preserve">Governance metadata spec plus named-owner record</t>
  </si>
  <si>
    <t xml:space="preserve">Every fixture framework carries a named governance owner; approval states enumerated and final</t>
  </si>
  <si>
    <t xml:space="preserve">Review D-M19 gap 4; A-027</t>
  </si>
  <si>
    <t xml:space="preserve">TLA-01.2.01</t>
  </si>
  <si>
    <t xml:space="preserve">Versioning and migration semantics</t>
  </si>
  <si>
    <t xml:space="preserve">Framework versioning rules specified: published versions immutable, version increment rules, deprecation and retirement states</t>
  </si>
  <si>
    <t xml:space="preserve">Versioning rules section of schema spec</t>
  </si>
  <si>
    <t xml:space="preserve">State machine covers publish, deprecate, retire; mutation of a published version is rejected by rule</t>
  </si>
  <si>
    <t xml:space="preserve">Review D-M19 gap 3; MOD-003</t>
  </si>
  <si>
    <t xml:space="preserve">TLA-01.2.02</t>
  </si>
  <si>
    <t xml:space="preserve">Historical-record resolution rule specified: official records reference competency ID plus framework version and resolve to the original definition after any upgrade</t>
  </si>
  <si>
    <t xml:space="preserve">Resolution rule spec with worked example</t>
  </si>
  <si>
    <t xml:space="preserve">Paper test: record against framework v1 resolves to v1 definition after v2 publish</t>
  </si>
  <si>
    <t xml:space="preserve">Review D-M19 acceptance (a); Scenario 10</t>
  </si>
  <si>
    <t xml:space="preserve">TLA-01.2.03</t>
  </si>
  <si>
    <t xml:space="preserve">Version-migration semantics for historical records documented including crosswalk mapping format for renamed, split, and merged competencies</t>
  </si>
  <si>
    <t xml:space="preserve">Crosswalk mapping spec v1</t>
  </si>
  <si>
    <t xml:space="preserve">Rename, split, and merge cases each have a worked crosswalk example that preserves record validity</t>
  </si>
  <si>
    <t xml:space="preserve">Review D-M19 gap 3; A-027</t>
  </si>
  <si>
    <t xml:space="preserve">TLA-01.2.04</t>
  </si>
  <si>
    <t xml:space="preserve">Framework update distribution rule to enclaves defined: replica model, per-class staleness bound, and assessment block against stale definitions past bound</t>
  </si>
  <si>
    <t xml:space="preserve">Enclave distribution rule in federation contract</t>
  </si>
  <si>
    <t xml:space="preserve">Rule states a numeric staleness bound and the blocking behavior; reviewed by FED owner</t>
  </si>
  <si>
    <t xml:space="preserve">Review D-M19 gap 6; Scenario 13</t>
  </si>
  <si>
    <t xml:space="preserve">TLA-01.3.01</t>
  </si>
  <si>
    <t xml:space="preserve">API contract and conformance</t>
  </si>
  <si>
    <t xml:space="preserve">Registry API contract v1 (OpenAPI) published covering framework load, resolve by ID plus version, crosswalk lookup, and credential lookup</t>
  </si>
  <si>
    <t xml:space="preserve">OpenAPI spec in contract registry</t>
  </si>
  <si>
    <t xml:space="preserve">Contract versioned in registry; CI compatibility check enabled</t>
  </si>
  <si>
    <t xml:space="preserve">Review D-M19; MOD-003; HS-11</t>
  </si>
  <si>
    <t xml:space="preserve">TLA-01.3.02</t>
  </si>
  <si>
    <t xml:space="preserve">Registry conformance test suite written against the API contract before implementation and running green against a stub</t>
  </si>
  <si>
    <t xml:space="preserve">Conformance suite in CI with green run</t>
  </si>
  <si>
    <t xml:space="preserve">Suite covers every contract operation incl. version-resolution cases; green against stub</t>
  </si>
  <si>
    <t xml:space="preserve">MOD-003; T Stage 0 exit gate</t>
  </si>
  <si>
    <t xml:space="preserve">TLA-01.3.03</t>
  </si>
  <si>
    <t xml:space="preserve">Third-party framework-load MOSA test scripted: an engineer outside the module team loads a framework using only published documentation</t>
  </si>
  <si>
    <t xml:space="preserve">MOSA test script and dry-run notes</t>
  </si>
  <si>
    <t xml:space="preserve">Script executable from docs alone; no undocumented step required in dry run</t>
  </si>
  <si>
    <t xml:space="preserve">Review D-M19 acceptance (b)</t>
  </si>
  <si>
    <t xml:space="preserve">TLA-01.3.04</t>
  </si>
  <si>
    <t xml:space="preserve">Client resolution decision recorded: shared platform resolution client library vs per-module clients for the five consumer modules</t>
  </si>
  <si>
    <t xml:space="preserve">Decision record in decision register</t>
  </si>
  <si>
    <t xml:space="preserve">Decision merged with named approver; consumer modules notified in writing</t>
  </si>
  <si>
    <t xml:space="preserve">Review D-M19 gap 8</t>
  </si>
  <si>
    <t xml:space="preserve">TLA-01.3.05</t>
  </si>
  <si>
    <t xml:space="preserve">Exit-gate evidence bundle for M19 contracts task assembled and reviewed</t>
  </si>
  <si>
    <t xml:space="preserve">TLA-01.3.02, TLA-01.3.04</t>
  </si>
  <si>
    <t xml:space="preserve">Evidence bundle in program repository</t>
  </si>
  <si>
    <t xml:space="preserve">Bundle contains schema spec, versioning rules, API contract, green conformance run; reviewer sign-off recorded</t>
  </si>
  <si>
    <t xml:space="preserve">Controlling prompt 0.3</t>
  </si>
  <si>
    <t xml:space="preserve">TLA-02.1.01</t>
  </si>
  <si>
    <t xml:space="preserve">M19 sourcing and service build</t>
  </si>
  <si>
    <t xml:space="preserve">Sourcing decision execution (DEC-004)</t>
  </si>
  <si>
    <t xml:space="preserve">CaSS-class OSS candidate evaluated against schema v1 requirements (versioning, localized labels, variant model, enclave install) with governance-health review</t>
  </si>
  <si>
    <t xml:space="preserve">Evaluation report with requirement matrix</t>
  </si>
  <si>
    <t xml:space="preserve">Every schema v1 requirement scored pass/fail/gap; governance health scored against R-015 criteria</t>
  </si>
  <si>
    <t xml:space="preserve">DEC-004; R-015</t>
  </si>
  <si>
    <t xml:space="preserve">TLA-02.1.02</t>
  </si>
  <si>
    <t xml:space="preserve">Thin PostgreSQL registry fallback design drafted implementing the identical published API contract</t>
  </si>
  <si>
    <t xml:space="preserve">Fallback design doc</t>
  </si>
  <si>
    <t xml:space="preserve">Design covers all contract operations; effort estimate attached; reviewed by Platform Architect</t>
  </si>
  <si>
    <t xml:space="preserve">DEC-004 option B</t>
  </si>
  <si>
    <t xml:space="preserve">TLA-02.1.03</t>
  </si>
  <si>
    <t xml:space="preserve">M19 sourcing decision recorded: CaSS-class wrapped behind the EdVidura-owned contract or thin PostgreSQL build, with exit strategy documented</t>
  </si>
  <si>
    <t xml:space="preserve">TLA-02.1.01, TLA-02.1.02</t>
  </si>
  <si>
    <t xml:space="preserve">Decision names the option, the trigger for fallback, and the exit strategy; approved before build start</t>
  </si>
  <si>
    <t xml:space="preserve">DEC-004; DEC-007 TLA core</t>
  </si>
  <si>
    <t xml:space="preserve">TLA-02.2.01</t>
  </si>
  <si>
    <t xml:space="preserve">Registry service build</t>
  </si>
  <si>
    <t xml:space="preserve">Registry service implemented per sourcing decision and passing the full conformance suite</t>
  </si>
  <si>
    <t xml:space="preserve">CI run of conformance suite against service</t>
  </si>
  <si>
    <t xml:space="preserve">100% of conformance tests green against the running service</t>
  </si>
  <si>
    <t xml:space="preserve">Review D-M19; T Stage 2 Slice C</t>
  </si>
  <si>
    <t xml:space="preserve">TLA-02.2.02</t>
  </si>
  <si>
    <t xml:space="preserve">Framework import pipeline implemented with validation reject rules for malformed or incomplete frameworks</t>
  </si>
  <si>
    <t xml:space="preserve">Import pipeline code plus rejection test run</t>
  </si>
  <si>
    <t xml:space="preserve">Deliberately malformed fixture rejected with actionable error listing failing rules</t>
  </si>
  <si>
    <t xml:space="preserve">A-025; Review D-M19</t>
  </si>
  <si>
    <t xml:space="preserve">TLA-02.2.03</t>
  </si>
  <si>
    <t xml:space="preserve">Framework version publish and deprecate workflow implemented with governance-role approval gating</t>
  </si>
  <si>
    <t xml:space="preserve">Workflow test run with audit trail</t>
  </si>
  <si>
    <t xml:space="preserve">Publish without approval role is rejected; approved publish creates immutable version with audit entry</t>
  </si>
  <si>
    <t xml:space="preserve">Review D-M19 gaps 3-4</t>
  </si>
  <si>
    <t xml:space="preserve">TLA-02.2.04</t>
  </si>
  <si>
    <t xml:space="preserve">Crosswalk and historical-resolution endpoints implemented; framework-upgrade resolution test green</t>
  </si>
  <si>
    <t xml:space="preserve">Automated test: record vs upgraded framework</t>
  </si>
  <si>
    <t xml:space="preserve">Record referencing framework v1 resolves to original v1 definition after v2 publish, by automated test</t>
  </si>
  <si>
    <t xml:space="preserve">Review D-M19 acceptance (a)</t>
  </si>
  <si>
    <t xml:space="preserve">TLA-02.2.05</t>
  </si>
  <si>
    <t xml:space="preserve">Localized-label storage and per-locale label query implemented for the committed language tiers</t>
  </si>
  <si>
    <t xml:space="preserve">Locale query test run</t>
  </si>
  <si>
    <t xml:space="preserve">Label query returns correct label per locale for fixture data incl. one Indic script; IDs unchanged across locales</t>
  </si>
  <si>
    <t xml:space="preserve">Review D-M19 gap 5; DEC-010</t>
  </si>
  <si>
    <t xml:space="preserve">TLA-02.3.01</t>
  </si>
  <si>
    <t xml:space="preserve">SME Lead</t>
  </si>
  <si>
    <t xml:space="preserve">Fixtures and reference data</t>
  </si>
  <si>
    <t xml:space="preserve">Two real competency frameworks (not toys) obtained from source organizations with written usage rights</t>
  </si>
  <si>
    <t xml:space="preserve">Framework source files plus usage-rights record</t>
  </si>
  <si>
    <t xml:space="preserve">Both frameworks are real organizational artifacts; rights to load and demo confirmed in writing</t>
  </si>
  <si>
    <t xml:space="preserve">T Days 1-30 item 4; A-027</t>
  </si>
  <si>
    <t xml:space="preserve">TLA-02.3.02</t>
  </si>
  <si>
    <t xml:space="preserve">Both real frameworks loaded as versioned fixtures via the published API with vocabulary collision count recorded</t>
  </si>
  <si>
    <t xml:space="preserve">TLA-02.2.02, TLA-02.3.01</t>
  </si>
  <si>
    <t xml:space="preserve">Fixture load log plus collision report</t>
  </si>
  <si>
    <t xml:space="preserve">Both frameworks queryable via API; collision report filed to governance owner</t>
  </si>
  <si>
    <t xml:space="preserve">A-027 validation; T Days 1-30 item 4</t>
  </si>
  <si>
    <t xml:space="preserve">TLA-02.3.03</t>
  </si>
  <si>
    <t xml:space="preserve">One equipment-variant pair modeled in fixture data as the M36 reference delta case</t>
  </si>
  <si>
    <t xml:space="preserve">Variant fixture in registry</t>
  </si>
  <si>
    <t xml:space="preserve">Delta query between the two variants returns the expected competency set per SME review</t>
  </si>
  <si>
    <t xml:space="preserve">Review D-M36 entry criteria</t>
  </si>
  <si>
    <t xml:space="preserve">TLA-02.3.04</t>
  </si>
  <si>
    <t xml:space="preserve">Exit-gate evidence bundle for M19 build task assembled and reviewed</t>
  </si>
  <si>
    <t xml:space="preserve">TLA-02.2.04, TLA-02.3.02</t>
  </si>
  <si>
    <t xml:space="preserve">Bundle contains conformance run, resolution test, fixture load logs, collision report; reviewer sign-off recorded</t>
  </si>
  <si>
    <t xml:space="preserve">M19 data security and operations</t>
  </si>
  <si>
    <t xml:space="preserve">Data lane</t>
  </si>
  <si>
    <t xml:space="preserve">Registry schema migrations authored with up and down migrations tested on a production-shaped dataset</t>
  </si>
  <si>
    <t xml:space="preserve">Migration test run in CI</t>
  </si>
  <si>
    <t xml:space="preserve">Up and down both pass on production-shaped data with zero row loss</t>
  </si>
  <si>
    <t xml:space="preserve">TST-STD data integrity; Scenario 8</t>
  </si>
  <si>
    <t xml:space="preserve">TLA-03.1.02</t>
  </si>
  <si>
    <t xml:space="preserve">Tenant and command scoping applied to framework visibility (RLS in shared schema; instance-local in enclave) with cross-tenant negative test</t>
  </si>
  <si>
    <t xml:space="preserve">RLS policy plus negative test run</t>
  </si>
  <si>
    <t xml:space="preserve">Tenant A query returns zero tenant-B private frameworks under direct SQL and via API</t>
  </si>
  <si>
    <t xml:space="preserve">DEC-006; MOD-008; Scenario 2</t>
  </si>
  <si>
    <t xml:space="preserve">TLA-03.1.03</t>
  </si>
  <si>
    <t xml:space="preserve">Framework change-history audit trail implemented with retention rule (who changed what and when, hash-chained)</t>
  </si>
  <si>
    <t xml:space="preserve">Audit query output for a change sequence</t>
  </si>
  <si>
    <t xml:space="preserve">Every mutating operation produces an audit event retrievable by framework ID; retention rule active</t>
  </si>
  <si>
    <t xml:space="preserve">TLA-03.2.01</t>
  </si>
  <si>
    <t xml:space="preserve">Security lane</t>
  </si>
  <si>
    <t xml:space="preserve">Registry authorization enforced: framework authoring restricted to governance role, consumers read-only, anonymous scan finds zero open endpoints</t>
  </si>
  <si>
    <t xml:space="preserve">Authz test matrix plus anonymous scan report</t>
  </si>
  <si>
    <t xml:space="preserve">All role-negative tests pass; anonymous scan reports zero accessible endpoints</t>
  </si>
  <si>
    <t xml:space="preserve">TST-STD security; Review G.4</t>
  </si>
  <si>
    <t xml:space="preserve">TLA-03.2.02</t>
  </si>
  <si>
    <t xml:space="preserve">Framework import parser fuzz-tested and input validation hardened against malformed and hostile framework files</t>
  </si>
  <si>
    <t xml:space="preserve">Fuzzing report</t>
  </si>
  <si>
    <t xml:space="preserve">Fuzz corpus run completes with zero crashes and zero unvalidated-input findings above severity threshold</t>
  </si>
  <si>
    <t xml:space="preserve">TST-STD security fuzzing</t>
  </si>
  <si>
    <t xml:space="preserve">TLA-03.3.01</t>
  </si>
  <si>
    <t xml:space="preserve">Observability lane</t>
  </si>
  <si>
    <t xml:space="preserve">Structured logs with correlation IDs, resolve-latency and version-query metrics, resolve-error alert, runbook, and SLO defined for the registry service</t>
  </si>
  <si>
    <t xml:space="preserve">Dashboards, alert config, runbook, SLO doc</t>
  </si>
  <si>
    <t xml:space="preserve">Correlation ID propagates through a test request; alert fires in test; SLO measured in staging</t>
  </si>
  <si>
    <t xml:space="preserve">Controlling prompt Loop 2 lane 5</t>
  </si>
  <si>
    <t xml:space="preserve">TLA-03.4.01</t>
  </si>
  <si>
    <t xml:space="preserve">Deployment lane</t>
  </si>
  <si>
    <t xml:space="preserve">Registry CI pipeline, container build, and release-bundle inclusion completed</t>
  </si>
  <si>
    <t xml:space="preserve">Green CI pipeline plus bundle manifest entry</t>
  </si>
  <si>
    <t xml:space="preserve">Container builds reproducibly in CI; service present in signed release bundle</t>
  </si>
  <si>
    <t xml:space="preserve">TLA-03.4.02</t>
  </si>
  <si>
    <t xml:space="preserve">Registry installed in enclave simulator from signed offline bundle with zero egress verified including framework fixture load</t>
  </si>
  <si>
    <t xml:space="preserve">Zero-egress CI test log for registry</t>
  </si>
  <si>
    <t xml:space="preserve">Install completes offline; egress monitor records zero outbound attempts during install and fixture load</t>
  </si>
  <si>
    <t xml:space="preserve">MOD-015; T Stage 1 gate pattern</t>
  </si>
  <si>
    <t xml:space="preserve">TLA-03.4.03</t>
  </si>
  <si>
    <t xml:space="preserve">Registry release rollback rehearsed with historical-resolution behavior re-verified post-rollback</t>
  </si>
  <si>
    <t xml:space="preserve">Rollback drill log</t>
  </si>
  <si>
    <t xml:space="preserve">Rollback completes within target time; resolution test green on rolled-back version</t>
  </si>
  <si>
    <t xml:space="preserve">TST-STD recovery</t>
  </si>
  <si>
    <t xml:space="preserve">TLA-03.5.01</t>
  </si>
  <si>
    <t xml:space="preserve">Documentation lane</t>
  </si>
  <si>
    <t xml:space="preserve">Registry API docs generated from contract; framework-author admin guide, operator runbook, and P4 training notes published</t>
  </si>
  <si>
    <t xml:space="preserve">Published doc set</t>
  </si>
  <si>
    <t xml:space="preserve">All four documents current against released version; runbook walked by a non-author</t>
  </si>
  <si>
    <t xml:space="preserve">Controlling prompt Loop 2 lane 7</t>
  </si>
  <si>
    <t xml:space="preserve">TLA-03.5.02</t>
  </si>
  <si>
    <t xml:space="preserve">Exit-gate evidence bundle for M19 operations task assembled and reviewed</t>
  </si>
  <si>
    <t xml:space="preserve">TLA-03.4.02, TLA-03.5.01</t>
  </si>
  <si>
    <t xml:space="preserve">Bundle contains isolation tests, scan reports, zero-egress log, rollback drill, doc links; reviewer sign-off recorded</t>
  </si>
  <si>
    <t xml:space="preserve">TLA-04.1.01</t>
  </si>
  <si>
    <t xml:space="preserve">M17 ELRR federation contracts</t>
  </si>
  <si>
    <t xml:space="preserve">What-federates decision</t>
  </si>
  <si>
    <t xml:space="preserve">Federation-unit decision recorded: official assertions plus aggregate summaries federate; raw xAPI statements never leave the origin tier; DPDP minimization rationale attached</t>
  </si>
  <si>
    <t xml:space="preserve">Decision enumerates every federating data class and explicitly excludes raw statements; privacy owner sign-off recorded</t>
  </si>
  <si>
    <t xml:space="preserve">Review D-M17 gap 1; S.6; Scenario 12(b)</t>
  </si>
  <si>
    <t xml:space="preserve">TLA-04.1.02</t>
  </si>
  <si>
    <t xml:space="preserve">ELRR role split vs LRS recorded: M2 remains local system of record; ELRR is the roll-up and compliance-view tier and never accepts direct tool writes</t>
  </si>
  <si>
    <t xml:space="preserve">Boundary decision record</t>
  </si>
  <si>
    <t xml:space="preserve">Decision states which of event-store/analytical-source/compliance-record roles ELRR holds; M2 team acknowledged</t>
  </si>
  <si>
    <t xml:space="preserve">Review D-M17 gaps 7-8; Final Challenge Q5</t>
  </si>
  <si>
    <t xml:space="preserve">TLA-04.1.03</t>
  </si>
  <si>
    <t xml:space="preserve">Per-data-class federation matrix adopted from the FED sovereignty matrix covering assertion, summary, profile pointer, revocation, and correction classes</t>
  </si>
  <si>
    <t xml:space="preserve">TLA-04.1.01, FED-01.1.02</t>
  </si>
  <si>
    <t xml:space="preserve">Federation matrix referenced in ELRR contract</t>
  </si>
  <si>
    <t xml:space="preserve">Every ELRR-ingested class maps to one sovereignty matrix row; no unmapped class</t>
  </si>
  <si>
    <t xml:space="preserve">Review D-M17; MOD-016</t>
  </si>
  <si>
    <t xml:space="preserve">TLA-04.2.01</t>
  </si>
  <si>
    <t xml:space="preserve">Ingestion contract and provenance</t>
  </si>
  <si>
    <t xml:space="preserve">ELRR ingestion API contract v1 published accepting only M31 manifest-verified batches, with conformance test suite green against a stub</t>
  </si>
  <si>
    <t xml:space="preserve">TLA-04.1.01, FED-01.2.01</t>
  </si>
  <si>
    <t xml:space="preserve">Ingestion contract in registry plus green stub run</t>
  </si>
  <si>
    <t xml:space="preserve">Contract rejects non-manifest input by design; conformance suite green against stub</t>
  </si>
  <si>
    <t xml:space="preserve">Review D-M17 entry criteria; MOD-016</t>
  </si>
  <si>
    <t xml:space="preserve">TLA-04.2.02</t>
  </si>
  <si>
    <t xml:space="preserve">Provenance schema defined: origin system ID, origin command/tenant, statement UUID, transfer batch ID, transfer time, and transformations applied on every federated record</t>
  </si>
  <si>
    <t xml:space="preserve">Provenance schema in contract registry</t>
  </si>
  <si>
    <t xml:space="preserve">All six field groups mandatory; sample record validates; schema versioned</t>
  </si>
  <si>
    <t xml:space="preserve">Review D-M17 gap 4; Scenario 12(a)</t>
  </si>
  <si>
    <t xml:space="preserve">TLA-04.2.03</t>
  </si>
  <si>
    <t xml:space="preserve">ELRR ingestion idempotency rules specified: batch-level and assertion-level dedup keys with replay-safe re-ingestion semantics</t>
  </si>
  <si>
    <t xml:space="preserve">Idempotency rules section of ingestion contract</t>
  </si>
  <si>
    <t xml:space="preserve">Duplicate batch and duplicate assertion cases each have a specified deterministic outcome</t>
  </si>
  <si>
    <t xml:space="preserve">Review D-M17 acceptance (a); MOD-004 pattern</t>
  </si>
  <si>
    <t xml:space="preserve">TLA-04.2.04</t>
  </si>
  <si>
    <t xml:space="preserve">Per-tier per-data-class staleness bounds and the data-as-of disclosure rule defined for all ELRR consumers</t>
  </si>
  <si>
    <t xml:space="preserve">Staleness bound table in ELRR contract</t>
  </si>
  <si>
    <t xml:space="preserve">Every data class at every tier has a numeric staleness bound; disclosure rule mandates data-as-of on every read</t>
  </si>
  <si>
    <t xml:space="preserve">Review D-M17 gap 6; A-049</t>
  </si>
  <si>
    <t xml:space="preserve">TLA-04.2.05</t>
  </si>
  <si>
    <t xml:space="preserve">Exit-gate evidence bundle for ELRR contracts task assembled and reviewed</t>
  </si>
  <si>
    <t xml:space="preserve">Bundle contains decisions, ingestion contract, provenance schema, staleness table; reviewer sign-off recorded</t>
  </si>
  <si>
    <t xml:space="preserve">TLA-05.1.01</t>
  </si>
  <si>
    <t xml:space="preserve">M17 roll-up store build</t>
  </si>
  <si>
    <t xml:space="preserve">Store and ingestion</t>
  </si>
  <si>
    <t xml:space="preserve">ELRR roll-up store implemented holding assertions and summaries with full provenance fields on every record</t>
  </si>
  <si>
    <t xml:space="preserve">Store schema plus ingestion test run</t>
  </si>
  <si>
    <t xml:space="preserve">100% of ingested records carry all mandatory provenance fields; enforced by constraint or ingest validation</t>
  </si>
  <si>
    <t xml:space="preserve">Review D-M17 acceptance (a); T Stage 3 Slice E</t>
  </si>
  <si>
    <t xml:space="preserve">TLA-05.1.02</t>
  </si>
  <si>
    <t xml:space="preserve">Idempotent batch ingestion implemented: replaying an already-applied batch produces zero new records, proven by automated replay test</t>
  </si>
  <si>
    <t xml:space="preserve">Replay test in CI</t>
  </si>
  <si>
    <t xml:space="preserve">Replay of applied batch yields zero row-count delta and a logged no-op result</t>
  </si>
  <si>
    <t xml:space="preserve">Review D-M17 gap; H.3</t>
  </si>
  <si>
    <t xml:space="preserve">TLA-05.1.03</t>
  </si>
  <si>
    <t xml:space="preserve">All-versions retention implemented: conflicting assertions coexist flagged with provenance and are never auto-resolved</t>
  </si>
  <si>
    <t xml:space="preserve">Conflict-pair ingestion test</t>
  </si>
  <si>
    <t xml:space="preserve">Ingesting a conflicting pair retains both records in contested state with both provenances queryable</t>
  </si>
  <si>
    <t xml:space="preserve">A-053; Scenario 12(d)</t>
  </si>
  <si>
    <t xml:space="preserve">TLA-05.1.04</t>
  </si>
  <si>
    <t xml:space="preserve">Learner-matching integration implemented: ingestion resolves records via the FED pairwise pseudonymous mapping; unmatched records land in a pending queue not the roll-up</t>
  </si>
  <si>
    <t xml:space="preserve">TLA-05.1.01, FED-01.3.01</t>
  </si>
  <si>
    <t xml:space="preserve">Matching integration test run</t>
  </si>
  <si>
    <t xml:space="preserve">Matched fixture merges to one learner; deliberately ambiguous fixture routes to pending queue with zero roll-up rows</t>
  </si>
  <si>
    <t xml:space="preserve">A-050; MOD-016</t>
  </si>
  <si>
    <t xml:space="preserve">TLA-05.2.01</t>
  </si>
  <si>
    <t xml:space="preserve">Lifecycle propagation</t>
  </si>
  <si>
    <t xml:space="preserve">Revocation ingestion implemented: a revocation received via manifest marks the assertion revoked at the ELRR within the declared per-class SLA</t>
  </si>
  <si>
    <t xml:space="preserve">TLA-05.1.02, FED-04.1.04</t>
  </si>
  <si>
    <t xml:space="preserve">Revocation propagation test with timing log</t>
  </si>
  <si>
    <t xml:space="preserve">End-to-end revocation test incl. one simulated air-gap hop completes within declared SLA</t>
  </si>
  <si>
    <t xml:space="preserve">Review D-M17 acceptance (b); Scenario 12(e)</t>
  </si>
  <si>
    <t xml:space="preserve">TLA-05.2.02</t>
  </si>
  <si>
    <t xml:space="preserve">Correction and DPDP deletion handling implemented in roll-ups: corrections supersede with version chain intact; erasure tombstones anonymize federated copies with receipt</t>
  </si>
  <si>
    <t xml:space="preserve">Correction and erasure test runs</t>
  </si>
  <si>
    <t xml:space="preserve">Corrected assertion supersedes visibly; erased learner unresolvable in ELRR queries post-run; receipt logged</t>
  </si>
  <si>
    <t xml:space="preserve">Review D-M17 gap 7; R-025</t>
  </si>
  <si>
    <t xml:space="preserve">TLA-05.2.03</t>
  </si>
  <si>
    <t xml:space="preserve">Revocation-pending-verification state implemented for media-cadence enclave sources awaiting next transfer window</t>
  </si>
  <si>
    <t xml:space="preserve">State display in ELRR read API test</t>
  </si>
  <si>
    <t xml:space="preserve">Assertion from a media-cadence source shows pending state until confirming manifest arrives</t>
  </si>
  <si>
    <t xml:space="preserve">Scenario 12(e)</t>
  </si>
  <si>
    <t xml:space="preserve">TLA-05.3.01</t>
  </si>
  <si>
    <t xml:space="preserve">Consumption surface</t>
  </si>
  <si>
    <t xml:space="preserve">Data-as-of timestamps exposed per source on every ELRR read API response for ANA dashboard consumption</t>
  </si>
  <si>
    <t xml:space="preserve">TLA-05.1.01, TLA-04.2.04</t>
  </si>
  <si>
    <t xml:space="preserve">Read API response samples</t>
  </si>
  <si>
    <t xml:space="preserve">Every read response carries per-source data-as-of; verified by contract test</t>
  </si>
  <si>
    <t xml:space="preserve">Review D-M17 gap 6; ANA-05 TLA views</t>
  </si>
  <si>
    <t xml:space="preserve">TLA-05.3.02</t>
  </si>
  <si>
    <t xml:space="preserve">Contested status exposed in the ELRR read API so readiness views render conflicts instead of silently picking one record</t>
  </si>
  <si>
    <t xml:space="preserve">Contested-state contract test</t>
  </si>
  <si>
    <t xml:space="preserve">Query on a contested competency returns contested flag plus both provenances</t>
  </si>
  <si>
    <t xml:space="preserve">Scenario 12 validation; A-053</t>
  </si>
  <si>
    <t xml:space="preserve">TLA-05.3.03</t>
  </si>
  <si>
    <t xml:space="preserve">ELRR read contract for M30/ANA published with conformance tests green</t>
  </si>
  <si>
    <t xml:space="preserve">TLA-05.3.01, TLA-05.3.02</t>
  </si>
  <si>
    <t xml:space="preserve">Read contract in registry plus green suite</t>
  </si>
  <si>
    <t xml:space="preserve">Contract covers roll-up, freshness, contested state; suite green against service</t>
  </si>
  <si>
    <t xml:space="preserve">Review D-M30 dependency</t>
  </si>
  <si>
    <t xml:space="preserve">TLA-05.3.04</t>
  </si>
  <si>
    <t xml:space="preserve">Exit-gate evidence bundle for ELRR build task assembled and reviewed</t>
  </si>
  <si>
    <t xml:space="preserve">TLA-05.2.02, TLA-05.3.03</t>
  </si>
  <si>
    <t xml:space="preserve">Bundle contains replay, conflict, revocation, erasure, and read-contract test evidence; reviewer sign-off recorded</t>
  </si>
  <si>
    <t xml:space="preserve">TLA-06.1.01</t>
  </si>
  <si>
    <t xml:space="preserve">M17 data security and operations</t>
  </si>
  <si>
    <t xml:space="preserve">ELRR migrations tested up and down on a synthetic multi-command dataset at three-year retention volume with p95 roll-up query latency measured</t>
  </si>
  <si>
    <t xml:space="preserve">Volume test report</t>
  </si>
  <si>
    <t xml:space="preserve">Migrations pass at volume; p95 for benchmark roll-up queries recorded against target</t>
  </si>
  <si>
    <t xml:space="preserve">A-007</t>
  </si>
  <si>
    <t xml:space="preserve">TLA-06.1.02</t>
  </si>
  <si>
    <t xml:space="preserve">Command-level isolation enforced in the ELRR store: a command reads its own records plus entitled aggregates only, negative-tested at SQL and API layers</t>
  </si>
  <si>
    <t xml:space="preserve">Isolation negative test run</t>
  </si>
  <si>
    <t xml:space="preserve">Cross-command record query returns zero unauthorized rows in both direct SQL and API tests</t>
  </si>
  <si>
    <t xml:space="preserve">MOD-008; Scenario 2 pattern</t>
  </si>
  <si>
    <t xml:space="preserve">TLA-06.2.01</t>
  </si>
  <si>
    <t xml:space="preserve">ELRR ingestion restricted to authenticated pipeline service identity; anonymous, user-token, and wrong-command batches all rejected and alarmed</t>
  </si>
  <si>
    <t xml:space="preserve">Authz negative test report</t>
  </si>
  <si>
    <t xml:space="preserve">All three rejection cases pass with alarm events emitted</t>
  </si>
  <si>
    <t xml:space="preserve">Review G boundary; D-M31 gap 5</t>
  </si>
  <si>
    <t xml:space="preserve">TLA-06.2.02</t>
  </si>
  <si>
    <t xml:space="preserve">ELRR threat tests executed: forged provenance fields, oversized batch, and assertion-injection attempts rejected with audit entries</t>
  </si>
  <si>
    <t xml:space="preserve">Threat test report</t>
  </si>
  <si>
    <t xml:space="preserve">All threat cases rejected; each produces an audit record</t>
  </si>
  <si>
    <t xml:space="preserve">Review G.1 federation boundary</t>
  </si>
  <si>
    <t xml:space="preserve">TLA-06.3.01</t>
  </si>
  <si>
    <t xml:space="preserve">ELRR observability delivered: ingestion lag per source, batch failure rate, and per-source freshness metrics with alerts, runbook, and SLO measured in staging</t>
  </si>
  <si>
    <t xml:space="preserve">Dashboards, alert test log, SLO doc</t>
  </si>
  <si>
    <t xml:space="preserve">Freshness metric per source visible; staleness alert fires in test; SLO measured</t>
  </si>
  <si>
    <t xml:space="preserve">Controlling prompt Loop 2 lane 5; ANA Platform Ops</t>
  </si>
  <si>
    <t xml:space="preserve">TLA-06.4.01</t>
  </si>
  <si>
    <t xml:space="preserve">ELRR CI pipeline, container build, and release-bundle inclusion completed with rollback rehearsed</t>
  </si>
  <si>
    <t xml:space="preserve">Green pipeline plus rollback drill log</t>
  </si>
  <si>
    <t xml:space="preserve">Rollback completes within target; post-rollback conformance suite green</t>
  </si>
  <si>
    <t xml:space="preserve">MOD-015; TST-STD recovery</t>
  </si>
  <si>
    <t xml:space="preserve">TLA-06.4.02</t>
  </si>
  <si>
    <t xml:space="preserve">Command-tier ELRR installed in enclave simulator from signed offline bundle with zero egress verified</t>
  </si>
  <si>
    <t xml:space="preserve">Zero-egress CI log for ELRR</t>
  </si>
  <si>
    <t xml:space="preserve">Offline install completes; egress monitor records zero outbound attempts</t>
  </si>
  <si>
    <t xml:space="preserve">TLA-06.4.03</t>
  </si>
  <si>
    <t xml:space="preserve">ELRR store backup and restore rehearsed with provenance and contested states verified intact after restore</t>
  </si>
  <si>
    <t xml:space="preserve">Restored store passes provenance-completeness and contested-state queries identical to pre-backup</t>
  </si>
  <si>
    <t xml:space="preserve">TLA-06.5.01</t>
  </si>
  <si>
    <t xml:space="preserve">ELRR API docs from contract, operator runbook, and analyst guide to provenance/contested/data-as-of semantics published</t>
  </si>
  <si>
    <t xml:space="preserve">Docs current against release; runbook walked by a non-author; analyst guide reviewed by BI Engineer</t>
  </si>
  <si>
    <t xml:space="preserve">TLA-06.5.02</t>
  </si>
  <si>
    <t xml:space="preserve">Exit-gate evidence bundle for ELRR operations task assembled and reviewed</t>
  </si>
  <si>
    <t xml:space="preserve">TLA-06.4.02, TLA-06.5.01</t>
  </si>
  <si>
    <t xml:space="preserve">Bundle contains volume, isolation, threat, zero-egress, restore evidence and docs; reviewer sign-off recorded</t>
  </si>
  <si>
    <t xml:space="preserve">TLA-07.1.01</t>
  </si>
  <si>
    <t xml:space="preserve">M18 ECC catalogue contracts</t>
  </si>
  <si>
    <t xml:space="preserve">Metadata schema</t>
  </si>
  <si>
    <t xml:space="preserve">ECC metadata schema v1 drafted: activity type taxonomy, competency linkage referencing M19 IDs (never copied), delivery format, audience and role fields</t>
  </si>
  <si>
    <t xml:space="preserve">ECC schema spec v1 in contract registry</t>
  </si>
  <si>
    <t xml:space="preserve">Schema references M19 competency IDs by ID plus framework version; zero embedded competency definitions</t>
  </si>
  <si>
    <t xml:space="preserve">Review D-M18; MOD-003; HS-5 adjacency</t>
  </si>
  <si>
    <t xml:space="preserve">TLA-07.1.02</t>
  </si>
  <si>
    <t xml:space="preserve">Lineage fields defined linking every catalogue entry to its source-manual revision ID for blast-radius computation</t>
  </si>
  <si>
    <t xml:space="preserve">Lineage field spec</t>
  </si>
  <si>
    <t xml:space="preserve">Given a fixture revision ID, all derivative entries identifiable by schema walkthrough</t>
  </si>
  <si>
    <t xml:space="preserve">Review D-M18 gap; Scenario 4; R-010</t>
  </si>
  <si>
    <t xml:space="preserve">TLA-07.1.03</t>
  </si>
  <si>
    <t xml:space="preserve">Language-variant model defined in ECC schema: master/variant linkage with per-variant translation status and currency</t>
  </si>
  <si>
    <t xml:space="preserve">Variant model section of schema</t>
  </si>
  <si>
    <t xml:space="preserve">One fixture entry expressible as master plus two language variants with independent status</t>
  </si>
  <si>
    <t xml:space="preserve">Review D-M18; Scenario 16; LOOP 31.3</t>
  </si>
  <si>
    <t xml:space="preserve">TLA-07.1.04</t>
  </si>
  <si>
    <t xml:space="preserve">Metadata completeness rules defined per activity type as a machine-checkable mandatory-field matrix</t>
  </si>
  <si>
    <t xml:space="preserve">Completeness rule matrix</t>
  </si>
  <si>
    <t xml:space="preserve">Every activity type has an explicit mandatory-field list; validation expressible as automated check</t>
  </si>
  <si>
    <t xml:space="preserve">Review D-M18; MOD-014</t>
  </si>
  <si>
    <t xml:space="preserve">TLA-07.1.05</t>
  </si>
  <si>
    <t xml:space="preserve">Micro-content, XR/simulator, and walkthrough activity types included in the ECC taxonomy so field modules do not grow private catalogues</t>
  </si>
  <si>
    <t xml:space="preserve">Taxonomy entries in schema</t>
  </si>
  <si>
    <t xml:space="preserve">M37 micro-lesson and M16/M32 simulator entries representable in schema fixture</t>
  </si>
  <si>
    <t xml:space="preserve">Review D-M37 entry criteria; NEW: prevents catalogue fragmentation</t>
  </si>
  <si>
    <t xml:space="preserve">TLA-07.2.01</t>
  </si>
  <si>
    <t xml:space="preserve">Publish contract and dedup</t>
  </si>
  <si>
    <t xml:space="preserve">M22-to-ECC publish contract v1 published: publish blocked (not warned) on incomplete metadata, failed accessibility flags, or missing P2 sign-off</t>
  </si>
  <si>
    <t xml:space="preserve">Publish contract in registry</t>
  </si>
  <si>
    <t xml:space="preserve">Contract specifies block behavior with error codes for all three failure classes; CNT team acknowledged as consumer</t>
  </si>
  <si>
    <t xml:space="preserve">Review D-M18; MOD-014; D-M22 acceptance (b)</t>
  </si>
  <si>
    <t xml:space="preserve">TLA-07.2.02</t>
  </si>
  <si>
    <t xml:space="preserve">Catalogue dedup and uniqueness rules defined: content-hash plus metadata match with duplicate-merge workflow specification</t>
  </si>
  <si>
    <t xml:space="preserve">Dedup rule spec</t>
  </si>
  <si>
    <t xml:space="preserve">Rule deterministically classifies a fixture duplicate pair; merge workflow states roles and audit</t>
  </si>
  <si>
    <t xml:space="preserve">Review D-M18 gap; LOOP 27.6</t>
  </si>
  <si>
    <t xml:space="preserve">TLA-07.2.03</t>
  </si>
  <si>
    <t xml:space="preserve">ECC conformance test suite written before implementation covering publish, search, lineage, and variant operations, green against a stub</t>
  </si>
  <si>
    <t xml:space="preserve">Conformance suite green stub run</t>
  </si>
  <si>
    <t xml:space="preserve">Suite covers all contract operations incl. all three publish-block cases; green against stub</t>
  </si>
  <si>
    <t xml:space="preserve">TLA-07.2.04</t>
  </si>
  <si>
    <t xml:space="preserve">Exit-gate evidence bundle for ECC contracts task assembled and reviewed</t>
  </si>
  <si>
    <t xml:space="preserve">Bundle contains schema, lineage spec, publish contract, green conformance run; reviewer sign-off recorded</t>
  </si>
  <si>
    <t xml:space="preserve">TLA-08.1.01</t>
  </si>
  <si>
    <t xml:space="preserve">M18 catalogue service build</t>
  </si>
  <si>
    <t xml:space="preserve">Service and publish</t>
  </si>
  <si>
    <t xml:space="preserve">Catalogue service implemented passing the full ECC conformance suite</t>
  </si>
  <si>
    <t xml:space="preserve">CI conformance run against service</t>
  </si>
  <si>
    <t xml:space="preserve">Review D-M18; T Stage 2 Slice B</t>
  </si>
  <si>
    <t xml:space="preserve">TLA-08.1.02</t>
  </si>
  <si>
    <t xml:space="preserve">Publish endpoint enforcement verified: publishing an entry with incomplete metadata, failed accessibility flag, or missing P2 sign-off is rejected with actionable error</t>
  </si>
  <si>
    <t xml:space="preserve">Publish-block test run for all three cases</t>
  </si>
  <si>
    <t xml:space="preserve">All three block cases rejected with distinct error codes; no partial catalogue write occurs</t>
  </si>
  <si>
    <t xml:space="preserve">MOD-014; D-M22 acceptance (b)</t>
  </si>
  <si>
    <t xml:space="preserve">TLA-08.1.03</t>
  </si>
  <si>
    <t xml:space="preserve">Dedup detection implemented with duplicate-merge workflow and audit trail</t>
  </si>
  <si>
    <t xml:space="preserve">Dedup test with fixture duplicate pair</t>
  </si>
  <si>
    <t xml:space="preserve">Fixture duplicate detected at publish; merge completes with both origins recorded in audit</t>
  </si>
  <si>
    <t xml:space="preserve">Review D-M18 gap</t>
  </si>
  <si>
    <t xml:space="preserve">TLA-08.2.01</t>
  </si>
  <si>
    <t xml:space="preserve">Search and lineage</t>
  </si>
  <si>
    <t xml:space="preserve">Catalogue search implemented with facets for competency, activity type, language, and revision currency; precision measured on a benchmark query set</t>
  </si>
  <si>
    <t xml:space="preserve">Search precision report</t>
  </si>
  <si>
    <t xml:space="preserve">Benchmark set returns correct activity at agreed precision threshold; report filed</t>
  </si>
  <si>
    <t xml:space="preserve">Review D-M18 acceptance</t>
  </si>
  <si>
    <t xml:space="preserve">TLA-08.2.02</t>
  </si>
  <si>
    <t xml:space="preserve">Multilingual catalogue search verified per committed language tier including one Indic-script locale</t>
  </si>
  <si>
    <t xml:space="preserve">Per-locale search test run</t>
  </si>
  <si>
    <t xml:space="preserve">Benchmark queries in each committed language meet the same precision threshold</t>
  </si>
  <si>
    <t xml:space="preserve">Review D-M18; DEC-010; R-024</t>
  </si>
  <si>
    <t xml:space="preserve">TLA-08.2.03</t>
  </si>
  <si>
    <t xml:space="preserve">Lineage query implemented: given a source-manual revision ID, all derivative catalogue entries are returned as the blast-radius API for M25</t>
  </si>
  <si>
    <t xml:space="preserve">Lineage query test on fixture manual</t>
  </si>
  <si>
    <t xml:space="preserve">Query on fixture revision returns 100% of known derivatives with zero false omissions</t>
  </si>
  <si>
    <t xml:space="preserve">Scenario 4; R-010; D-M25 dependency</t>
  </si>
  <si>
    <t xml:space="preserve">TLA-08.2.04</t>
  </si>
  <si>
    <t xml:space="preserve">One digitized manual's metadata loaded as the ECC reference fixture with lineage populated</t>
  </si>
  <si>
    <t xml:space="preserve">Fixture load log</t>
  </si>
  <si>
    <t xml:space="preserve">Fixture entries pass completeness validation and lineage query end to end</t>
  </si>
  <si>
    <t xml:space="preserve">T Days 1-30 item 4; Slice B</t>
  </si>
  <si>
    <t xml:space="preserve">TLA-08.2.05</t>
  </si>
  <si>
    <t xml:space="preserve">Exit-gate evidence bundle for ECC build task assembled and reviewed</t>
  </si>
  <si>
    <t xml:space="preserve">TLA-08.1.02, TLA-08.2.03</t>
  </si>
  <si>
    <t xml:space="preserve">Bundle contains conformance, publish-block, search precision, lineage evidence; reviewer sign-off recorded</t>
  </si>
  <si>
    <t xml:space="preserve">TLA-09.1.01</t>
  </si>
  <si>
    <t xml:space="preserve">M18 data security and operations</t>
  </si>
  <si>
    <t xml:space="preserve">ECC migrations tested up and down on a production-shaped catalogue dataset with retention rules active</t>
  </si>
  <si>
    <t xml:space="preserve">Migration test run</t>
  </si>
  <si>
    <t xml:space="preserve">Up and down migrations pass with zero entry loss; retention rule demonstrated</t>
  </si>
  <si>
    <t xml:space="preserve">TLA-09.1.02</t>
  </si>
  <si>
    <t xml:space="preserve">Tenant/command RLS enforced on catalogue rows: cross-tenant search returns zero foreign private entries, negative-tested at SQL and API layers</t>
  </si>
  <si>
    <t xml:space="preserve">Both test layers return zero unauthorized entries for tenant-A query against tenant-B data</t>
  </si>
  <si>
    <t xml:space="preserve">TLA-09.2.01</t>
  </si>
  <si>
    <t xml:space="preserve">ECC authorization enforced: publish restricted to M22 service identity plus content-ops role; read scoped per role; anonymous scan clean</t>
  </si>
  <si>
    <t xml:space="preserve">Authz matrix test plus scan report</t>
  </si>
  <si>
    <t xml:space="preserve">Role-negative tests pass; anonymous scan reports zero open endpoints</t>
  </si>
  <si>
    <t xml:space="preserve">TST-STD security</t>
  </si>
  <si>
    <t xml:space="preserve">TLA-09.2.02</t>
  </si>
  <si>
    <t xml:space="preserve">Metadata input validation fuzz-tested on the publish endpoint including hostile markup in text fields</t>
  </si>
  <si>
    <t xml:space="preserve">Fuzz run completes with zero crashes and zero stored-injection findings</t>
  </si>
  <si>
    <t xml:space="preserve">TLA-09.3.01</t>
  </si>
  <si>
    <t xml:space="preserve">ECC observability delivered: publish rate, block-reason counts, and search latency p95 metrics with alerts, runbook, and SLO measured in staging</t>
  </si>
  <si>
    <t xml:space="preserve">Dashboards, alert test, SLO doc</t>
  </si>
  <si>
    <t xml:space="preserve">Block-reason metric visible per class; search latency alert fires in test; SLO measured</t>
  </si>
  <si>
    <t xml:space="preserve">TLA-09.4.01</t>
  </si>
  <si>
    <t xml:space="preserve">ECC CI pipeline, container build, release-bundle inclusion completed with rollback rehearsed</t>
  </si>
  <si>
    <t xml:space="preserve">Rollback completes within target; conformance suite green post-rollback</t>
  </si>
  <si>
    <t xml:space="preserve">TLA-09.4.02</t>
  </si>
  <si>
    <t xml:space="preserve">ECC installed in enclave simulator from signed offline bundle with zero egress verified and local catalogue populated from bundle content</t>
  </si>
  <si>
    <t xml:space="preserve">Zero-egress CI log for ECC</t>
  </si>
  <si>
    <t xml:space="preserve">Offline install completes with populated catalogue; zero outbound attempts recorded</t>
  </si>
  <si>
    <t xml:space="preserve">TLA-09.5.01</t>
  </si>
  <si>
    <t xml:space="preserve">ECC API docs from contract, cataloguing guide for content operations, operator runbook, and P4 training notes published</t>
  </si>
  <si>
    <t xml:space="preserve">All docs current against release; cataloguing guide reviewed by Instructional Designer</t>
  </si>
  <si>
    <t xml:space="preserve">TLA-09.5.02</t>
  </si>
  <si>
    <t xml:space="preserve">Exit-gate evidence bundle for ECC operations task assembled and reviewed</t>
  </si>
  <si>
    <t xml:space="preserve">TLA-09.4.02, TLA-09.5.01</t>
  </si>
  <si>
    <t xml:space="preserve">Bundle contains isolation, fuzzing, zero-egress, rollback evidence and docs; reviewer sign-off recorded</t>
  </si>
  <si>
    <t xml:space="preserve">TLA-10.1.01</t>
  </si>
  <si>
    <t xml:space="preserve">M20 learner profile contracts</t>
  </si>
  <si>
    <t xml:space="preserve">Boundary and schema</t>
  </si>
  <si>
    <t xml:space="preserve">M1/M20/M17 boundary decision recorded: Keycloak holds authn identity only; M20 owns goals, preferences, and credential pointers; ELRR history referenced not duplicated</t>
  </si>
  <si>
    <t xml:space="preserve">Signed boundary decision record</t>
  </si>
  <si>
    <t xml:space="preserve">Decision names owned attributes per system with zero overlaps; M1 and M17 owners acknowledged</t>
  </si>
  <si>
    <t xml:space="preserve">Review D-M20 overlap resolution</t>
  </si>
  <si>
    <t xml:space="preserve">TLA-10.1.02</t>
  </si>
  <si>
    <t xml:space="preserve">Profile schema v1 drafted covering goals, learning-history pointers, credential pointers, preferences, and accessibility needs</t>
  </si>
  <si>
    <t xml:space="preserve">Profile schema spec v1</t>
  </si>
  <si>
    <t xml:space="preserve">Schema stores pointers to ELRR records with zero duplicated assertion payloads; reviewed by ELRR owner</t>
  </si>
  <si>
    <t xml:space="preserve">Review D-M20</t>
  </si>
  <si>
    <t xml:space="preserve">TLA-10.1.03</t>
  </si>
  <si>
    <t xml:space="preserve">PII classification completed per profile field including inferred data (risk scores, adaptive preferences) and approved by the privacy owner</t>
  </si>
  <si>
    <t xml:space="preserve">Signed PII classification matrix</t>
  </si>
  <si>
    <t xml:space="preserve">Every field classified; inferred-data fields explicitly classified; privacy-owner signature recorded</t>
  </si>
  <si>
    <t xml:space="preserve">Review D-M20; HS PII adjacency; §8</t>
  </si>
  <si>
    <t xml:space="preserve">TLA-10.1.04</t>
  </si>
  <si>
    <t xml:space="preserve">DPDP retention and erasure design documented: erasure SLA, derived-field handling, anonymization rules, and propagation receipts</t>
  </si>
  <si>
    <t xml:space="preserve">Retention/erasure design doc</t>
  </si>
  <si>
    <t xml:space="preserve">Design states numeric erasure SLA and enumerates every derived-field location; approved by privacy owner</t>
  </si>
  <si>
    <t xml:space="preserve">Review D-M20; R-025</t>
  </si>
  <si>
    <t xml:space="preserve">TLA-10.2.01</t>
  </si>
  <si>
    <t xml:space="preserve">Federation and interop contract</t>
  </si>
  <si>
    <t xml:space="preserve">Profile federation decision recorded: profiles do not roll up by default; a minimized pointer set is defined for any cross-tier exchange</t>
  </si>
  <si>
    <t xml:space="preserve">Decision record plus minimized field list</t>
  </si>
  <si>
    <t xml:space="preserve">Decision approved; exchange field list contains zero direct PII beyond the pseudonymous mapping</t>
  </si>
  <si>
    <t xml:space="preserve">Review D-M20; LOOP 26.3; MOD-016</t>
  </si>
  <si>
    <t xml:space="preserve">TLA-10.2.02</t>
  </si>
  <si>
    <t xml:space="preserve">TLA profile service contract v1 published with conformance suite green against a stub (the CMM L3 interop surface)</t>
  </si>
  <si>
    <t xml:space="preserve">Contract in registry plus green stub run</t>
  </si>
  <si>
    <t xml:space="preserve">Contract covers read, update, correction, erasure, and exchange operations; suite green</t>
  </si>
  <si>
    <t xml:space="preserve">Review D-M20 entry criteria; LOOP 24.4</t>
  </si>
  <si>
    <t xml:space="preserve">TLA-10.2.03</t>
  </si>
  <si>
    <t xml:space="preserve">Exit-gate evidence bundle for profile contracts task assembled and reviewed</t>
  </si>
  <si>
    <t xml:space="preserve">Bundle contains boundary decision, schema, PII matrix, erasure design, contract; reviewer sign-off recorded</t>
  </si>
  <si>
    <t xml:space="preserve">TLA-11.1.01</t>
  </si>
  <si>
    <t xml:space="preserve">M20 profile service build</t>
  </si>
  <si>
    <t xml:space="preserve">Core profile functions</t>
  </si>
  <si>
    <t xml:space="preserve">Profile service implemented passing the full conformance suite</t>
  </si>
  <si>
    <t xml:space="preserve">TLA-11.1.02</t>
  </si>
  <si>
    <t xml:space="preserve">Goals and preference management implemented with learner self-service editing and change audit</t>
  </si>
  <si>
    <t xml:space="preserve">Feature test run with audit query</t>
  </si>
  <si>
    <t xml:space="preserve">Learner edits own goals; every change produces an audit record; other learners' profiles inaccessible</t>
  </si>
  <si>
    <t xml:space="preserve">Review D-M20 purpose</t>
  </si>
  <si>
    <t xml:space="preserve">TLA-11.1.03</t>
  </si>
  <si>
    <t xml:space="preserve">Credential pointer sync implemented referencing ELRR assertions without duplication and displaying source staleness</t>
  </si>
  <si>
    <t xml:space="preserve">TLA-11.1.01, TLA-05.3.03</t>
  </si>
  <si>
    <t xml:space="preserve">Pointer sync test</t>
  </si>
  <si>
    <t xml:space="preserve">Credential display resolves live from ELRR reference; data-as-of shown; zero assertion payloads stored in M20</t>
  </si>
  <si>
    <t xml:space="preserve">Review D-M20 boundary rule</t>
  </si>
  <si>
    <t xml:space="preserve">TLA-11.2.01</t>
  </si>
  <si>
    <t xml:space="preserve">Correction and erasure</t>
  </si>
  <si>
    <t xml:space="preserve">Correction workflow implemented: learner or steward corrects profile data and the correction propagates to derived fields and registered consuming modules</t>
  </si>
  <si>
    <t xml:space="preserve">Correction propagation test</t>
  </si>
  <si>
    <t xml:space="preserve">Correction visible in all registered consumers within declared SLA; propagation log complete</t>
  </si>
  <si>
    <t xml:space="preserve">Review D-M20 gaps; I.6 oversight</t>
  </si>
  <si>
    <t xml:space="preserve">TLA-11.2.02</t>
  </si>
  <si>
    <t xml:space="preserve">Erasure execution implemented: DPDP erasure request removes or anonymizes the profile within the declared SLA including derived fields, with propagation receipt logged</t>
  </si>
  <si>
    <t xml:space="preserve">TLA-10.1.04, TLA-11.1.01</t>
  </si>
  <si>
    <t xml:space="preserve">Erasure drill log with timing</t>
  </si>
  <si>
    <t xml:space="preserve">Post-drill queries return no identifiable data in profile or derived stores; receipt generated within SLA</t>
  </si>
  <si>
    <t xml:space="preserve">Review D-M20 acceptance; R-025</t>
  </si>
  <si>
    <t xml:space="preserve">TLA-11.2.03</t>
  </si>
  <si>
    <t xml:space="preserve">Consent and contest model for inferred data implemented: risk scores and adaptive preferences visible to the learner with a contest path routed to a human reviewer</t>
  </si>
  <si>
    <t xml:space="preserve">Consent/contest feature test</t>
  </si>
  <si>
    <t xml:space="preserve">Learner views inferred fields and files a contest; contest reaches reviewer queue with audit trail</t>
  </si>
  <si>
    <t xml:space="preserve">Review D-M20; I.6</t>
  </si>
  <si>
    <t xml:space="preserve">TLA-11.2.04</t>
  </si>
  <si>
    <t xml:space="preserve">Exit-gate evidence bundle for profile build task assembled and reviewed</t>
  </si>
  <si>
    <t xml:space="preserve">TLA-11.2.02, TLA-11.2.03</t>
  </si>
  <si>
    <t xml:space="preserve">Bundle contains conformance, correction, erasure, consent test evidence; reviewer sign-off recorded</t>
  </si>
  <si>
    <t xml:space="preserve">TLA-12.1.01</t>
  </si>
  <si>
    <t xml:space="preserve">M20 data security and operations</t>
  </si>
  <si>
    <t xml:space="preserve">Profile migrations tested up and down on production-shaped data with retention jobs active per PII classification</t>
  </si>
  <si>
    <t xml:space="preserve">Migration and retention test run</t>
  </si>
  <si>
    <t xml:space="preserve">Migrations pass with zero loss; retention job removes expired data classes on schedule in test</t>
  </si>
  <si>
    <t xml:space="preserve">TLA-12.1.02</t>
  </si>
  <si>
    <t xml:space="preserve">Tenant RLS negative-tested on profile rows in shared-schema mode and instance-local storage verified in enclave mode</t>
  </si>
  <si>
    <t xml:space="preserve">Isolation test runs per deployment class</t>
  </si>
  <si>
    <t xml:space="preserve">Cross-tenant profile query returns zero rows; enclave instance holds only local-command profiles</t>
  </si>
  <si>
    <t xml:space="preserve">TLA-12.2.01</t>
  </si>
  <si>
    <t xml:space="preserve">Profile authorization matrix enforced and negative-tested: learner-self, supervisor, and steward scopes each denied out-of-scope access</t>
  </si>
  <si>
    <t xml:space="preserve">All out-of-scope access attempts denied per role; denials audited</t>
  </si>
  <si>
    <t xml:space="preserve">TST-STD security; G.4</t>
  </si>
  <si>
    <t xml:space="preserve">TLA-12.2.02</t>
  </si>
  <si>
    <t xml:space="preserve">PII-safe logging verified for the profile service: no profile payload fields appear in logs, traces, or error messages</t>
  </si>
  <si>
    <t xml:space="preserve">Log scan report over test traffic</t>
  </si>
  <si>
    <t xml:space="preserve">Automated scan of full test-traffic logs finds zero classified-PII field values</t>
  </si>
  <si>
    <t xml:space="preserve">Review D-M20 privacy density; G.1</t>
  </si>
  <si>
    <t xml:space="preserve">TLA-12.3.01</t>
  </si>
  <si>
    <t xml:space="preserve">Profile service observability delivered: correlation-ID logs, erasure/correction SLA metrics, alerts, runbook, and SLO measured in staging</t>
  </si>
  <si>
    <t xml:space="preserve">Erasure SLA metric tracked; breach alert fires in test; runbook walked by non-author</t>
  </si>
  <si>
    <t xml:space="preserve">TLA-12.4.01</t>
  </si>
  <si>
    <t xml:space="preserve">Profile service CI pipeline, container build, release-bundle inclusion completed with rollback rehearsed</t>
  </si>
  <si>
    <t xml:space="preserve">TLA-12.4.02</t>
  </si>
  <si>
    <t xml:space="preserve">Profile service installed in enclave simulator from signed offline bundle with zero egress verified</t>
  </si>
  <si>
    <t xml:space="preserve">Zero-egress CI log for M20</t>
  </si>
  <si>
    <t xml:space="preserve">Offline install completes; zero outbound attempts recorded</t>
  </si>
  <si>
    <t xml:space="preserve">TLA-12.5.01</t>
  </si>
  <si>
    <t xml:space="preserve">Profile API docs from contract, privacy-operations guide (erasure and correction procedures), operator runbook, and P4 notes published</t>
  </si>
  <si>
    <t xml:space="preserve">Docs current against release; privacy-operations guide approved by privacy owner</t>
  </si>
  <si>
    <t xml:space="preserve">TLA-12.5.02</t>
  </si>
  <si>
    <t xml:space="preserve">Exit-gate evidence bundle for profile operations task assembled and reviewed</t>
  </si>
  <si>
    <t xml:space="preserve">TLA-12.4.02, TLA-12.5.01</t>
  </si>
  <si>
    <t xml:space="preserve">Bundle contains isolation, PII-logging, zero-egress, rollback evidence and docs; reviewer sign-off recorded</t>
  </si>
  <si>
    <t xml:space="preserve">TLA-13.1.01</t>
  </si>
  <si>
    <t xml:space="preserve">M21 CMM evidence framework</t>
  </si>
  <si>
    <t xml:space="preserve">Program definition</t>
  </si>
  <si>
    <t xml:space="preserve">M21 reclassified as a program deliverable (peer of P1-P6) with a named owner and per-level entry/exit gates recorded in the program plan</t>
  </si>
  <si>
    <t xml:space="preserve">Program plan entry with named owner</t>
  </si>
  <si>
    <t xml:space="preserve">M21 appears in the program deliverable register with owner and gates; module-registry entry cross-referenced</t>
  </si>
  <si>
    <t xml:space="preserve">Review D-M21 overlap resolution</t>
  </si>
  <si>
    <t xml:space="preserve">TLA-13.1.02</t>
  </si>
  <si>
    <t xml:space="preserve">Measurable conformance criteria drafted per CMM level (L2, L3, L5) and ratified with the customer, with the L4 skip rationale documented</t>
  </si>
  <si>
    <t xml:space="preserve">Ratified per-level criteria document</t>
  </si>
  <si>
    <t xml:space="preserve">Each level has binary criteria; customer ratification signature recorded; L4 rationale stated</t>
  </si>
  <si>
    <t xml:space="preserve">Review D-M21 gaps; LOOP 24</t>
  </si>
  <si>
    <t xml:space="preserve">TLA-13.1.03</t>
  </si>
  <si>
    <t xml:space="preserve">Independent conformance-test owner named and the maturity scoring rubric agreed (who scores, who accepts)</t>
  </si>
  <si>
    <t xml:space="preserve">Named-owner record plus rubric</t>
  </si>
  <si>
    <t xml:space="preserve">Owner is outside the build teams; rubric acceptance recorded by customer representative</t>
  </si>
  <si>
    <t xml:space="preserve">Review D-M21 entry criteria</t>
  </si>
  <si>
    <t xml:space="preserve">TLA-13.1.04</t>
  </si>
  <si>
    <t xml:space="preserve">Honest-level tracking register established: current evidenced CMM level vs claimed level per deliverable, updated at every stage gate</t>
  </si>
  <si>
    <t xml:space="preserve">Living register in program repository</t>
  </si>
  <si>
    <t xml:space="preserve">Register shows evidenced vs claimed level with evidence links; update rule bound to stage-gate checklist</t>
  </si>
  <si>
    <t xml:space="preserve">Review D-M21; LOOP 24.7</t>
  </si>
  <si>
    <t xml:space="preserve">TLA-13.1.05</t>
  </si>
  <si>
    <t xml:space="preserve">Exit-gate evidence bundle for CMM framework task assembled and reviewed</t>
  </si>
  <si>
    <t xml:space="preserve">Bundle contains criteria, rubric, owner records, register baseline; reviewer sign-off recorded</t>
  </si>
  <si>
    <t xml:space="preserve">TLA-14.1.01</t>
  </si>
  <si>
    <t xml:space="preserve">M21 CMM Level 2 evidence</t>
  </si>
  <si>
    <t xml:space="preserve">L2 evidence assembly</t>
  </si>
  <si>
    <t xml:space="preserve">Independently-deployed contract-tested services list assembled: every TLA and core service with its deploy-pipeline evidence and contract-test run links</t>
  </si>
  <si>
    <t xml:space="preserve">TLA-13.1.02, TLA-03.4.01, TLA-06.4.01, TLA-09.4.01, TLA-12.4.01</t>
  </si>
  <si>
    <t xml:space="preserve">L2 services evidence table</t>
  </si>
  <si>
    <t xml:space="preserve">Every listed service shows an independent deploy pipeline and a green contract-test run; zero services listed without evidence</t>
  </si>
  <si>
    <t xml:space="preserve">Review D-M21 gap L2 test; LOOP 24.3</t>
  </si>
  <si>
    <t xml:space="preserve">TLA-14.1.02</t>
  </si>
  <si>
    <t xml:space="preserve">Instrumented data-flow evidence produced: audit query proving every learning activity in the demonstration period flowed through M3 with zero side-channel writes</t>
  </si>
  <si>
    <t xml:space="preserve">Audit query output over demo period</t>
  </si>
  <si>
    <t xml:space="preserve">Audit query returns zero writes to learning stores that bypass M3; query method reviewed by conformance owner</t>
  </si>
  <si>
    <t xml:space="preserve">Review D-M21 acceptance; architecture rule 2</t>
  </si>
  <si>
    <t xml:space="preserve">TLA-14.1.03</t>
  </si>
  <si>
    <t xml:space="preserve">CMM L2 evidence package assembled, scored against the rubric by the independent conformance owner, and gaps logged with remediation items</t>
  </si>
  <si>
    <t xml:space="preserve">Scored L2 package</t>
  </si>
  <si>
    <t xml:space="preserve">Package scored; every gap has a tracked remediation item; score filed in honest-level register</t>
  </si>
  <si>
    <t xml:space="preserve">Review D-M21; T Stage 5</t>
  </si>
  <si>
    <t xml:space="preserve">TLA-14.1.04</t>
  </si>
  <si>
    <t xml:space="preserve">Exit-gate evidence bundle for CMM L2 task assembled and reviewed</t>
  </si>
  <si>
    <t xml:space="preserve">Bundle contains services table, audit output, scored package; reviewer sign-off recorded</t>
  </si>
  <si>
    <t xml:space="preserve">TLA-15.1.01</t>
  </si>
  <si>
    <t xml:space="preserve">M21 CMM Level 3 interoperability</t>
  </si>
  <si>
    <t xml:space="preserve">L3 demonstration</t>
  </si>
  <si>
    <t xml:space="preserve">External demonstration partner system named in writing with a dated demo commitment, eliminating the unnamed-external-system placeholder</t>
  </si>
  <si>
    <t xml:space="preserve">Signed partner agreement with demo date</t>
  </si>
  <si>
    <t xml:space="preserve">Agreement names the system, its owner, and a calendar demo date; filed before any L3 claim is made</t>
  </si>
  <si>
    <t xml:space="preserve">Review D-M20/D-M21 risk; LOOP 24.7</t>
  </si>
  <si>
    <t xml:space="preserve">TLA-15.1.02</t>
  </si>
  <si>
    <t xml:space="preserve">L3 demonstration script drafted: catalogue query and profile exchange executed via published TLA contracts with zero manual re-entry</t>
  </si>
  <si>
    <t xml:space="preserve">TLA-15.1.01, TLA-10.2.02, TLA-08.1.01</t>
  </si>
  <si>
    <t xml:space="preserve">Demo script with pass criteria</t>
  </si>
  <si>
    <t xml:space="preserve">Script steps executable from published contracts alone; pass criteria binary; partner reviewed</t>
  </si>
  <si>
    <t xml:space="preserve">Review D-M20 acceptance; D-M21 L3</t>
  </si>
  <si>
    <t xml:space="preserve">TLA-15.1.03</t>
  </si>
  <si>
    <t xml:space="preserve">Dated third-party-witnessed L3 interoperability demonstration executed with the named external system and evidence archived</t>
  </si>
  <si>
    <t xml:space="preserve">Witnessed demo record plus artifacts</t>
  </si>
  <si>
    <t xml:space="preserve">Demo executed on the committed date; witness attestation and artifacts archived; result filed in honest-level register</t>
  </si>
  <si>
    <t xml:space="preserve">Review D-M21 acceptance; T Stage 5</t>
  </si>
  <si>
    <t xml:space="preserve">TLA-15.1.04</t>
  </si>
  <si>
    <t xml:space="preserve">L5 dependency entry maintained: cross-organization vocabulary governance status tracked and the L5 claim gated on crosswalk evidence from the two-framework pilot</t>
  </si>
  <si>
    <t xml:space="preserve">TLA-02.3.02, TLA-13.1.04</t>
  </si>
  <si>
    <t xml:space="preserve">L5 dependency entry in honest-level register</t>
  </si>
  <si>
    <t xml:space="preserve">Register shows L5 as blocked-or-evidenced with the crosswalk collision report linked; no ungated L5 claim exists</t>
  </si>
  <si>
    <t xml:space="preserve">A-027; Review D-M19 risk; LOOP 24.5</t>
  </si>
  <si>
    <t xml:space="preserve">TLA-15.1.05</t>
  </si>
  <si>
    <t xml:space="preserve">Exit-gate evidence bundle for CMM L3 task assembled and reviewed</t>
  </si>
  <si>
    <t xml:space="preserve">TLA-15.1.03, TLA-15.1.04</t>
  </si>
  <si>
    <t xml:space="preserve">Bundle contains partner agreement, demo evidence, register extracts; reviewer sign-off recorded</t>
  </si>
  <si>
    <t xml:space="preserve">CNT-01.1.01</t>
  </si>
  <si>
    <t xml:space="preserve">CNT</t>
  </si>
  <si>
    <t xml:space="preserve">M22 contracts and data model</t>
  </si>
  <si>
    <t xml:space="preserve">Authoring model and gates</t>
  </si>
  <si>
    <t xml:space="preserve">Lesson-planner data model drafted: objectives linked to M19 competency URIs linked to activities linked to assessments</t>
  </si>
  <si>
    <t xml:space="preserve">TLA-01.1.01, TLA-02.1.01</t>
  </si>
  <si>
    <t xml:space="preserve">Data model specification v1</t>
  </si>
  <si>
    <t xml:space="preserve">Model published; sample lesson validates against schema</t>
  </si>
  <si>
    <t xml:space="preserve">REV D2 M22 gap 1; LOOP 27.3</t>
  </si>
  <si>
    <t xml:space="preserve">CNT-01.1.02</t>
  </si>
  <si>
    <t xml:space="preserve">Publish-to-ECC contract drafted and published including the mandatory metadata field list</t>
  </si>
  <si>
    <t xml:space="preserve">REV D2 M22 gap 2</t>
  </si>
  <si>
    <t xml:space="preserve">CNT-01.1.03</t>
  </si>
  <si>
    <t xml:space="preserve">Publish gate rules specified as blocking: metadata completeness, automated accessibility validation, and P2 sign-off — block not warn</t>
  </si>
  <si>
    <t xml:space="preserve">Gate rule specification</t>
  </si>
  <si>
    <t xml:space="preserve">All three gates specified as hard rejections</t>
  </si>
  <si>
    <t xml:space="preserve">MOD-014</t>
  </si>
  <si>
    <t xml:space="preserve">CNT-01.1.04</t>
  </si>
  <si>
    <t xml:space="preserve">Multilingual variant-linkage decision recorded: translations are linked derivatives of a master carrying master ID, source revision, language, translation method, and verifier</t>
  </si>
  <si>
    <t xml:space="preserve">Decision recorded; variant fields in the data model</t>
  </si>
  <si>
    <t xml:space="preserve">Scenario 16; REV D2 M22 gap 5</t>
  </si>
  <si>
    <t xml:space="preserve">CNT-01.1.05</t>
  </si>
  <si>
    <t xml:space="preserve">Enclave authoring posture decision recorded: local authoring mode and reconciliation path with the connected ECC</t>
  </si>
  <si>
    <t xml:space="preserve">Posture decided with reconciliation flow diagram</t>
  </si>
  <si>
    <t xml:space="preserve">REV D2 M22 gap 6</t>
  </si>
  <si>
    <t xml:space="preserve">CNT-01.1.06</t>
  </si>
  <si>
    <t xml:space="preserve">Build-versus-adapt sourcing analysis for the authoring stack recorded with data-rights and exit position</t>
  </si>
  <si>
    <t xml:space="preserve">Sourcing analysis document</t>
  </si>
  <si>
    <t xml:space="preserve">Analysis approved with explicit exit position</t>
  </si>
  <si>
    <t xml:space="preserve">REV D2 M22 gap 7</t>
  </si>
  <si>
    <t xml:space="preserve">CNT-01.1.07</t>
  </si>
  <si>
    <t xml:space="preserve">Template governance model documented: template ownership, approval, and change control</t>
  </si>
  <si>
    <t xml:space="preserve">Governance document</t>
  </si>
  <si>
    <t xml:space="preserve">Model approved by SME Lead and Instructional Designer</t>
  </si>
  <si>
    <t xml:space="preserve">REV D2 M22; NEW: brief inclusion template governance</t>
  </si>
  <si>
    <t xml:space="preserve">CNT-01.1.08</t>
  </si>
  <si>
    <t xml:space="preserve">Contract conformance tests for M22 contracts wired into CI before implementation</t>
  </si>
  <si>
    <t xml:space="preserve">CNT-01.1.09</t>
  </si>
  <si>
    <t xml:space="preserve">Exit-gate evidence bundle assembled and reviewed for the M22 contracts task</t>
  </si>
  <si>
    <t xml:space="preserve">CNT-02.1.01</t>
  </si>
  <si>
    <t xml:space="preserve">M22 authoring build</t>
  </si>
  <si>
    <t xml:space="preserve">Authoring and publish gates</t>
  </si>
  <si>
    <t xml:space="preserve">Authoring UI implemented: lesson assembly from governed templates with objective and competency tagging against M19 URIs</t>
  </si>
  <si>
    <t xml:space="preserve">CNT-01.1.01, CNT-01.1.07</t>
  </si>
  <si>
    <t xml:space="preserve">UI build and walkthrough</t>
  </si>
  <si>
    <t xml:space="preserve">Author tags a lesson to at least one M19 competency in demo</t>
  </si>
  <si>
    <t xml:space="preserve">REV D2 M22 acceptance</t>
  </si>
  <si>
    <t xml:space="preserve">CNT-02.1.02</t>
  </si>
  <si>
    <t xml:space="preserve">Lesson planner implemented linking objectives, competencies, activities, and assessments per the data model</t>
  </si>
  <si>
    <t xml:space="preserve">Planner code and schema validation</t>
  </si>
  <si>
    <t xml:space="preserve">Sample lesson persists with all four linkages resolvable</t>
  </si>
  <si>
    <t xml:space="preserve">LOOP 27.3</t>
  </si>
  <si>
    <t xml:space="preserve">CNT-02.1.03</t>
  </si>
  <si>
    <t xml:space="preserve">Template library implemented with governance-controlled template create, update, and retire</t>
  </si>
  <si>
    <t xml:space="preserve">Template CRUD test run</t>
  </si>
  <si>
    <t xml:space="preserve">Non-approved template unavailable to authors (negative test)</t>
  </si>
  <si>
    <t xml:space="preserve">NEW: brief inclusion template governance</t>
  </si>
  <si>
    <t xml:space="preserve">CNT-02.1.04</t>
  </si>
  <si>
    <t xml:space="preserve">Versioning of published lessons implemented: revising a published lesson leaves in-flight learners on a stable version</t>
  </si>
  <si>
    <t xml:space="preserve">Version state-safety test</t>
  </si>
  <si>
    <t xml:space="preserve">In-flight learner state unchanged by a new published version</t>
  </si>
  <si>
    <t xml:space="preserve">REV D2 M22 gap 3</t>
  </si>
  <si>
    <t xml:space="preserve">CNT-02.1.05</t>
  </si>
  <si>
    <t xml:space="preserve">Rollback of a published lesson rehearsed without corrupting learner state</t>
  </si>
  <si>
    <t xml:space="preserve">Rollback completed; learner-state integrity check green</t>
  </si>
  <si>
    <t xml:space="preserve">CNT-02.1.06</t>
  </si>
  <si>
    <t xml:space="preserve">Publish-to-ECC implemented per contract with lineage fields populated on every published artifact</t>
  </si>
  <si>
    <t xml:space="preserve">CNT-01.1.02, PLT-04.1.01</t>
  </si>
  <si>
    <t xml:space="preserve">Publish test run</t>
  </si>
  <si>
    <t xml:space="preserve">Published lesson appears in ECC with 100% mandatory metadata and lineage</t>
  </si>
  <si>
    <t xml:space="preserve">CNT-02.2.01</t>
  </si>
  <si>
    <t xml:space="preserve">Blocking gate demonstrations</t>
  </si>
  <si>
    <t xml:space="preserve">Publish demonstrably blocked for missing mandatory metadata</t>
  </si>
  <si>
    <t xml:space="preserve">Negative test recording</t>
  </si>
  <si>
    <t xml:space="preserve">Non-conformant publish attempt rejected with actionable error</t>
  </si>
  <si>
    <t xml:space="preserve">MOD-014 validation</t>
  </si>
  <si>
    <t xml:space="preserve">CNT-02.2.02</t>
  </si>
  <si>
    <t xml:space="preserve">Publish demonstrably blocked for failed automated accessibility validation</t>
  </si>
  <si>
    <t xml:space="preserve">Inaccessible content publish attempt rejected</t>
  </si>
  <si>
    <t xml:space="preserve">MOD-014; LOOP 14</t>
  </si>
  <si>
    <t xml:space="preserve">CNT-02.2.03</t>
  </si>
  <si>
    <t xml:space="preserve">Publish demonstrably blocked without a P2 sign-off record</t>
  </si>
  <si>
    <t xml:space="preserve">CNT-02.1.06, CNT-22.1.07</t>
  </si>
  <si>
    <t xml:space="preserve">Publish without P2 record rejected</t>
  </si>
  <si>
    <t xml:space="preserve">MOD-014; REV D2 P2</t>
  </si>
  <si>
    <t xml:space="preserve">CNT-02.2.04</t>
  </si>
  <si>
    <t xml:space="preserve">Journey-16 end-to-end demo executed: author builds a lesson linked to an M19 competency, passes P2, publishes with 100% metadata, and a learner launches it — connected and enclave modes</t>
  </si>
  <si>
    <t xml:space="preserve">Demo recordings for both modes</t>
  </si>
  <si>
    <t xml:space="preserve">Full journey passes in connected and enclave modes</t>
  </si>
  <si>
    <t xml:space="preserve">CNT-02.2.05</t>
  </si>
  <si>
    <t xml:space="preserve">Exit-gate evidence bundle assembled and reviewed for the M22 authoring build task</t>
  </si>
  <si>
    <t xml:space="preserve">CNT-03.1.01</t>
  </si>
  <si>
    <t xml:space="preserve">M22 data layer</t>
  </si>
  <si>
    <t xml:space="preserve">Content schemas</t>
  </si>
  <si>
    <t xml:space="preserve">Lesson, version, and template schemas created with tenant RLS; migrations tested up and down</t>
  </si>
  <si>
    <t xml:space="preserve">CNT-03.1.02</t>
  </si>
  <si>
    <t xml:space="preserve">Content lineage recorded on every published artifact via the lineage service</t>
  </si>
  <si>
    <t xml:space="preserve">Lineage query output</t>
  </si>
  <si>
    <t xml:space="preserve">Every published fixture artifact resolves to its source lineage</t>
  </si>
  <si>
    <t xml:space="preserve">REV S.2d</t>
  </si>
  <si>
    <t xml:space="preserve">CNT-03.1.03</t>
  </si>
  <si>
    <t xml:space="preserve">Multilingual variant tables implemented per the variant-linkage decision</t>
  </si>
  <si>
    <t xml:space="preserve">Schema and fixture test</t>
  </si>
  <si>
    <t xml:space="preserve">Hindi fixture variant links to its English master with all five fields</t>
  </si>
  <si>
    <t xml:space="preserve">Scenario 16</t>
  </si>
  <si>
    <t xml:space="preserve">CNT-03.1.04</t>
  </si>
  <si>
    <t xml:space="preserve">Exit-gate evidence bundle assembled and reviewed for the M22 data task</t>
  </si>
  <si>
    <t xml:space="preserve">CNT-04.1.01</t>
  </si>
  <si>
    <t xml:space="preserve">M22 security</t>
  </si>
  <si>
    <t xml:space="preserve">Roles and content safety</t>
  </si>
  <si>
    <t xml:space="preserve">Author, reviewer, and publisher role authorization implemented with negative tests including author cannot self-approve P2</t>
  </si>
  <si>
    <t xml:space="preserve">All role negative tests green</t>
  </si>
  <si>
    <t xml:space="preserve">CNT-04.1.02</t>
  </si>
  <si>
    <t xml:space="preserve">Upload input validation and malware scanning on embedded media implemented</t>
  </si>
  <si>
    <t xml:space="preserve">Scan pipeline test</t>
  </si>
  <si>
    <t xml:space="preserve">Seeded malicious file rejected at upload</t>
  </si>
  <si>
    <t xml:space="preserve">CNT-04.1.03</t>
  </si>
  <si>
    <t xml:space="preserve">Publish and rollback audit events emitted through the shared hash-chained audit service</t>
  </si>
  <si>
    <t xml:space="preserve">Every publish and rollback retrievable from audit store</t>
  </si>
  <si>
    <t xml:space="preserve">CNT-04.1.04</t>
  </si>
  <si>
    <t xml:space="preserve">Exit-gate evidence bundle assembled and reviewed for the M22 security task</t>
  </si>
  <si>
    <t xml:space="preserve">CNT-05.1.01</t>
  </si>
  <si>
    <t xml:space="preserve">M22 observability</t>
  </si>
  <si>
    <t xml:space="preserve">Publish metrics</t>
  </si>
  <si>
    <t xml:space="preserve">Metrics live: publish attempts versus blocks by gate reason, authoring throughput, version rollbacks; correlation IDs end to end</t>
  </si>
  <si>
    <t xml:space="preserve">All metrics render with live staging data</t>
  </si>
  <si>
    <t xml:space="preserve">CNT-05.1.02</t>
  </si>
  <si>
    <t xml:space="preserve">Alerts on publish-gate bypass attempts and error spikes configured; runbook walked by a non-author</t>
  </si>
  <si>
    <t xml:space="preserve">Alerts fired in test; runbook walked</t>
  </si>
  <si>
    <t xml:space="preserve">CNT-05.1.03</t>
  </si>
  <si>
    <t xml:space="preserve">Exit-gate evidence bundle assembled and reviewed for the M22 observability task</t>
  </si>
  <si>
    <t xml:space="preserve">CNT-06.1.01</t>
  </si>
  <si>
    <t xml:space="preserve">M22 deployment</t>
  </si>
  <si>
    <t xml:space="preserve">CI pipeline live with contract conformance gates and container build</t>
  </si>
  <si>
    <t xml:space="preserve">CNT-06.1.02</t>
  </si>
  <si>
    <t xml:space="preserve">Enclave zero-egress install verified including local authoring mode</t>
  </si>
  <si>
    <t xml:space="preserve">CNT-06.1.01, CNT-01.1.05</t>
  </si>
  <si>
    <t xml:space="preserve">Zero outbound connections during author-publish cycle in simulator</t>
  </si>
  <si>
    <t xml:space="preserve">CNT-06.1.03</t>
  </si>
  <si>
    <t xml:space="preserve">Rollback of a DCT release rehearsed</t>
  </si>
  <si>
    <t xml:space="preserve">Rollback completed with authoring data intact</t>
  </si>
  <si>
    <t xml:space="preserve">CNT-06.1.04</t>
  </si>
  <si>
    <t xml:space="preserve">Exit-gate evidence bundle assembled and reviewed for the M22 deployment task</t>
  </si>
  <si>
    <t xml:space="preserve">CNT-07.1.01</t>
  </si>
  <si>
    <t xml:space="preserve">M22 documentation and handoff</t>
  </si>
  <si>
    <t xml:space="preserve">Author docs</t>
  </si>
  <si>
    <t xml:space="preserve">Author guide covering tagging, templates, and publish gates published</t>
  </si>
  <si>
    <t xml:space="preserve">Guide published; pilot author completes a lesson using it alone</t>
  </si>
  <si>
    <t xml:space="preserve">CNT-07.1.02</t>
  </si>
  <si>
    <t xml:space="preserve">API docs from contracts and P4 training notes for SME authors delivered</t>
  </si>
  <si>
    <t xml:space="preserve">Published docs and notes</t>
  </si>
  <si>
    <t xml:space="preserve">CNT-07.1.03</t>
  </si>
  <si>
    <t xml:space="preserve">Exit-gate evidence bundle assembled and reviewed for the M22 documentation task</t>
  </si>
  <si>
    <t xml:space="preserve">CNT-08.1.01</t>
  </si>
  <si>
    <t xml:space="preserve">M23 grounding and provenance</t>
  </si>
  <si>
    <t xml:space="preserve">Corpus and rules</t>
  </si>
  <si>
    <t xml:space="preserve">Grounding corpus for authoring assistance defined: authoring sources plus style and template guidance, distinct from the learner-facing corpus</t>
  </si>
  <si>
    <t xml:space="preserve">Corpus definition document</t>
  </si>
  <si>
    <t xml:space="preserve">Corpus approved; zero overlap policy with learner corpus recorded</t>
  </si>
  <si>
    <t xml:space="preserve">REV D2 M23; LOOP 27.4</t>
  </si>
  <si>
    <t xml:space="preserve">CNT-08.1.02</t>
  </si>
  <si>
    <t xml:space="preserve">Suggestion-provenance metadata schema defined: every AI suggestion carries source references, model version, and prompt version</t>
  </si>
  <si>
    <t xml:space="preserve">Schema in contract registry</t>
  </si>
  <si>
    <t xml:space="preserve">Schema v1 published with all three fields mandatory</t>
  </si>
  <si>
    <t xml:space="preserve">CNT-08.1.03</t>
  </si>
  <si>
    <t xml:space="preserve">Draft-only rule enforced in the M22 workflow: AI-drafted content cannot publish without a P2 review record</t>
  </si>
  <si>
    <t xml:space="preserve">Blocking integration test</t>
  </si>
  <si>
    <t xml:space="preserve">AI-drafted item without P2 record rejected at publish</t>
  </si>
  <si>
    <t xml:space="preserve">REV D2 M23 business rule</t>
  </si>
  <si>
    <t xml:space="preserve">CNT-08.1.04</t>
  </si>
  <si>
    <t xml:space="preserve">Exit-gate evidence bundle assembled and reviewed for the M23 grounding and provenance task</t>
  </si>
  <si>
    <t xml:space="preserve">CNT-09.1.01</t>
  </si>
  <si>
    <t xml:space="preserve">M23 assistant build</t>
  </si>
  <si>
    <t xml:space="preserve">Assist and evaluation</t>
  </si>
  <si>
    <t xml:space="preserve">Author-assist chatbot implemented inside the DCT consuming the shared inference service over the authoring corpus</t>
  </si>
  <si>
    <t xml:space="preserve">PLT-03.1.01, CNT-08.1.01</t>
  </si>
  <si>
    <t xml:space="preserve">Working assistant demo</t>
  </si>
  <si>
    <t xml:space="preserve">Assistant answers authoring queries grounded in the corpus</t>
  </si>
  <si>
    <t xml:space="preserve">REV D2 M23; MOD-009</t>
  </si>
  <si>
    <t xml:space="preserve">CNT-09.1.02</t>
  </si>
  <si>
    <t xml:space="preserve">Provenance stamping implemented: 100% of AI-drafted items carry provenance metadata</t>
  </si>
  <si>
    <t xml:space="preserve">Provenance audit query</t>
  </si>
  <si>
    <t xml:space="preserve">Audit shows 100% provenance coverage on drafted items</t>
  </si>
  <si>
    <t xml:space="preserve">REV D2 M23 acceptance</t>
  </si>
  <si>
    <t xml:space="preserve">CNT-09.1.03</t>
  </si>
  <si>
    <t xml:space="preserve">Author-acceptance and error-rate metrics instrumented and reported</t>
  </si>
  <si>
    <t xml:space="preserve">Metrics dashboard</t>
  </si>
  <si>
    <t xml:space="preserve">Both metrics computed over pilot authoring sessions</t>
  </si>
  <si>
    <t xml:space="preserve">CNT-09.1.04</t>
  </si>
  <si>
    <t xml:space="preserve">Authoring-task benchmark evaluated on the enclave-approved local model with an acceptance-rate quality bar; hosted-versus-local delta recorded</t>
  </si>
  <si>
    <t xml:space="preserve">AIA-05.1.01, CNT-09.1.01</t>
  </si>
  <si>
    <t xml:space="preserve">Benchmark report</t>
  </si>
  <si>
    <t xml:space="preserve">Quality bar met on local model; delta recorded and accepted</t>
  </si>
  <si>
    <t xml:space="preserve">CNT-09.1.05</t>
  </si>
  <si>
    <t xml:space="preserve">Prompt-injection defenses applied to authoring corpus inputs reusing the M15 hardening pattern</t>
  </si>
  <si>
    <t xml:space="preserve">Injection test report</t>
  </si>
  <si>
    <t xml:space="preserve">Injection suite green on the authoring corpus</t>
  </si>
  <si>
    <t xml:space="preserve">Scenario 9; R-022</t>
  </si>
  <si>
    <t xml:space="preserve">CNT-09.1.06</t>
  </si>
  <si>
    <t xml:space="preserve">Exit-gate evidence bundle assembled and reviewed for the M23 assistant build task</t>
  </si>
  <si>
    <t xml:space="preserve">CNT-10.1.01</t>
  </si>
  <si>
    <t xml:space="preserve">M23 operations and docs</t>
  </si>
  <si>
    <t xml:space="preserve">Release and guidance</t>
  </si>
  <si>
    <t xml:space="preserve">Enclave zero-egress install verified: assistant serves from the local model only</t>
  </si>
  <si>
    <t xml:space="preserve">Zero outbound connections during assist session in simulator</t>
  </si>
  <si>
    <t xml:space="preserve">CNT-10.1.02</t>
  </si>
  <si>
    <t xml:space="preserve">Usage metrics, alerts, and runbook live for the assistant; runbook walked by a non-author</t>
  </si>
  <si>
    <t xml:space="preserve">Dashboard and walkthrough record</t>
  </si>
  <si>
    <t xml:space="preserve">Alert fired in test; runbook walked</t>
  </si>
  <si>
    <t xml:space="preserve">CNT-10.1.03</t>
  </si>
  <si>
    <t xml:space="preserve">Author guide published covering AI-assist use, provenance disclosure, and P2 obligations</t>
  </si>
  <si>
    <t xml:space="preserve">Guide published and accepted by SME Lead</t>
  </si>
  <si>
    <t xml:space="preserve">CNT-10.1.04</t>
  </si>
  <si>
    <t xml:space="preserve">Exit-gate evidence bundle assembled and reviewed for the M23 operations and docs task</t>
  </si>
  <si>
    <t xml:space="preserve">CNT-11.1.01</t>
  </si>
  <si>
    <t xml:space="preserve">M24</t>
  </si>
  <si>
    <t xml:space="preserve">M24 pipeline specification</t>
  </si>
  <si>
    <t xml:space="preserve">Stages gates and lineage</t>
  </si>
  <si>
    <t xml:space="preserve">Digitization pipeline stage specification published: stages, per-stage quality gates, and named owners</t>
  </si>
  <si>
    <t xml:space="preserve">Stage specification v1</t>
  </si>
  <si>
    <t xml:space="preserve">Every stage has a binary quality gate and an owner</t>
  </si>
  <si>
    <t xml:space="preserve">LOOP 27.1; REV D2 M24</t>
  </si>
  <si>
    <t xml:space="preserve">CNT-11.1.02</t>
  </si>
  <si>
    <t xml:space="preserve">Per-script OCR accuracy gates defined for Devanagari and each committed Indic script with measurement method</t>
  </si>
  <si>
    <t xml:space="preserve">OCR gate specification</t>
  </si>
  <si>
    <t xml:space="preserve">Numeric accuracy threshold and test method per script</t>
  </si>
  <si>
    <t xml:space="preserve">LOOP 31.7; R-024</t>
  </si>
  <si>
    <t xml:space="preserve">CNT-11.1.03</t>
  </si>
  <si>
    <t xml:space="preserve">Structure-extraction specification for safety-critical elements published: tables, warnings and cautions, diagrams; warnings never silently dropped</t>
  </si>
  <si>
    <t xml:space="preserve">Extraction specification</t>
  </si>
  <si>
    <t xml:space="preserve">Warning-preservation rule stated as a hard gate</t>
  </si>
  <si>
    <t xml:space="preserve">REV D2 M24; LOOP 27.1</t>
  </si>
  <si>
    <t xml:space="preserve">CNT-11.1.04</t>
  </si>
  <si>
    <t xml:space="preserve">Human-review sampling rate defined per pipeline stage with statistical rationale</t>
  </si>
  <si>
    <t xml:space="preserve">Sampling plan</t>
  </si>
  <si>
    <t xml:space="preserve">Rate per stage approved with rationale</t>
  </si>
  <si>
    <t xml:space="preserve">LOOP 27.1</t>
  </si>
  <si>
    <t xml:space="preserve">CNT-11.1.05</t>
  </si>
  <si>
    <t xml:space="preserve">Lineage metadata specification published: every eBook artifact linked to its source manual revision</t>
  </si>
  <si>
    <t xml:space="preserve">Lineage field specification</t>
  </si>
  <si>
    <t xml:space="preserve">Lineage fields mandatory in publish schema</t>
  </si>
  <si>
    <t xml:space="preserve">REV D2 M24; R-010</t>
  </si>
  <si>
    <t xml:space="preserve">CNT-11.1.06</t>
  </si>
  <si>
    <t xml:space="preserve">Exit-gate evidence bundle assembled and reviewed for the M24 pipeline specification task</t>
  </si>
  <si>
    <t xml:space="preserve">CNT-12.1.01</t>
  </si>
  <si>
    <t xml:space="preserve">M24 production line build</t>
  </si>
  <si>
    <t xml:space="preserve">Pipeline stages</t>
  </si>
  <si>
    <t xml:space="preserve">OCR stage implemented with per-script gate enforcement; below-gate pages routed to a human correction queue</t>
  </si>
  <si>
    <t xml:space="preserve">Stage run on fixture pages</t>
  </si>
  <si>
    <t xml:space="preserve">Below-gate fixture page lands in human queue, not downstream</t>
  </si>
  <si>
    <t xml:space="preserve">LOOP 27.1; LOOP 31.7</t>
  </si>
  <si>
    <t xml:space="preserve">CNT-12.1.02</t>
  </si>
  <si>
    <t xml:space="preserve">Structure extraction implemented for tables, warnings and cautions, and diagrams with warning-preservation verified by sampled human review</t>
  </si>
  <si>
    <t xml:space="preserve">Extraction run and review sample</t>
  </si>
  <si>
    <t xml:space="preserve">100% of warnings and cautions preserved in the sampled set</t>
  </si>
  <si>
    <t xml:space="preserve">REV D2 M24 acceptance</t>
  </si>
  <si>
    <t xml:space="preserve">CNT-12.1.03</t>
  </si>
  <si>
    <t xml:space="preserve">Accessibility remediation implemented as a gated pipeline stage with WCAG 2.2 AA verification before publish</t>
  </si>
  <si>
    <t xml:space="preserve">Stage gate run and WCAG report</t>
  </si>
  <si>
    <t xml:space="preserve">Non-conformant content cannot pass the stage (negative test)</t>
  </si>
  <si>
    <t xml:space="preserve">LOOP 14; MOD-014</t>
  </si>
  <si>
    <t xml:space="preserve">CNT-12.1.04</t>
  </si>
  <si>
    <t xml:space="preserve">Interactive-element authoring stage implemented: checklists, hotspots, and embedded assessments added to digitized content</t>
  </si>
  <si>
    <t xml:space="preserve">Stage output sample</t>
  </si>
  <si>
    <t xml:space="preserve">Reference chapter carries at least one working element of each type</t>
  </si>
  <si>
    <t xml:space="preserve">REV D2 M24; PLAN M9 lineage</t>
  </si>
  <si>
    <t xml:space="preserve">CNT-12.1.05</t>
  </si>
  <si>
    <t xml:space="preserve">Instrumentation implemented: reading and interaction events emitted via M3 per the event contract</t>
  </si>
  <si>
    <t xml:space="preserve">Event capture test</t>
  </si>
  <si>
    <t xml:space="preserve">Fixture reading session produces valid xAPI statements in LRS</t>
  </si>
  <si>
    <t xml:space="preserve">REV D2 M24 acceptance; MOD-002</t>
  </si>
  <si>
    <t xml:space="preserve">CNT-12.1.06</t>
  </si>
  <si>
    <t xml:space="preserve">Publish to M9 and M18 implemented with revision lineage recorded on every artifact</t>
  </si>
  <si>
    <t xml:space="preserve">TLA-02.1.01, PLT-04.1.01, CNT-11.1.05</t>
  </si>
  <si>
    <t xml:space="preserve">Publish run and lineage query</t>
  </si>
  <si>
    <t xml:space="preserve">Published eBook resolves to source manual revision via lineage service</t>
  </si>
  <si>
    <t xml:space="preserve">REV D2 M24</t>
  </si>
  <si>
    <t xml:space="preserve">CNT-12.1.07</t>
  </si>
  <si>
    <t xml:space="preserve">Slice B reference manual digitized end to end: structure-verified, WCAG-verified, instrumented, published with lineage</t>
  </si>
  <si>
    <t xml:space="preserve">Slice B demo bundle</t>
  </si>
  <si>
    <t xml:space="preserve">All four verifications green on one complete manual</t>
  </si>
  <si>
    <t xml:space="preserve">REV T Stage 2; MOD-001</t>
  </si>
  <si>
    <t xml:space="preserve">CNT-12.1.08</t>
  </si>
  <si>
    <t xml:space="preserve">Exit-gate evidence bundle assembled and reviewed for the M24 production line task</t>
  </si>
  <si>
    <t xml:space="preserve">CNT-13.1.01</t>
  </si>
  <si>
    <t xml:space="preserve">M24 throughput and quality</t>
  </si>
  <si>
    <t xml:space="preserve">Production baseline</t>
  </si>
  <si>
    <t xml:space="preserve">Throughput and cost per page measured on the reference manual and recorded as the production-planning baseline</t>
  </si>
  <si>
    <t xml:space="preserve">Baseline measurement report</t>
  </si>
  <si>
    <t xml:space="preserve">Cost and throughput per page recorded with method</t>
  </si>
  <si>
    <t xml:space="preserve">CNT-13.1.02</t>
  </si>
  <si>
    <t xml:space="preserve">Human-review sampling executed at the defined rate with a defect log feeding gate tuning</t>
  </si>
  <si>
    <t xml:space="preserve">CNT-11.1.04, CNT-12.1.07</t>
  </si>
  <si>
    <t xml:space="preserve">Sampling records and defect log</t>
  </si>
  <si>
    <t xml:space="preserve">Sampling executed at plan rate; defects categorized</t>
  </si>
  <si>
    <t xml:space="preserve">CNT-13.1.03</t>
  </si>
  <si>
    <t xml:space="preserve">Corpus-scale production forecast derived from the baseline covering labor and duration, and approved</t>
  </si>
  <si>
    <t xml:space="preserve">Approved forecast</t>
  </si>
  <si>
    <t xml:space="preserve">Forecast approved by program leadership</t>
  </si>
  <si>
    <t xml:space="preserve">REV D2 M24 risk P2</t>
  </si>
  <si>
    <t xml:space="preserve">CNT-13.1.04</t>
  </si>
  <si>
    <t xml:space="preserve">Exit-gate evidence bundle assembled and reviewed for the M24 throughput and quality task</t>
  </si>
  <si>
    <t xml:space="preserve">CNT-14.1.01</t>
  </si>
  <si>
    <t xml:space="preserve">M24 data and security</t>
  </si>
  <si>
    <t xml:space="preserve">Job store and uploads</t>
  </si>
  <si>
    <t xml:space="preserve">Pipeline job store created with tenant RLS and job-state migrations tested up and down</t>
  </si>
  <si>
    <t xml:space="preserve">CNT-14.1.02</t>
  </si>
  <si>
    <t xml:space="preserve">Source manual upload validation and malware scanning implemented; access restricted to content-operations roles</t>
  </si>
  <si>
    <t xml:space="preserve">Scan and authz test</t>
  </si>
  <si>
    <t xml:space="preserve">Malicious fixture rejected; role negative test green</t>
  </si>
  <si>
    <t xml:space="preserve">CNT-14.1.03</t>
  </si>
  <si>
    <t xml:space="preserve">Exit-gate evidence bundle assembled and reviewed for the M24 data and security task</t>
  </si>
  <si>
    <t xml:space="preserve">CNT-15.1.01</t>
  </si>
  <si>
    <t xml:space="preserve">M24 observability</t>
  </si>
  <si>
    <t xml:space="preserve">Pipeline telemetry</t>
  </si>
  <si>
    <t xml:space="preserve">Pipeline metrics live: pages per day, gate failure rate per stage, queue depths; alerts on stalls with runbook walked by a non-author</t>
  </si>
  <si>
    <t xml:space="preserve">All metrics render; stall alert fired in test; runbook walked</t>
  </si>
  <si>
    <t xml:space="preserve">CNT-15.1.02</t>
  </si>
  <si>
    <t xml:space="preserve">Per-stage quality dashboards live for sampling review</t>
  </si>
  <si>
    <t xml:space="preserve">Reviewers can trace any page through every stage gate result</t>
  </si>
  <si>
    <t xml:space="preserve">CNT-15.1.03</t>
  </si>
  <si>
    <t xml:space="preserve">Exit-gate evidence bundle assembled and reviewed for the M24 observability task</t>
  </si>
  <si>
    <t xml:space="preserve">CNT-16.1.01</t>
  </si>
  <si>
    <t xml:space="preserve">M24 deployment and docs</t>
  </si>
  <si>
    <t xml:space="preserve">Release and operator guide</t>
  </si>
  <si>
    <t xml:space="preserve">CI pipeline live; enclave zero-egress digitization install verified with OCR models served locally</t>
  </si>
  <si>
    <t xml:space="preserve">Full pipeline run in simulator with zero outbound connections</t>
  </si>
  <si>
    <t xml:space="preserve">CNT-16.1.02</t>
  </si>
  <si>
    <t xml:space="preserve">Production-line operator guide and P4 training notes published</t>
  </si>
  <si>
    <t xml:space="preserve">Operator completes a manual using the guide alone</t>
  </si>
  <si>
    <t xml:space="preserve">CNT-16.1.03</t>
  </si>
  <si>
    <t xml:space="preserve">Exit-gate evidence bundle assembled and reviewed for the M24 deployment and docs task</t>
  </si>
  <si>
    <t xml:space="preserve">CNT-17.1.01</t>
  </si>
  <si>
    <t xml:space="preserve">M25 source and contracts</t>
  </si>
  <si>
    <t xml:space="preserve">Repository detection and SLA</t>
  </si>
  <si>
    <t xml:space="preserve">Authoritative TO/manual repository named with a signed access and integration agreement</t>
  </si>
  <si>
    <t xml:space="preserve">Signed agreement</t>
  </si>
  <si>
    <t xml:space="preserve">Repository named; agreement signed by both parties</t>
  </si>
  <si>
    <t xml:space="preserve">REV D2 M25 gap 1; MISS register</t>
  </si>
  <si>
    <t xml:space="preserve">CNT-17.1.02</t>
  </si>
  <si>
    <t xml:space="preserve">Revision-detection mechanism specified per deployment class: push or poll for connected deployments, signed media manifest for enclaves</t>
  </si>
  <si>
    <t xml:space="preserve">Detection design document</t>
  </si>
  <si>
    <t xml:space="preserve">Mechanism specified for all three deployment classes</t>
  </si>
  <si>
    <t xml:space="preserve">REV D2 M25 gap 2; LOOP 27.2</t>
  </si>
  <si>
    <t xml:space="preserve">CNT-17.1.03</t>
  </si>
  <si>
    <t xml:space="preserve">Supersession SLA and maximum tolerable staleness set in writing by the accountable content authority for connected and enclave classes</t>
  </si>
  <si>
    <t xml:space="preserve">Signed SLA document</t>
  </si>
  <si>
    <t xml:space="preserve">Numeric SLA per deployment class signed by content authority</t>
  </si>
  <si>
    <t xml:space="preserve">REV D2 M25 gap 4; Q28; MISS-011</t>
  </si>
  <si>
    <t xml:space="preserve">CNT-17.1.04</t>
  </si>
  <si>
    <t xml:space="preserve">Signed supersession manifest format defined and published to the contract registry</t>
  </si>
  <si>
    <t xml:space="preserve">Manifest format v1 published with signature verification spec</t>
  </si>
  <si>
    <t xml:space="preserve">CNT-17.1.05</t>
  </si>
  <si>
    <t xml:space="preserve">Re-publish workflow ownership defined: who approves, who executes, and what learners see mid-transition</t>
  </si>
  <si>
    <t xml:space="preserve">Workflow specification</t>
  </si>
  <si>
    <t xml:space="preserve">All three roles named; transition state specified</t>
  </si>
  <si>
    <t xml:space="preserve">REV D2 M25 gap 7</t>
  </si>
  <si>
    <t xml:space="preserve">CNT-17.1.06</t>
  </si>
  <si>
    <t xml:space="preserve">Contract conformance tests for M25 contracts wired into CI</t>
  </si>
  <si>
    <t xml:space="preserve">CNT-17.1.07</t>
  </si>
  <si>
    <t xml:space="preserve">Exit-gate evidence bundle assembled and reviewed for the M25 contracts task</t>
  </si>
  <si>
    <t xml:space="preserve">CNT-18.1.01</t>
  </si>
  <si>
    <t xml:space="preserve">M25 revision and blast radius build</t>
  </si>
  <si>
    <t xml:space="preserve">Detection propagation and drills</t>
  </si>
  <si>
    <t xml:space="preserve">Revision detection implemented for connected mode per the repository agreement</t>
  </si>
  <si>
    <t xml:space="preserve">Detection test run</t>
  </si>
  <si>
    <t xml:space="preserve">Injected repository revision detected within the detection SLA</t>
  </si>
  <si>
    <t xml:space="preserve">REV D2 M25 gap 2</t>
  </si>
  <si>
    <t xml:space="preserve">CNT-18.1.02</t>
  </si>
  <si>
    <t xml:space="preserve">Enclave media-manifest application implemented: update bundle applies the supersession manifest during the update window</t>
  </si>
  <si>
    <t xml:space="preserve">Simulator application log</t>
  </si>
  <si>
    <t xml:space="preserve">Manifest applied and verified in enclave simulator</t>
  </si>
  <si>
    <t xml:space="preserve">LOOP 27.2; Scenario 13</t>
  </si>
  <si>
    <t xml:space="preserve">CNT-18.1.03</t>
  </si>
  <si>
    <t xml:space="preserve">Blast-radius computation implemented via the lineage service: affected eBooks, chunks, lessons, quiz items, chatbot indexes, and translations enumerated per revision</t>
  </si>
  <si>
    <t xml:space="preserve">PLT-04.1.01, CNT-11.1.05</t>
  </si>
  <si>
    <t xml:space="preserve">Blast-radius report on fixture revision</t>
  </si>
  <si>
    <t xml:space="preserve">All six artifact classes enumerated for a fixture revision</t>
  </si>
  <si>
    <t xml:space="preserve">REV D2 M25 gap 3</t>
  </si>
  <si>
    <t xml:space="preserve">CNT-18.1.04</t>
  </si>
  <si>
    <t xml:space="preserve">Tombstone issuance implemented: superseded chunks non-retrievable by M15/M26 at query time before re-indexing completes</t>
  </si>
  <si>
    <t xml:space="preserve">CNT-18.1.03, KNI-02.2.03</t>
  </si>
  <si>
    <t xml:space="preserve">Tombstone propagation test</t>
  </si>
  <si>
    <t xml:space="preserve">Superseded chunk blocked immediately on manifest application</t>
  </si>
  <si>
    <t xml:space="preserve">CNT-18.1.05</t>
  </si>
  <si>
    <t xml:space="preserve">Re-publish workflow implemented with content-owner approval and a learner-visible transition state</t>
  </si>
  <si>
    <t xml:space="preserve">Re-publish requires approval; learners see transition state</t>
  </si>
  <si>
    <t xml:space="preserve">CNT-18.1.06</t>
  </si>
  <si>
    <t xml:space="preserve">Per-enclave and per-language supersession verification implemented: every deployment and every language variant confirms tombstone application within the SLA</t>
  </si>
  <si>
    <t xml:space="preserve">CNT-18.1.04, CNT-03.1.03</t>
  </si>
  <si>
    <t xml:space="preserve">Verification report</t>
  </si>
  <si>
    <t xml:space="preserve">Report lists per-enclave per-language confirmation timestamps</t>
  </si>
  <si>
    <t xml:space="preserve">Scenario 4; Scenario 16; REV W.13</t>
  </si>
  <si>
    <t xml:space="preserve">CNT-18.1.07</t>
  </si>
  <si>
    <t xml:space="preserve">Scenario-4 supersession drill executed: injected revision flags 100% of affected artifacts within the detection SLA and superseded chunks become non-retrievable within the supersession SLA with an auditable trail, in connected mode and via simulated enclave media</t>
  </si>
  <si>
    <t xml:space="preserve">Drill report</t>
  </si>
  <si>
    <t xml:space="preserve">Both SLAs met; audit trail complete in both modes</t>
  </si>
  <si>
    <t xml:space="preserve">REV D2 M25 acceptance; Scenario 4</t>
  </si>
  <si>
    <t xml:space="preserve">CNT-18.1.08</t>
  </si>
  <si>
    <t xml:space="preserve">Scenario-16 bilingual drill executed: source revision flags the Hindi variant stale in the same propagation cycle, in-language currency warning shown, stale-linked quiz items blocked from official assessment, and the exposure audit query returns learner and record lists</t>
  </si>
  <si>
    <t xml:space="preserve">Bilingual drill report</t>
  </si>
  <si>
    <t xml:space="preserve">All four outcomes observed in one drill</t>
  </si>
  <si>
    <t xml:space="preserve">Scenario 16 validation test</t>
  </si>
  <si>
    <t xml:space="preserve">CNT-18.1.09</t>
  </si>
  <si>
    <t xml:space="preserve">Prolonged-disconnection drill executed: after a simulated 6-month gap the enclave visibly labels unverifiable-currency content to learners</t>
  </si>
  <si>
    <t xml:space="preserve">Drill report and UI capture</t>
  </si>
  <si>
    <t xml:space="preserve">Currency warning displayed on all affected content</t>
  </si>
  <si>
    <t xml:space="preserve">REV D2 M25 acceptance; LOOP 7</t>
  </si>
  <si>
    <t xml:space="preserve">CNT-18.1.10</t>
  </si>
  <si>
    <t xml:space="preserve">Exit-gate evidence bundle assembled and reviewed for the M25 build task</t>
  </si>
  <si>
    <t xml:space="preserve">CNT-19.1.01</t>
  </si>
  <si>
    <t xml:space="preserve">M25 data and audit</t>
  </si>
  <si>
    <t xml:space="preserve">Supersession records</t>
  </si>
  <si>
    <t xml:space="preserve">Supersession event and tombstone tables implemented append-only with audit trail of actor, action, timestamp, and manifest ID</t>
  </si>
  <si>
    <t xml:space="preserve">CNT-17.1.04, PLT-02.1.01</t>
  </si>
  <si>
    <t xml:space="preserve">Schema and audit query</t>
  </si>
  <si>
    <t xml:space="preserve">Every supersession action reconstructable from the trail</t>
  </si>
  <si>
    <t xml:space="preserve">Scenario 4; MOD-013</t>
  </si>
  <si>
    <t xml:space="preserve">CNT-19.1.02</t>
  </si>
  <si>
    <t xml:space="preserve">Currency state queryable per deployment and per language variant: content-as-of reporting</t>
  </si>
  <si>
    <t xml:space="preserve">Query output</t>
  </si>
  <si>
    <t xml:space="preserve">One query returns currency state for any enclave and language</t>
  </si>
  <si>
    <t xml:space="preserve">Scenario 4 detection; Q28</t>
  </si>
  <si>
    <t xml:space="preserve">CNT-19.1.03</t>
  </si>
  <si>
    <t xml:space="preserve">Exit-gate evidence bundle assembled and reviewed for the M25 data task</t>
  </si>
  <si>
    <t xml:space="preserve">CNT-20.1.01</t>
  </si>
  <si>
    <t xml:space="preserve">M25 observability</t>
  </si>
  <si>
    <t xml:space="preserve">Currency telemetry</t>
  </si>
  <si>
    <t xml:space="preserve">Metrics live: detection latency, propagation latency per enclave, tombstone application lag, stale-artifact count; alerts on SLA breach with runbook walked by a non-author</t>
  </si>
  <si>
    <t xml:space="preserve">All metrics render; SLA-breach alert fired in test; runbook walked</t>
  </si>
  <si>
    <t xml:space="preserve">CNT-20.1.02</t>
  </si>
  <si>
    <t xml:space="preserve">Fleet currency dashboard live: per-enclave corpus verified-as-of view</t>
  </si>
  <si>
    <t xml:space="preserve">Every enclave shows its corpus as-of date</t>
  </si>
  <si>
    <t xml:space="preserve">Scenario 4 detection</t>
  </si>
  <si>
    <t xml:space="preserve">CNT-20.1.03</t>
  </si>
  <si>
    <t xml:space="preserve">Exit-gate evidence bundle assembled and reviewed for the M25 observability task</t>
  </si>
  <si>
    <t xml:space="preserve">CNT-21.1.01</t>
  </si>
  <si>
    <t xml:space="preserve">M25 deployment and docs</t>
  </si>
  <si>
    <t xml:space="preserve">Release and runbooks</t>
  </si>
  <si>
    <t xml:space="preserve">CI pipeline live; enclave install path including media-manifest tooling verified zero-egress</t>
  </si>
  <si>
    <t xml:space="preserve">Manifest application in simulator with zero outbound connections</t>
  </si>
  <si>
    <t xml:space="preserve">CNT-21.1.02</t>
  </si>
  <si>
    <t xml:space="preserve">Re-publish and supersession operator runbook published with P4 training notes</t>
  </si>
  <si>
    <t xml:space="preserve">Published runbook</t>
  </si>
  <si>
    <t xml:space="preserve">Non-author operator executes a supersession from the runbook</t>
  </si>
  <si>
    <t xml:space="preserve">CNT-21.1.03</t>
  </si>
  <si>
    <t xml:space="preserve">Exit-gate evidence bundle assembled and reviewed for the M25 deployment and docs task</t>
  </si>
  <si>
    <t xml:space="preserve">CNT-22.1.01</t>
  </si>
  <si>
    <t xml:space="preserve">P2 protocol definition</t>
  </si>
  <si>
    <t xml:space="preserve">Stages roles and authority</t>
  </si>
  <si>
    <t xml:space="preserve">P2 protocol document drafted defining review stages with entry and exit criteria per stage</t>
  </si>
  <si>
    <t xml:space="preserve">Protocol draft v1</t>
  </si>
  <si>
    <t xml:space="preserve">Every stage has binary entry and exit criteria</t>
  </si>
  <si>
    <t xml:space="preserve">REV D2 P2; LOOP 13</t>
  </si>
  <si>
    <t xml:space="preserve">CNT-22.1.02</t>
  </si>
  <si>
    <t xml:space="preserve">Reviewer roles and named block authority defined: who can stop a content or AI-behavior release</t>
  </si>
  <si>
    <t xml:space="preserve">Roles and authority section</t>
  </si>
  <si>
    <t xml:space="preserve">Block authority named as a role with escalation path</t>
  </si>
  <si>
    <t xml:space="preserve">REV D2 P2</t>
  </si>
  <si>
    <t xml:space="preserve">CNT-22.1.03</t>
  </si>
  <si>
    <t xml:space="preserve">Sampling rate for AI-generated content set by risk tier with written rationale</t>
  </si>
  <si>
    <t xml:space="preserve">Sampling policy</t>
  </si>
  <si>
    <t xml:space="preserve">Numeric rate per risk tier approved</t>
  </si>
  <si>
    <t xml:space="preserve">REV D2 P2; LOOP 27.5</t>
  </si>
  <si>
    <t xml:space="preserve">CNT-22.1.04</t>
  </si>
  <si>
    <t xml:space="preserve">Reviewer capacity sized against projected M22 and M24 throughput with an approved staffing plan</t>
  </si>
  <si>
    <t xml:space="preserve">CNT-22.1.03, CNT-13.1.03</t>
  </si>
  <si>
    <t xml:space="preserve">Capacity plan</t>
  </si>
  <si>
    <t xml:space="preserve">Plan covers projected throughput with named reviewer pool</t>
  </si>
  <si>
    <t xml:space="preserve">R-014</t>
  </si>
  <si>
    <t xml:space="preserve">CNT-22.1.05</t>
  </si>
  <si>
    <t xml:space="preserve">Per-language review capability plan approved for the committed language matrix</t>
  </si>
  <si>
    <t xml:space="preserve">Language capability plan</t>
  </si>
  <si>
    <t xml:space="preserve">Each committed language has a named review capability</t>
  </si>
  <si>
    <t xml:space="preserve">LOOP 31.3</t>
  </si>
  <si>
    <t xml:space="preserve">CNT-22.1.06</t>
  </si>
  <si>
    <t xml:space="preserve">Review SLAs defined per content class distinguishing safety-critical from general content</t>
  </si>
  <si>
    <t xml:space="preserve">SLA table in protocol</t>
  </si>
  <si>
    <t xml:space="preserve">Numeric SLA per content class approved</t>
  </si>
  <si>
    <t xml:space="preserve">CNT-22.1.07</t>
  </si>
  <si>
    <t xml:space="preserve">P2 protocol document approved with named roles and block authority</t>
  </si>
  <si>
    <t xml:space="preserve">CNT-22.1.02, CNT-22.1.06</t>
  </si>
  <si>
    <t xml:space="preserve">Signed protocol document</t>
  </si>
  <si>
    <t xml:space="preserve">Approval signatures on file</t>
  </si>
  <si>
    <t xml:space="preserve">REV D2 P2 acceptance</t>
  </si>
  <si>
    <t xml:space="preserve">CNT-22.1.08</t>
  </si>
  <si>
    <t xml:space="preserve">Exit-gate evidence bundle assembled and reviewed for the P2 definition task</t>
  </si>
  <si>
    <t xml:space="preserve">CNT-23.1.01</t>
  </si>
  <si>
    <t xml:space="preserve">P2 operation and measurement</t>
  </si>
  <si>
    <t xml:space="preserve">Gate operation</t>
  </si>
  <si>
    <t xml:space="preserve">P2 integrated as a hard publish gate in the M22 workflow: publish impossible without a P2 record</t>
  </si>
  <si>
    <t xml:space="preserve">CNT-22.1.07, CNT-02.2.03</t>
  </si>
  <si>
    <t xml:space="preserve">Publish without P2 record rejected in production configuration</t>
  </si>
  <si>
    <t xml:space="preserve">MOD-014; REV D2 P2 entry criteria</t>
  </si>
  <si>
    <t xml:space="preserve">CNT-23.1.02</t>
  </si>
  <si>
    <t xml:space="preserve">Defect-escape-rate metric instrumented: production content defects traced back to the review stage that missed them</t>
  </si>
  <si>
    <t xml:space="preserve">Metric definition and dashboard</t>
  </si>
  <si>
    <t xml:space="preserve">Every logged content defect carries a review-stage attribution</t>
  </si>
  <si>
    <t xml:space="preserve">LOOP 27.5</t>
  </si>
  <si>
    <t xml:space="preserve">CNT-23.1.03</t>
  </si>
  <si>
    <t xml:space="preserve">Pilot measurement executed: 100% of published lessons carry a P2 record and the measured defect-escape rate is below the agreed threshold</t>
  </si>
  <si>
    <t xml:space="preserve">Pilot measurement report</t>
  </si>
  <si>
    <t xml:space="preserve">Both conditions met over the Stage 4 pilot window</t>
  </si>
  <si>
    <t xml:space="preserve">REV D2 P2 acceptance; REV T Stage 4</t>
  </si>
  <si>
    <t xml:space="preserve">CNT-23.1.04</t>
  </si>
  <si>
    <t xml:space="preserve">AI-content sampling audits executed at the defined rate with results feeding sampling-rate adjustment</t>
  </si>
  <si>
    <t xml:space="preserve">CNT-22.1.03, CNT-23.1.02</t>
  </si>
  <si>
    <t xml:space="preserve">Audit records</t>
  </si>
  <si>
    <t xml:space="preserve">Audits executed at plan rate; adjustment decision recorded</t>
  </si>
  <si>
    <t xml:space="preserve">REV D2 P2; LOOP 27.4</t>
  </si>
  <si>
    <t xml:space="preserve">CNT-23.1.05</t>
  </si>
  <si>
    <t xml:space="preserve">Exit-gate evidence bundle assembled and reviewed for the P2 operation task</t>
  </si>
  <si>
    <t xml:space="preserve">AIA-01.1.01</t>
  </si>
  <si>
    <t xml:space="preserve">AIA</t>
  </si>
  <si>
    <t xml:space="preserve">Inference platform contracts</t>
  </si>
  <si>
    <t xml:space="preserve">Serving and registry contracts</t>
  </si>
  <si>
    <t xml:space="preserve">Inference API contract v1 drafted covering completion, embedding, and tokenize endpoints with mandatory tenant ID, command ID, priority class, pinned model reference, and correlation ID fields, and published to the contract registry</t>
  </si>
  <si>
    <t xml:space="preserve">PLT-05.1.02</t>
  </si>
  <si>
    <t xml:space="preserve">Contract registry entry v1</t>
  </si>
  <si>
    <t xml:space="preserve">Contract v1 published; review sign-off by two consuming module leads recorded</t>
  </si>
  <si>
    <t xml:space="preserve">MOD-009; REV S.2c</t>
  </si>
  <si>
    <t xml:space="preserve">AIA-01.1.02</t>
  </si>
  <si>
    <t xml:space="preserve">Model registry schema defined: model ID, weights hash, quantization, license, provenance, and per-deployment approval status, published as a versioned contract</t>
  </si>
  <si>
    <t xml:space="preserve">Model registry schema v1 in contract registry</t>
  </si>
  <si>
    <t xml:space="preserve">Schema validates three sample model entries including one quantized variant without ambiguity</t>
  </si>
  <si>
    <t xml:space="preserve">REV I.7-5; LOOP 25.3</t>
  </si>
  <si>
    <t xml:space="preserve">AIA-01.1.03</t>
  </si>
  <si>
    <t xml:space="preserve">Admission-control and priority-class policy documented: grading above chat above batch, bounded queue depths, preemption rules, and per-class queue-time targets</t>
  </si>
  <si>
    <t xml:space="preserve">Admission-control policy doc</t>
  </si>
  <si>
    <t xml:space="preserve">Policy states numeric queue bounds and priority ordering for all three classes; approved by architecture board</t>
  </si>
  <si>
    <t xml:space="preserve">Scenario 11; MOD-009</t>
  </si>
  <si>
    <t xml:space="preserve">AIA-01.1.04</t>
  </si>
  <si>
    <t xml:space="preserve">Degraded-mode policy documented: fallback to smaller quantized model under load, retrieval-only answer mode, and grading marked deferred with visible completion promise rather than dropped</t>
  </si>
  <si>
    <t xml:space="preserve">Degraded-mode policy doc</t>
  </si>
  <si>
    <t xml:space="preserve">Each degraded mode has a numeric engagement threshold and a user-visible behavior statement</t>
  </si>
  <si>
    <t xml:space="preserve">Scenario 11 required-change c</t>
  </si>
  <si>
    <t xml:space="preserve">AIA-01.1.05</t>
  </si>
  <si>
    <t xml:space="preserve">Evaluation-result schema defined recording scores per model per deployment class per language against named gates, published to the contract registry</t>
  </si>
  <si>
    <t xml:space="preserve">Eval-result schema v1 in contract registry</t>
  </si>
  <si>
    <t xml:space="preserve">Schema round-trips a sample hosted and a sample local eval report without loss</t>
  </si>
  <si>
    <t xml:space="preserve">MOD-010; REV I.7-2</t>
  </si>
  <si>
    <t xml:space="preserve">AIA-01.1.06</t>
  </si>
  <si>
    <t xml:space="preserve">Embedding-model change workflow contract defined: change triggers full re-index with verification before cutover, per index per deployment</t>
  </si>
  <si>
    <t xml:space="preserve">Re-index workflow contract doc</t>
  </si>
  <si>
    <t xml:space="preserve">Workflow names trigger, verification steps, cutover gate, and rollback path; published</t>
  </si>
  <si>
    <t xml:space="preserve">LOOP 25.3; REV I.7-2</t>
  </si>
  <si>
    <t xml:space="preserve">AIA-01.1.07</t>
  </si>
  <si>
    <t xml:space="preserve">Consumer-driven conformance tests for the inference API written and wired into CI before service implementation begins</t>
  </si>
  <si>
    <t xml:space="preserve">CI conformance job</t>
  </si>
  <si>
    <t xml:space="preserve">Conformance suite runs green against a stub and red against a deliberately broken stub</t>
  </si>
  <si>
    <t xml:space="preserve">MOD-002 pattern; LOOP 18</t>
  </si>
  <si>
    <t xml:space="preserve">AIA-01.1.08</t>
  </si>
  <si>
    <t xml:space="preserve">Exit-gate evidence bundle assembled and reviewed for the inference platform contracts task</t>
  </si>
  <si>
    <t xml:space="preserve">Bundle contains all task artifacts and a reviewer sign-off line</t>
  </si>
  <si>
    <t xml:space="preserve">Brief Loop 2 exit gate</t>
  </si>
  <si>
    <t xml:space="preserve">AIA-02.1.01</t>
  </si>
  <si>
    <t xml:space="preserve">GPU sizing spike</t>
  </si>
  <si>
    <t xml:space="preserve">Rented-hardware benchmark</t>
  </si>
  <si>
    <t xml:space="preserve">Candidate open-weight model list assembled with license terms, weights provenance, parameter sizes, and quantization variants recorded per candidate</t>
  </si>
  <si>
    <t xml:space="preserve">Candidate model matrix</t>
  </si>
  <si>
    <t xml:space="preserve">At least 4 candidate models listed with license cleared for enclave redistribution or rejection reason recorded</t>
  </si>
  <si>
    <t xml:space="preserve">REV U days-1-30 item 5; DEC-002</t>
  </si>
  <si>
    <t xml:space="preserve">AIA-02.1.02</t>
  </si>
  <si>
    <t xml:space="preserve">200-question sizing fixture corpus frozen with gold answers, including Indic-language items, versioned and hash-stamped as the seed set later folded into the full evaluation fixture corpus</t>
  </si>
  <si>
    <t xml:space="preserve">Frozen sizing corpus v1 with hash</t>
  </si>
  <si>
    <t xml:space="preserve">Corpus contains exactly 200 questions with gold answers, at least 25 percent in committed Indic languages</t>
  </si>
  <si>
    <t xml:space="preserve">REV U days-1-30 item 5</t>
  </si>
  <si>
    <t xml:space="preserve">AIA-02.1.03</t>
  </si>
  <si>
    <t xml:space="preserve">Rented-GPU benchmark executed: tokens per second and first-token latency measured per candidate model per quantization under the Scenario 11 concurrency model</t>
  </si>
  <si>
    <t xml:space="preserve">AIA-02.1.01, AIA-02.1.02</t>
  </si>
  <si>
    <t xml:space="preserve">Benchmark run logs and results table</t>
  </si>
  <si>
    <t xml:space="preserve">Every candidate-quantization pair has measured tokens per second and p95 first-token latency at stated concurrency</t>
  </si>
  <si>
    <t xml:space="preserve">REV U days-1-30 item 5; R-009</t>
  </si>
  <si>
    <t xml:space="preserve">AIA-02.1.04</t>
  </si>
  <si>
    <t xml:space="preserve">Quality scores measured per candidate per language on the sizing corpus including Indic-language evaluations, on the same rented hardware</t>
  </si>
  <si>
    <t xml:space="preserve">Per-model per-language score table</t>
  </si>
  <si>
    <t xml:space="preserve">Every candidate has groundedness and answer-accuracy scores per committed language on the frozen corpus</t>
  </si>
  <si>
    <t xml:space="preserve">REV U days-1-30 item 5; R-024</t>
  </si>
  <si>
    <t xml:space="preserve">AIA-02.1.05</t>
  </si>
  <si>
    <t xml:space="preserve">Quantization quality-loss measured: full-precision versus quantized score deltas recorded per candidate model per language</t>
  </si>
  <si>
    <t xml:space="preserve">Quantization delta table</t>
  </si>
  <si>
    <t xml:space="preserve">Delta table covers every quantization variant benchmarked; losses above 5 points flagged</t>
  </si>
  <si>
    <t xml:space="preserve">REV I.1-6; LOOP 25.2</t>
  </si>
  <si>
    <t xml:space="preserve">AIA-02.1.06</t>
  </si>
  <si>
    <t xml:space="preserve">GPU sizing memo published: recommended GPU class, VRAM headroom rule, stated concurrency model for exam-plus-chat load, and capacity alert thresholds at 70 and 85 percent</t>
  </si>
  <si>
    <t xml:space="preserve">Signed sizing memo</t>
  </si>
  <si>
    <t xml:space="preserve">Memo names GPU model, unit count per deployment size, and measured basis for each number; approved by Platform Architect</t>
  </si>
  <si>
    <t xml:space="preserve">Scenario 11 required-change d; HS-7</t>
  </si>
  <si>
    <t xml:space="preserve">AIA-02.1.07</t>
  </si>
  <si>
    <t xml:space="preserve">GPU procurement recommendation issued with order deadline at least two quarters before Slice D start, and handed to program management</t>
  </si>
  <si>
    <t xml:space="preserve">Procurement recommendation record</t>
  </si>
  <si>
    <t xml:space="preserve">Recommendation dated, order deadline computed from Slice D plan date, and acknowledged by program director</t>
  </si>
  <si>
    <t xml:space="preserve">R-009; DEC-002 trigger</t>
  </si>
  <si>
    <t xml:space="preserve">AIA-02.1.08</t>
  </si>
  <si>
    <t xml:space="preserve">Exit-gate evidence bundle assembled and reviewed for the GPU sizing spike task</t>
  </si>
  <si>
    <t xml:space="preserve">Bundle contains corpus hash, raw benchmark logs, memo, and reviewer sign-off</t>
  </si>
  <si>
    <t xml:space="preserve">AIA-03.1.01</t>
  </si>
  <si>
    <t xml:space="preserve">Serving platform build</t>
  </si>
  <si>
    <t xml:space="preserve">vLLM-class deployment</t>
  </si>
  <si>
    <t xml:space="preserve">vLLM-class serving stack deployed with pinned server and model versions behind the published inference API contract</t>
  </si>
  <si>
    <t xml:space="preserve">AIA-01.1.01, AIA-02.1.06</t>
  </si>
  <si>
    <t xml:space="preserve">Deployment manifest and passing conformance suite</t>
  </si>
  <si>
    <t xml:space="preserve">Conformance suite green against the live service; versions pinned in IaC</t>
  </si>
  <si>
    <t xml:space="preserve">MOD-009; DEC-002 option B</t>
  </si>
  <si>
    <t xml:space="preserve">AIA-03.1.02</t>
  </si>
  <si>
    <t xml:space="preserve">Model registry service implemented: model entries with approval status per deployment, and weights-hash verification enforced at model load time</t>
  </si>
  <si>
    <t xml:space="preserve">Registry service and load-time verification test</t>
  </si>
  <si>
    <t xml:space="preserve">Model with mismatched weights hash refuses to load and raises an alert in test</t>
  </si>
  <si>
    <t xml:space="preserve">REV I.7-5; LOOP 9 supply chain</t>
  </si>
  <si>
    <t xml:space="preserve">AIA-03.1.03</t>
  </si>
  <si>
    <t xml:space="preserve">Admission control implemented with the three priority classes and bounded queues per the published policy</t>
  </si>
  <si>
    <t xml:space="preserve">AIA-01.1.03, AIA-03.1.01</t>
  </si>
  <si>
    <t xml:space="preserve">Under saturation, grading requests preempt chat and batch per policy; queue bounds enforced</t>
  </si>
  <si>
    <t xml:space="preserve">AIA-03.1.04</t>
  </si>
  <si>
    <t xml:space="preserve">Queue-position and ETA API implemented so client modules can show honest wait messaging</t>
  </si>
  <si>
    <t xml:space="preserve">API response samples under load</t>
  </si>
  <si>
    <t xml:space="preserve">Queue position and ETA returned within 200 ms for a queued request in load test</t>
  </si>
  <si>
    <t xml:space="preserve">Scenario 11 required-change b</t>
  </si>
  <si>
    <t xml:space="preserve">AIA-03.1.05</t>
  </si>
  <si>
    <t xml:space="preserve">Degraded modes implemented: automatic fallback to smaller quantized model, retrieval-only signal to clients, and deferred-grading state, each engaging at the policy thresholds</t>
  </si>
  <si>
    <t xml:space="preserve">AIA-01.1.04, AIA-03.1.03</t>
  </si>
  <si>
    <t xml:space="preserve">Degraded-mode test log</t>
  </si>
  <si>
    <t xml:space="preserve">Each of the three modes engages at its threshold in a controlled load test and disengages on recovery</t>
  </si>
  <si>
    <t xml:space="preserve">AIA-03.2.01</t>
  </si>
  <si>
    <t xml:space="preserve">Model lifecycle</t>
  </si>
  <si>
    <t xml:space="preserve">Per-enclave model approval workflow implemented: activation is a change-controlled event requiring a green regression run recorded against the exact model version</t>
  </si>
  <si>
    <t xml:space="preserve">AIA-03.1.02, AIA-04.2.02</t>
  </si>
  <si>
    <t xml:space="preserve">Approval workflow records for a test activation</t>
  </si>
  <si>
    <t xml:space="preserve">Unapproved model cannot be activated in an enclave-profile deployment; approval record links eval run ID</t>
  </si>
  <si>
    <t xml:space="preserve">LOOP 25.3; HR-8; MOD-010</t>
  </si>
  <si>
    <t xml:space="preserve">AIA-03.2.02</t>
  </si>
  <si>
    <t xml:space="preserve">Model rollback procedure implemented and rehearsed: previous pinned model version restorable within a stated time bound</t>
  </si>
  <si>
    <t xml:space="preserve">Rollback to prior model completed within the stated bound on the enclave rig; serving resumes green</t>
  </si>
  <si>
    <t xml:space="preserve">LOOP 25.3; Scenario 8/13</t>
  </si>
  <si>
    <t xml:space="preserve">AIA-03.2.03</t>
  </si>
  <si>
    <t xml:space="preserve">Embedding-model change workflow implemented: full re-index executed and verified per the contract before retrieval cutover, with old index retained until verification passes</t>
  </si>
  <si>
    <t xml:space="preserve">AIA-01.1.06, AIA-03.2.01</t>
  </si>
  <si>
    <t xml:space="preserve">Re-index run record with verification report</t>
  </si>
  <si>
    <t xml:space="preserve">Cutover blocked in test until verification query set passes on the new index; rollback to old index demonstrated</t>
  </si>
  <si>
    <t xml:space="preserve">AIA-03.2.04</t>
  </si>
  <si>
    <t xml:space="preserve">Scenario 11 acceptance test executed on the target GPU class: concurrent chat, semantic grading, and batch at 100 percent utilization with priorities honored, queue messaging shown, and graded work deferred not dropped</t>
  </si>
  <si>
    <t xml:space="preserve">AIA-03.1.05, AIA-03.2.01</t>
  </si>
  <si>
    <t xml:space="preserve">Scenario 11 test report</t>
  </si>
  <si>
    <t xml:space="preserve">All three pass conditions met; zero grading jobs dropped; report attached to release evidence</t>
  </si>
  <si>
    <t xml:space="preserve">Scenario 11; MOD-009 validation</t>
  </si>
  <si>
    <t xml:space="preserve">AIA-03.2.05</t>
  </si>
  <si>
    <t xml:space="preserve">Exit-gate evidence bundle assembled and reviewed for the serving platform build task</t>
  </si>
  <si>
    <t xml:space="preserve">Bundle contains deployment manifests, test reports, and reviewer sign-off</t>
  </si>
  <si>
    <t xml:space="preserve">AIA-04.1.01</t>
  </si>
  <si>
    <t xml:space="preserve">Evaluation harness and fixture corpora</t>
  </si>
  <si>
    <t xml:space="preserve">Fixture corpora</t>
  </si>
  <si>
    <t xml:space="preserve">Fixture manual corpus assembled: 3 to 5 synthetic technical manuals with conflicting passages, a superseded v1-to-v2 revision pair, OCR-corrupted pages, complex tables, and parallel Hindi-English variants with one deliberately stale translation</t>
  </si>
  <si>
    <t xml:space="preserve">Corpus repository v1 with content inventory</t>
  </si>
  <si>
    <t xml:space="preserve">All listed structural features present and indexed; corpus versioned and hash-stamped</t>
  </si>
  <si>
    <t xml:space="preserve">REV J.3; REV U days-31-60 item 5</t>
  </si>
  <si>
    <t xml:space="preserve">AIA-04.1.02</t>
  </si>
  <si>
    <t xml:space="preserve">Known-answer, unanswerable, superseded-only, and cross-lingual QA sets built over the fixture corpus with gold chunks and gold answers per item</t>
  </si>
  <si>
    <t xml:space="preserve">QA set files v1</t>
  </si>
  <si>
    <t xml:space="preserve">Each of the four set types contains at least 50 items with gold references; SME review recorded</t>
  </si>
  <si>
    <t xml:space="preserve">REV I.7-1; REV J.3</t>
  </si>
  <si>
    <t xml:space="preserve">AIA-04.1.03</t>
  </si>
  <si>
    <t xml:space="preserve">Adversarial prompt corpus assembled: document-embedded injection, answer-embedded grade manipulation, chat-turn ACL probing, in English plus Indic scripts and transliterated forms</t>
  </si>
  <si>
    <t xml:space="preserve">Adversarial corpus v1</t>
  </si>
  <si>
    <t xml:space="preserve">Corpus covers all four payload placements in at least 3 language forms; versioned</t>
  </si>
  <si>
    <t xml:space="preserve">Scenario 9; LOOP 31.4; REV J.3</t>
  </si>
  <si>
    <t xml:space="preserve">AIA-04.1.04</t>
  </si>
  <si>
    <t xml:space="preserve">Grading fixture answer sets built per the answer taxonomy: equivalent wording, partially correct, confident-incorrect, irrelevant paste, adversarial, Hinglish and second-language, short and long, each with SME gold grades</t>
  </si>
  <si>
    <t xml:space="preserve">Grading fixture sets v1 with gold grades</t>
  </si>
  <si>
    <t xml:space="preserve">Every taxonomy class populated for at least 10 assessed items; two-SME gold-grade agreement recorded</t>
  </si>
  <si>
    <t xml:space="preserve">REV I.2-4; REV J.3</t>
  </si>
  <si>
    <t xml:space="preserve">AIA-04.1.05</t>
  </si>
  <si>
    <t xml:space="preserve">Evaluation-set change control operating: sets frozen and versioned like code, and any change to an eval set requires a reviewed merge with rationale</t>
  </si>
  <si>
    <t xml:space="preserve">Repo protection rules and one reviewed change record</t>
  </si>
  <si>
    <t xml:space="preserve">Direct pushes to eval sets blocked; sample change shows review and rationale</t>
  </si>
  <si>
    <t xml:space="preserve">REV I.7-1</t>
  </si>
  <si>
    <t xml:space="preserve">AIA-04.2.01</t>
  </si>
  <si>
    <t xml:space="preserve">Gates and drift</t>
  </si>
  <si>
    <t xml:space="preserve">Evaluation harness implemented running the full RAG and grading metric table per model per deployment class per language against the frozen sets</t>
  </si>
  <si>
    <t xml:space="preserve">AIA-04.1.02, AIA-04.1.04</t>
  </si>
  <si>
    <t xml:space="preserve">Harness run report on two model configs</t>
  </si>
  <si>
    <t xml:space="preserve">One hosted and one local run produce complete metric tables in the published eval-result schema</t>
  </si>
  <si>
    <t xml:space="preserve">MOD-010; REV I.1 metric table</t>
  </si>
  <si>
    <t xml:space="preserve">AIA-04.2.02</t>
  </si>
  <si>
    <t xml:space="preserve">Release gates wired into CI: any model, prompt, embedding, quantization, or index-build change is blocked from any deployment class without a green harness run for that class</t>
  </si>
  <si>
    <t xml:space="preserve">CI gate configuration and blocked-run example</t>
  </si>
  <si>
    <t xml:space="preserve">Pipeline demonstrably blocks a change lacking a green run for the target class</t>
  </si>
  <si>
    <t xml:space="preserve">AIA-04.2.03</t>
  </si>
  <si>
    <t xml:space="preserve">Gate negative validation executed: a deliberately degraded model is rejected by the CI evaluation gate</t>
  </si>
  <si>
    <t xml:space="preserve">Rejected-run CI log</t>
  </si>
  <si>
    <t xml:space="preserve">Degraded model fails at least two gate metrics and the pipeline blocks promotion</t>
  </si>
  <si>
    <t xml:space="preserve">MOD-010 validation</t>
  </si>
  <si>
    <t xml:space="preserve">AIA-04.2.04</t>
  </si>
  <si>
    <t xml:space="preserve">Drift alarms implemented per enclave: refusal rate, human-review overturn rate, grade-dispute rate, and citation-contradiction reports alarmed against evaluation baselines</t>
  </si>
  <si>
    <t xml:space="preserve">AIA-04.2.01, PLT-06.2.02</t>
  </si>
  <si>
    <t xml:space="preserve">Alarm rules and fired-alarm test</t>
  </si>
  <si>
    <t xml:space="preserve">Each drift signal has a numeric threshold tied to its baseline and fired once in test</t>
  </si>
  <si>
    <t xml:space="preserve">REV I.7-3; LOOP 15</t>
  </si>
  <si>
    <t xml:space="preserve">AIA-04.2.05</t>
  </si>
  <si>
    <t xml:space="preserve">Hosted-versus-local delta report generated on the frozen sets for every gated capability and customer acceptance of the delta obtained in writing</t>
  </si>
  <si>
    <t xml:space="preserve">Delta report and signed customer acceptance</t>
  </si>
  <si>
    <t xml:space="preserve">Report covers all gate metrics per language; signed acceptance on file before enclave GA</t>
  </si>
  <si>
    <t xml:space="preserve">Final Challenge Q22; HS-6</t>
  </si>
  <si>
    <t xml:space="preserve">AIA-04.2.06</t>
  </si>
  <si>
    <t xml:space="preserve">Exit-gate evidence bundle assembled and reviewed for the evaluation harness task</t>
  </si>
  <si>
    <t xml:space="preserve">Bundle contains corpora hashes, harness reports, gate configs, and reviewer sign-off</t>
  </si>
  <si>
    <t xml:space="preserve">Inference platform security and data</t>
  </si>
  <si>
    <t xml:space="preserve">Tenancy and supply chain</t>
  </si>
  <si>
    <t xml:space="preserve">Tenant and command ID propagation enforced on every inference call: requests without tenant context are rejected and the denial audited</t>
  </si>
  <si>
    <t xml:space="preserve">AIA-03.1.01, PLT-01.2.01</t>
  </si>
  <si>
    <t xml:space="preserve">Negative-test log</t>
  </si>
  <si>
    <t xml:space="preserve">Tenant-less request rejected with audited denial in test; zero anonymous inference paths found by scan</t>
  </si>
  <si>
    <t xml:space="preserve">MOD-008; Scenario 2</t>
  </si>
  <si>
    <t xml:space="preserve">AIA-05.1.02</t>
  </si>
  <si>
    <t xml:space="preserve">Prompt-context isolation negative-tested: no model context ever contains another tenant's retrieved chunks, verified with the cross-tenant probe kit</t>
  </si>
  <si>
    <t xml:space="preserve">AIA-05.1.01, PLT-01.3.01</t>
  </si>
  <si>
    <t xml:space="preserve">Probe-kit run report</t>
  </si>
  <si>
    <t xml:space="preserve">Zero cross-tenant chunks in captured contexts across the full probe suite</t>
  </si>
  <si>
    <t xml:space="preserve">LOOP 8; R-022</t>
  </si>
  <si>
    <t xml:space="preserve">AIA-05.1.03</t>
  </si>
  <si>
    <t xml:space="preserve">Model artifact supply-chain controls implemented: weights hash verification, model files listed in the release-bundle SBOM, and boundary scan of model artifacts before enclave admission</t>
  </si>
  <si>
    <t xml:space="preserve">SBOM extract and boundary-scan report</t>
  </si>
  <si>
    <t xml:space="preserve">Release bundle SBOM lists every model artifact with hash; scan report attached to bundle</t>
  </si>
  <si>
    <t xml:space="preserve">LOOP 9; MOD-015</t>
  </si>
  <si>
    <t xml:space="preserve">AIA-05.1.04</t>
  </si>
  <si>
    <t xml:space="preserve">Serving and model-store credentials managed through the platform secrets service with rotation per policy</t>
  </si>
  <si>
    <t xml:space="preserve">PLT-07.1.01</t>
  </si>
  <si>
    <t xml:space="preserve">Secrets inventory entry</t>
  </si>
  <si>
    <t xml:space="preserve">No inference-service credential exists outside the secrets service; scan clean</t>
  </si>
  <si>
    <t xml:space="preserve">PLT secrets lane</t>
  </si>
  <si>
    <t xml:space="preserve">AIA-05.1.05</t>
  </si>
  <si>
    <t xml:space="preserve">Inference request and response logging policy defined: what is logged, PII handling, tenant scoping, and retention bound, and enforced in the service</t>
  </si>
  <si>
    <t xml:space="preserve">Logging policy doc and config</t>
  </si>
  <si>
    <t xml:space="preserve">Log samples show tenant-scoped entries conforming to policy; retention job configured</t>
  </si>
  <si>
    <t xml:space="preserve">REV H data handling; DPDP R-025</t>
  </si>
  <si>
    <t xml:space="preserve">AIA-05.1.06</t>
  </si>
  <si>
    <t xml:space="preserve">Exit-gate evidence bundle assembled and reviewed for the inference platform security task</t>
  </si>
  <si>
    <t xml:space="preserve">Bundle contains test logs, policies, and reviewer sign-off</t>
  </si>
  <si>
    <t xml:space="preserve">AIA-06.1.01</t>
  </si>
  <si>
    <t xml:space="preserve">Inference platform ops and handoff</t>
  </si>
  <si>
    <t xml:space="preserve">Observability and deployment</t>
  </si>
  <si>
    <t xml:space="preserve">Metrics exported with correlation IDs: GPU utilization, queue depth per priority class, first-token latency percentiles, deferral counts, and model-version labels</t>
  </si>
  <si>
    <t xml:space="preserve">AIA-03.1.03, PLT-06.1.01</t>
  </si>
  <si>
    <t xml:space="preserve">Dashboard with live metrics</t>
  </si>
  <si>
    <t xml:space="preserve">All listed metrics visible per deployment; capacity alerts fire at 70 and 85 percent in test</t>
  </si>
  <si>
    <t xml:space="preserve">Scenario 11 required-change d; LOOP 15</t>
  </si>
  <si>
    <t xml:space="preserve">AIA-06.1.02</t>
  </si>
  <si>
    <t xml:space="preserve">Inference service SLOs defined: queue time per priority class and p95 first-token latency, with alert thresholds and an operator runbook covering the top-5 failure modes including the no-remote-access enclave variant</t>
  </si>
  <si>
    <t xml:space="preserve">SLO doc and runbook</t>
  </si>
  <si>
    <t xml:space="preserve">SLOs numeric; runbook walked by an operator who did not write it, with walkthrough recorded</t>
  </si>
  <si>
    <t xml:space="preserve">LOOP 15; J.5 gate 9</t>
  </si>
  <si>
    <t xml:space="preserve">AIA-06.1.03</t>
  </si>
  <si>
    <t xml:space="preserve">Enclave install of the inference service from the signed release bundle, including model weights, verified with zero network egress by the automated CI egress test</t>
  </si>
  <si>
    <t xml:space="preserve">AIA-03.1.01, AIA-05.1.03</t>
  </si>
  <si>
    <t xml:space="preserve">Egress test CI log for enclave install</t>
  </si>
  <si>
    <t xml:space="preserve">Install completes from media only; zero egress alarms during install and first serve</t>
  </si>
  <si>
    <t xml:space="preserve">MOD-015; J.5 gate 13</t>
  </si>
  <si>
    <t xml:space="preserve">AIA-06.1.04</t>
  </si>
  <si>
    <t xml:space="preserve">Failed-bundle rollback rehearsed on the enclave rig: interrupted model-plus-service update rolled back to last good state</t>
  </si>
  <si>
    <t xml:space="preserve">Service returns to prior version serving green within the stated recovery bound</t>
  </si>
  <si>
    <t xml:space="preserve">Scenario 8/13</t>
  </si>
  <si>
    <t xml:space="preserve">AIA-06.1.05</t>
  </si>
  <si>
    <t xml:space="preserve">Inference platform documentation published: API docs generated from contract, admin and capacity-model guide, and P4 training notes for platform operators</t>
  </si>
  <si>
    <t xml:space="preserve">AIA-01.1.01, AIA-06.1.02</t>
  </si>
  <si>
    <t xml:space="preserve">A third-party engineer can call the API from docs alone in a documented trial; P4 notes accepted by P4 owner</t>
  </si>
  <si>
    <t xml:space="preserve">J.5 gate 8; MOSA</t>
  </si>
  <si>
    <t xml:space="preserve">AIA-06.1.06</t>
  </si>
  <si>
    <t xml:space="preserve">Exit-gate evidence bundle assembled and reviewed for the inference platform ops task</t>
  </si>
  <si>
    <t xml:space="preserve">Bundle contains SLO doc, egress logs, rollback record, docs links, and reviewer sign-off</t>
  </si>
  <si>
    <t xml:space="preserve">AIA-07.1.01</t>
  </si>
  <si>
    <t xml:space="preserve">M26</t>
  </si>
  <si>
    <t xml:space="preserve">M26 chatbot contracts</t>
  </si>
  <si>
    <t xml:space="preserve">Answer, retrieval, and supersession contracts</t>
  </si>
  <si>
    <t xml:space="preserve">Chat and answer API contract published: question in, answer with per-sentence citation references resolving to chunk ID and source revision out, with refusal and currency-warning response forms</t>
  </si>
  <si>
    <t xml:space="preserve">Contract v1 published with conformance tests green against a stub</t>
  </si>
  <si>
    <t xml:space="preserve">PLAN M15 main-jobs; REV D2 M26</t>
  </si>
  <si>
    <t xml:space="preserve">AIA-07.1.02</t>
  </si>
  <si>
    <t xml:space="preserve">Retrieval contract defined: tenant-scoped index naming, mandatory tenant and ACL pre-filter parameters at query time, and prohibition of post-retrieval-only filtering</t>
  </si>
  <si>
    <t xml:space="preserve">AIA-07.1.01, PLT-01.1.03</t>
  </si>
  <si>
    <t xml:space="preserve">Retrieval contract doc</t>
  </si>
  <si>
    <t xml:space="preserve">Contract states pre-filter as mandatory; a post-filter-only implementation fails conformance test</t>
  </si>
  <si>
    <t xml:space="preserve">REV I.1-5; MOD-008</t>
  </si>
  <si>
    <t xml:space="preserve">AIA-07.1.03</t>
  </si>
  <si>
    <t xml:space="preserve">Supersession compliance contract adopted with M25 and the lineage service: M26 honors tombstones with a stated non-retrievability SLA and consumes the signed supersession manifest format</t>
  </si>
  <si>
    <t xml:space="preserve">CNT-17.1.03, CNT-17.1.04, PLT-03.1.01</t>
  </si>
  <si>
    <t xml:space="preserve">Compliance contract doc</t>
  </si>
  <si>
    <t xml:space="preserve">SLA number matches the content-authority value; tombstone-honor test case defined</t>
  </si>
  <si>
    <t xml:space="preserve">Scenario 4; HS-item REV D2 M25</t>
  </si>
  <si>
    <t xml:space="preserve">AIA-07.1.04</t>
  </si>
  <si>
    <t xml:space="preserve">Refusal and confidence thresholds defined separately for the hosted configuration and each approved local model, with the calibration method stated</t>
  </si>
  <si>
    <t xml:space="preserve">Threshold definition doc</t>
  </si>
  <si>
    <t xml:space="preserve">Numeric thresholds exist per model configuration with calibration evidence referenced</t>
  </si>
  <si>
    <t xml:space="preserve">REV D2 M26 entry criteria; I.1-1</t>
  </si>
  <si>
    <t xml:space="preserve">AIA-07.1.05</t>
  </si>
  <si>
    <t xml:space="preserve">Per-language quality-gate thresholds adopted for the committed language matrix: groundedness, citation correctness, hallucination, refusal correctness, false refusal, and cross-lingual retrieval recall</t>
  </si>
  <si>
    <t xml:space="preserve">Ratified per-language gate table</t>
  </si>
  <si>
    <t xml:space="preserve">Every committed language has numeric gates ratified by the review board</t>
  </si>
  <si>
    <t xml:space="preserve">LOOP 31.4; DEC-010; R-024</t>
  </si>
  <si>
    <t xml:space="preserve">AIA-07.1.06</t>
  </si>
  <si>
    <t xml:space="preserve">Conformance tests for all M26 contracts wired into CI before build items start</t>
  </si>
  <si>
    <t xml:space="preserve">Suite green against stub and red against a broken stub</t>
  </si>
  <si>
    <t xml:space="preserve">LOOP 18</t>
  </si>
  <si>
    <t xml:space="preserve">AIA-07.1.07</t>
  </si>
  <si>
    <t xml:space="preserve">Exit-gate evidence bundle assembled and reviewed for the M26 contracts task</t>
  </si>
  <si>
    <t xml:space="preserve">Bundle complete with reviewer sign-off</t>
  </si>
  <si>
    <t xml:space="preserve">AIA-08.1.01</t>
  </si>
  <si>
    <t xml:space="preserve">M26 chatbot build</t>
  </si>
  <si>
    <t xml:space="preserve">Grounded answer pipeline</t>
  </si>
  <si>
    <t xml:space="preserve">Retrieval pipeline implemented on the shared index with mandatory tenant and per-document ACL pre-filter applied at query time</t>
  </si>
  <si>
    <t xml:space="preserve">AIA-07.1.02, AIA-05.1.02</t>
  </si>
  <si>
    <t xml:space="preserve">Passing retrieval conformance tests</t>
  </si>
  <si>
    <t xml:space="preserve">Pre-filter provably applied: probe with foreign-tenant gold chunk returns zero results</t>
  </si>
  <si>
    <t xml:space="preserve">PLAN M15 main-jobs; REV I.1-5</t>
  </si>
  <si>
    <t xml:space="preserve">AIA-08.1.02</t>
  </si>
  <si>
    <t xml:space="preserve">Answer generation implemented via the shared inference service on the chat priority class with pinned model, prompt, and index versions recorded per answer</t>
  </si>
  <si>
    <t xml:space="preserve">AIA-03.1.01, AIA-08.1.01</t>
  </si>
  <si>
    <t xml:space="preserve">Answer records with version block</t>
  </si>
  <si>
    <t xml:space="preserve">100 percent of sampled answers carry model, prompt, and index versions</t>
  </si>
  <si>
    <t xml:space="preserve">MOD-009; HR-8</t>
  </si>
  <si>
    <t xml:space="preserve">AIA-08.1.03</t>
  </si>
  <si>
    <t xml:space="preserve">Citation rendering implemented: every answer sentence traceable to its cited chunk and source revision in the UI and the answer record</t>
  </si>
  <si>
    <t xml:space="preserve">UI demo and answer-record samples</t>
  </si>
  <si>
    <t xml:space="preserve">Clicking any citation opens the cited chunk at the cited revision for 20 sampled answers</t>
  </si>
  <si>
    <t xml:space="preserve">PLAN M15 main-jobs; I.1-2</t>
  </si>
  <si>
    <t xml:space="preserve">AIA-08.1.04</t>
  </si>
  <si>
    <t xml:space="preserve">Refusal behavior implemented per calibrated thresholds, covering out-of-corpus, conflicting-source, and superseded-only questions</t>
  </si>
  <si>
    <t xml:space="preserve">Refusal test run on QA sets</t>
  </si>
  <si>
    <t xml:space="preserve">Refusal correctness and false-refusal rates on fixture sets within the published gates</t>
  </si>
  <si>
    <t xml:space="preserve">PLAN M15 refusal; I.1 metrics</t>
  </si>
  <si>
    <t xml:space="preserve">AIA-08.1.05</t>
  </si>
  <si>
    <t xml:space="preserve">Queue-position and ETA messaging shown in the chat UI when the inference service is saturated</t>
  </si>
  <si>
    <t xml:space="preserve">UI screenshot under load test</t>
  </si>
  <si>
    <t xml:space="preserve">Queued question shows position and ETA within 2 s of submission in the Scenario 11 test</t>
  </si>
  <si>
    <t xml:space="preserve">AIA-08.1.06</t>
  </si>
  <si>
    <t xml:space="preserve">Content-currency warning implemented: unverifiable-currency content labeled to learners during prolonged enclave disconnection per the M25 policy</t>
  </si>
  <si>
    <t xml:space="preserve">Enclave-rig demo record</t>
  </si>
  <si>
    <t xml:space="preserve">After a simulated 6-month gap, affected answers carry the currency label</t>
  </si>
  <si>
    <t xml:space="preserve">REV D2 M25 acceptance b; Q28</t>
  </si>
  <si>
    <t xml:space="preserve">AIA-08.1.07</t>
  </si>
  <si>
    <t xml:space="preserve">Chatbot usage events emitted through M3 using the canonical envelope with idempotency keys and correlation IDs</t>
  </si>
  <si>
    <t xml:space="preserve">FND-07.1.01, FND-07.1.04</t>
  </si>
  <si>
    <t xml:space="preserve">Envelope-valid event samples in LRS</t>
  </si>
  <si>
    <t xml:space="preserve">Emitted events pass envelope validation; correlation ID links question to answer to event</t>
  </si>
  <si>
    <t xml:space="preserve">PLAN M15 xAPI bullet; MOD-002</t>
  </si>
  <si>
    <t xml:space="preserve">AIA-08.1.08</t>
  </si>
  <si>
    <t xml:space="preserve">Exit-gate evidence bundle assembled and reviewed for the M26 build task</t>
  </si>
  <si>
    <t xml:space="preserve">AIA-09.1.01</t>
  </si>
  <si>
    <t xml:space="preserve">M26 data and index lifecycle</t>
  </si>
  <si>
    <t xml:space="preserve">Index tenancy and lineage</t>
  </si>
  <si>
    <t xml:space="preserve">Tenant-partitioned vector index layout implemented per the decided isolation model, with tenant-scoped index names and keys</t>
  </si>
  <si>
    <t xml:space="preserve">AIA-07.1.02, PLT-01.1.03</t>
  </si>
  <si>
    <t xml:space="preserve">Index inventory and isolation decision record</t>
  </si>
  <si>
    <t xml:space="preserve">Every index maps to exactly one tenant scope; shared-index paths carry mandatory hard filters</t>
  </si>
  <si>
    <t xml:space="preserve">AIA-09.1.02</t>
  </si>
  <si>
    <t xml:space="preserve">Every chunk and embedding registered in the content-lineage service against its source manual revision at index-build time</t>
  </si>
  <si>
    <t xml:space="preserve">PLT-03.1.02, CNT-11.1.05</t>
  </si>
  <si>
    <t xml:space="preserve">Lineage registry extract for one indexed manual</t>
  </si>
  <si>
    <t xml:space="preserve">100 percent of chunks for the fixture manual resolve to a source revision in the lineage service</t>
  </si>
  <si>
    <t xml:space="preserve">REV S.2d; KNI-01.1.02</t>
  </si>
  <si>
    <t xml:space="preserve">AIA-09.1.03</t>
  </si>
  <si>
    <t xml:space="preserve">Supersession tombstones honored at query time: superseded chunks non-retrievable from the moment of tombstone application, before re-index completes</t>
  </si>
  <si>
    <t xml:space="preserve">AIA-07.1.03, PLT-03.1.04</t>
  </si>
  <si>
    <t xml:space="preserve">Tombstone-honor test log</t>
  </si>
  <si>
    <t xml:space="preserve">Superseded-only fixture queries return refusal or current-revision content; zero superseded chunks retrieved</t>
  </si>
  <si>
    <t xml:space="preserve">Scenario 4; I.1-4</t>
  </si>
  <si>
    <t xml:space="preserve">AIA-09.1.04</t>
  </si>
  <si>
    <t xml:space="preserve">Per-enclave index currency tracked: each enclave's index build recorded with corpus revision and embedding-model version, queryable for currency audits</t>
  </si>
  <si>
    <t xml:space="preserve">Currency query output for two simulated enclaves</t>
  </si>
  <si>
    <t xml:space="preserve">Query returns build revision and model version per enclave; a stale enclave is flagged</t>
  </si>
  <si>
    <t xml:space="preserve">REV D2 M26 gaps; LOOP 25.3</t>
  </si>
  <si>
    <t xml:space="preserve">AIA-09.1.05</t>
  </si>
  <si>
    <t xml:space="preserve">Embedding-model change re-index executed for M26 indexes per the platform workflow, with verification queries green before cutover</t>
  </si>
  <si>
    <t xml:space="preserve">AIA-03.2.03, AIA-09.1.04</t>
  </si>
  <si>
    <t xml:space="preserve">Re-index run record</t>
  </si>
  <si>
    <t xml:space="preserve">Cutover happened only after verification pass; rollback path demonstrated once</t>
  </si>
  <si>
    <t xml:space="preserve">LOOP 25.3</t>
  </si>
  <si>
    <t xml:space="preserve">AIA-09.1.06</t>
  </si>
  <si>
    <t xml:space="preserve">Chat audit trail persisted: every answer linked to retrieved chunk IDs, ACL decision, and model, prompt, and index versions to support exposure assessment</t>
  </si>
  <si>
    <t xml:space="preserve">AIA-08.1.02, PLT-02.1.03</t>
  </si>
  <si>
    <t xml:space="preserve">Audit trail samples</t>
  </si>
  <si>
    <t xml:space="preserve">For any answer ID, chunks and versions are reconstructable; verified for 20 sampled answers</t>
  </si>
  <si>
    <t xml:space="preserve">Scenario 9 recovery gap; MOD-013</t>
  </si>
  <si>
    <t xml:space="preserve">AIA-09.1.07</t>
  </si>
  <si>
    <t xml:space="preserve">Chat transcript retention policy defined and enforced tenant-scoped, with deletion job tested</t>
  </si>
  <si>
    <t xml:space="preserve">Retention config and deletion test log</t>
  </si>
  <si>
    <t xml:space="preserve">Transcripts past retention are deleted by job; deletion verified per tenant without cross-tenant effect</t>
  </si>
  <si>
    <t xml:space="preserve">REV H; R-025</t>
  </si>
  <si>
    <t xml:space="preserve">AIA-09.1.08</t>
  </si>
  <si>
    <t xml:space="preserve">Exit-gate evidence bundle assembled and reviewed for the M26 data and index lifecycle task</t>
  </si>
  <si>
    <t xml:space="preserve">AIA-10.1.01</t>
  </si>
  <si>
    <t xml:space="preserve">M26 security and red team</t>
  </si>
  <si>
    <t xml:space="preserve">Injection and isolation</t>
  </si>
  <si>
    <t xml:space="preserve">Prompt-injection red-team suite executed against M26 on hosted and each approved local model with English, Indic-script, and transliterated payloads</t>
  </si>
  <si>
    <t xml:space="preserve">AIA-04.1.03, AIA-08.1.01</t>
  </si>
  <si>
    <t xml:space="preserve">Red-team run report per model class</t>
  </si>
  <si>
    <t xml:space="preserve">Injection success rate at or below 1 percent per model class; every finding filed with severity</t>
  </si>
  <si>
    <t xml:space="preserve">Scenario 9; LOOP 31.4</t>
  </si>
  <si>
    <t xml:space="preserve">AIA-10.1.02</t>
  </si>
  <si>
    <t xml:space="preserve">Zero cross-tenant retrieval negative suite executed across vector search, cache, and prompt context using the platform probe kit</t>
  </si>
  <si>
    <t xml:space="preserve">PLT-01.3.01, AIA-09.1.01</t>
  </si>
  <si>
    <t xml:space="preserve">Zero cross-tenant retrievals across 100 percent of probes; hard release gate recorded</t>
  </si>
  <si>
    <t xml:space="preserve">REV D2 M26 acceptance; Scenario 2</t>
  </si>
  <si>
    <t xml:space="preserve">AIA-10.1.03</t>
  </si>
  <si>
    <t xml:space="preserve">Per-document ACL enforcement verified at retrieval time including non-leakage of document existence for unauthorized documents</t>
  </si>
  <si>
    <t xml:space="preserve">ACL negative-test log</t>
  </si>
  <si>
    <t xml:space="preserve">Unauthorized document neither retrieved nor acknowledged to exist in any response form</t>
  </si>
  <si>
    <t xml:space="preserve">PLAN M15 ACL bullet; I.1-5</t>
  </si>
  <si>
    <t xml:space="preserve">AIA-10.1.04</t>
  </si>
  <si>
    <t xml:space="preserve">Ingestion-boundary filtering implemented for hidden-instruction content in uploaded corpus documents, with detections quarantined for human review</t>
  </si>
  <si>
    <t xml:space="preserve">Filter test results on adversarial corpus</t>
  </si>
  <si>
    <t xml:space="preserve">Known hidden-instruction fixtures quarantined; quarantine queue functioning</t>
  </si>
  <si>
    <t xml:space="preserve">Scenario 9; I.1-3</t>
  </si>
  <si>
    <t xml:space="preserve">AIA-10.1.05</t>
  </si>
  <si>
    <t xml:space="preserve">Output filtering implemented for exfiltration patterns and injected dangerous-procedure fabrication, tested against the adversarial corpus</t>
  </si>
  <si>
    <t xml:space="preserve">Output-filter test report</t>
  </si>
  <si>
    <t xml:space="preserve">All exfiltration-class fixtures blocked; zero ACL-bypass content in outputs</t>
  </si>
  <si>
    <t xml:space="preserve">AIA-10.1.06</t>
  </si>
  <si>
    <t xml:space="preserve">Red-team refresh cadence set: every successful or novel finding added to the adversarial corpus and the suite re-run on a stated schedule</t>
  </si>
  <si>
    <t xml:space="preserve">Cadence policy and corpus change log</t>
  </si>
  <si>
    <t xml:space="preserve">Cadence documented; at least one finding-to-corpus round trip demonstrated</t>
  </si>
  <si>
    <t xml:space="preserve">REV residual risk 2</t>
  </si>
  <si>
    <t xml:space="preserve">AIA-10.1.07</t>
  </si>
  <si>
    <t xml:space="preserve">Exit-gate evidence bundle assembled and reviewed for the M26 security task</t>
  </si>
  <si>
    <t xml:space="preserve">AIA-11.1.01</t>
  </si>
  <si>
    <t xml:space="preserve">M26 quality release gates</t>
  </si>
  <si>
    <t xml:space="preserve">Evaluation gates as release criteria</t>
  </si>
  <si>
    <t xml:space="preserve">Full RAG metric table run on the fixture corpus per model per deployment class per language: groundedness, citation correctness, hallucination, refusal correctness, false refusal, retrieval recall and precision all within ratified gates</t>
  </si>
  <si>
    <t xml:space="preserve">AIA-04.2.01, AIA-08.1.04</t>
  </si>
  <si>
    <t xml:space="preserve">Harness report per configuration</t>
  </si>
  <si>
    <t xml:space="preserve">Every gate metric green for the release configuration; report attached to release</t>
  </si>
  <si>
    <t xml:space="preserve">REV I.1 metric table; MOD-010</t>
  </si>
  <si>
    <t xml:space="preserve">AIA-11.1.02</t>
  </si>
  <si>
    <t xml:space="preserve">Supersession leakage verified at zero: post-M25-revision queries answered from superseded chunks measured at 0 percent after SLA elapse, in connected mode and via simulated enclave media update, including the stale-translation variant</t>
  </si>
  <si>
    <t xml:space="preserve">AIA-09.1.03, CNT-17.1.03</t>
  </si>
  <si>
    <t xml:space="preserve">Scenario 4 and 16 drill reports</t>
  </si>
  <si>
    <t xml:space="preserve">Zero superseded-chunk answers in both modes and both language variants; any occurrence filed as P0</t>
  </si>
  <si>
    <t xml:space="preserve">Scenario 4; Scenario 16; R-010</t>
  </si>
  <si>
    <t xml:space="preserve">AIA-11.1.03</t>
  </si>
  <si>
    <t xml:space="preserve">Latency gate met: question to first token p95 at or below 5 s on the target GPU appliance under the Scenario 11 load model</t>
  </si>
  <si>
    <t xml:space="preserve">Enclave-rig latency report</t>
  </si>
  <si>
    <t xml:space="preserve">p95 at or below 5 s recorded on target hardware at stated concurrency</t>
  </si>
  <si>
    <t xml:space="preserve">REV I.1 latency row</t>
  </si>
  <si>
    <t xml:space="preserve">AIA-11.1.04</t>
  </si>
  <si>
    <t xml:space="preserve">Hosted-versus-local delta for M26 recorded on all gate metrics and customer acceptance obtained in writing before enclave release</t>
  </si>
  <si>
    <t xml:space="preserve">Signed delta acceptance for M26</t>
  </si>
  <si>
    <t xml:space="preserve">Signed acceptance on file referencing the exact eval report version</t>
  </si>
  <si>
    <t xml:space="preserve">AIA-11.1.05</t>
  </si>
  <si>
    <t xml:space="preserve">Per-language release rule enforced: no language declared supported for M26 without green per-language gates for the release model</t>
  </si>
  <si>
    <t xml:space="preserve">AIA-07.1.05, AIA-11.1.01</t>
  </si>
  <si>
    <t xml:space="preserve">Language-support register entries</t>
  </si>
  <si>
    <t xml:space="preserve">Register lists each language with its gating eval run ID; unsupported languages blocked in config</t>
  </si>
  <si>
    <t xml:space="preserve">DEC-010; HS-12 amended list</t>
  </si>
  <si>
    <t xml:space="preserve">AIA-11.1.06</t>
  </si>
  <si>
    <t xml:space="preserve">Release pipeline rule active: no M26 release candidate promotes without the green AI-eval gate, the zero cross-tenant result, and the injection suite result attached</t>
  </si>
  <si>
    <t xml:space="preserve">AIA-11.1.01, AIA-10.1.02</t>
  </si>
  <si>
    <t xml:space="preserve">Pipeline gate config and one blocked promotion</t>
  </si>
  <si>
    <t xml:space="preserve">Promotion blocked in test when any of the three artifacts is missing or red</t>
  </si>
  <si>
    <t xml:space="preserve">MOD-010; J.5 gate 14</t>
  </si>
  <si>
    <t xml:space="preserve">AIA-11.1.07</t>
  </si>
  <si>
    <t xml:space="preserve">Exit-gate evidence bundle assembled and reviewed for the M26 release gates task</t>
  </si>
  <si>
    <t xml:space="preserve">AIA-12.1.01</t>
  </si>
  <si>
    <t xml:space="preserve">M26 ops and handoff</t>
  </si>
  <si>
    <t xml:space="preserve">Observability, deployment, documentation</t>
  </si>
  <si>
    <t xml:space="preserve">Production telemetry live per enclave: refusal rate, citation-contradiction reports, and answer latency alarmed against evaluation baselines</t>
  </si>
  <si>
    <t xml:space="preserve">AIA-04.2.04, PLT-06.2.02</t>
  </si>
  <si>
    <t xml:space="preserve">Telemetry dashboard and alarm test</t>
  </si>
  <si>
    <t xml:space="preserve">All three signals visible per enclave; one alarm fired in test</t>
  </si>
  <si>
    <t xml:space="preserve">AIA-12.1.02</t>
  </si>
  <si>
    <t xml:space="preserve">Per-enclave synthetic chatbot evaluation probe scheduled and reporting through the observability stack</t>
  </si>
  <si>
    <t xml:space="preserve">PLT-06.2.03</t>
  </si>
  <si>
    <t xml:space="preserve">Probe run history</t>
  </si>
  <si>
    <t xml:space="preserve">Probe runs on schedule in the enclave rig and posts scores; a failed probe raises an alert</t>
  </si>
  <si>
    <t xml:space="preserve">LOOP 15; REV S deployment note</t>
  </si>
  <si>
    <t xml:space="preserve">AIA-12.1.03</t>
  </si>
  <si>
    <t xml:space="preserve">Correlation ID propagation verified across question, retrieval, inference call, answer, and emitted event</t>
  </si>
  <si>
    <t xml:space="preserve">PLT-06.1.01, AIA-08.1.07</t>
  </si>
  <si>
    <t xml:space="preserve">End-to-end trace sample</t>
  </si>
  <si>
    <t xml:space="preserve">One trace shows all five hops sharing the correlation ID</t>
  </si>
  <si>
    <t xml:space="preserve">LOOP 15; J.5 gate 7</t>
  </si>
  <si>
    <t xml:space="preserve">AIA-12.1.04</t>
  </si>
  <si>
    <t xml:space="preserve">M26 kill switch verified: chatbot disabled via feature flag without redeploy, with learner-facing maintenance message</t>
  </si>
  <si>
    <t xml:space="preserve">PLT-08.1.03</t>
  </si>
  <si>
    <t xml:space="preserve">Kill-switch drill record</t>
  </si>
  <si>
    <t xml:space="preserve">Flag flip disables the surface within 60 s in test; graceful message shown</t>
  </si>
  <si>
    <t xml:space="preserve">PLT flags lane; J.5</t>
  </si>
  <si>
    <t xml:space="preserve">AIA-12.1.05</t>
  </si>
  <si>
    <t xml:space="preserve">Enclave install of M26 from the signed release bundle verified with zero egress, including verification that no hosted-model call path exists</t>
  </si>
  <si>
    <t xml:space="preserve">Egress CI log for M26 install</t>
  </si>
  <si>
    <t xml:space="preserve">Zero egress alarms; hosted-model endpoints unreachable and unconfigured in enclave profile</t>
  </si>
  <si>
    <t xml:space="preserve">MOD-015; HS-6</t>
  </si>
  <si>
    <t xml:space="preserve">AIA-12.1.06</t>
  </si>
  <si>
    <t xml:space="preserve">M26 documentation published: API docs from contract, admin guide, operator runbook including no-remote-access variant, and P4 training notes</t>
  </si>
  <si>
    <t xml:space="preserve">Runbook walked by a non-author operator; P4 notes accepted by P4 owner</t>
  </si>
  <si>
    <t xml:space="preserve">J.5 gates 8-9</t>
  </si>
  <si>
    <t xml:space="preserve">AIA-12.1.07</t>
  </si>
  <si>
    <t xml:space="preserve">Exit-gate evidence bundle assembled and reviewed for the M26 ops and handoff task</t>
  </si>
  <si>
    <t xml:space="preserve">AIA-13.1.01</t>
  </si>
  <si>
    <t xml:space="preserve">M27</t>
  </si>
  <si>
    <t xml:space="preserve">M27 assessment service contracts</t>
  </si>
  <si>
    <t xml:space="preserve">Item bank and grading contracts</t>
  </si>
  <si>
    <t xml:space="preserve">Item-bank schema published referencing M19 competency URIs, with item version, language variant, source lineage, review status, and psychometric fields</t>
  </si>
  <si>
    <t xml:space="preserve">Schema validates fixture items including one translated variant; M19 URI field mandatory</t>
  </si>
  <si>
    <t xml:space="preserve">REV D2 M27 entry criteria; MOD-003</t>
  </si>
  <si>
    <t xml:space="preserve">AIA-13.1.02</t>
  </si>
  <si>
    <t xml:space="preserve">Grading API contract published: answer and rubric in, grade with confidence band and full version block out, consumed by M8 and M29</t>
  </si>
  <si>
    <t xml:space="preserve">Contract v1 published; M8 and M29 leads sign as consumers</t>
  </si>
  <si>
    <t xml:space="preserve">REV D2 M27 split ruling</t>
  </si>
  <si>
    <t xml:space="preserve">AIA-13.1.03</t>
  </si>
  <si>
    <t xml:space="preserve">Grade version block defined as mandatory: model ID with weights hash and quantization, prompt and rubric versions, item version, and deployment class on every AI-influenced grade</t>
  </si>
  <si>
    <t xml:space="preserve">Version-block schema in contract registry</t>
  </si>
  <si>
    <t xml:space="preserve">Grade lacking any version field is rejected by contract validation in test</t>
  </si>
  <si>
    <t xml:space="preserve">REV I.2-3; HS-4; Scenario 10</t>
  </si>
  <si>
    <t xml:space="preserve">AIA-13.1.04</t>
  </si>
  <si>
    <t xml:space="preserve">Human-review routing rules defined: confidence bands with auto-accept only above a validated threshold, 100 percent human review until calibration is ratified, and 100 percent for any grade feeding an official record</t>
  </si>
  <si>
    <t xml:space="preserve">Grading governance doc</t>
  </si>
  <si>
    <t xml:space="preserve">Rules state numeric bands, the uncalibrated default, and the official-record rule; approved by review board</t>
  </si>
  <si>
    <t xml:space="preserve">REV I.2-2; HR-1 HR-2</t>
  </si>
  <si>
    <t xml:space="preserve">AIA-13.1.05</t>
  </si>
  <si>
    <t xml:space="preserve">Deterministic fallback contract defined: rubric and keyword scorer takes over when the model is unavailable, saturated, or out of confidence bounds, with fallback grades marked as such</t>
  </si>
  <si>
    <t xml:space="preserve">Fallback contract doc</t>
  </si>
  <si>
    <t xml:space="preserve">Contract names the three trigger conditions and the fallback grade marking; test cases defined</t>
  </si>
  <si>
    <t xml:space="preserve">REV I.2-1; Scenario 11</t>
  </si>
  <si>
    <t xml:space="preserve">AIA-13.1.06</t>
  </si>
  <si>
    <t xml:space="preserve">MOSA severability verified in contracts: M8 operates fully with M27 absent or disabled, demonstrated by a documented configuration</t>
  </si>
  <si>
    <t xml:space="preserve">Severability demo record</t>
  </si>
  <si>
    <t xml:space="preserve">M8 quiz delivery and objective grading pass their tests with M27 disabled</t>
  </si>
  <si>
    <t xml:space="preserve">REV D2 M27 rationale; LOOP 23.1</t>
  </si>
  <si>
    <t xml:space="preserve">AIA-13.1.07</t>
  </si>
  <si>
    <t xml:space="preserve">Conformance tests for all M27 contracts wired into CI before build items start</t>
  </si>
  <si>
    <t xml:space="preserve">Suite green against stub and red against broken stub</t>
  </si>
  <si>
    <t xml:space="preserve">AIA-13.1.08</t>
  </si>
  <si>
    <t xml:space="preserve">Exit-gate evidence bundle assembled and reviewed for the M27 contracts task</t>
  </si>
  <si>
    <t xml:space="preserve">AIA-14.1.01</t>
  </si>
  <si>
    <t xml:space="preserve">M27 item banking and psychometrics</t>
  </si>
  <si>
    <t xml:space="preserve">Bank build and item statistics</t>
  </si>
  <si>
    <t xml:space="preserve">Item bank implemented with versioned items, M19 reference validation at save time, and language-variant linkage between translated items</t>
  </si>
  <si>
    <t xml:space="preserve">Bank service passing conformance tests</t>
  </si>
  <si>
    <t xml:space="preserve">Item without resolvable M19 URI rejected; translated variant links to source item</t>
  </si>
  <si>
    <t xml:space="preserve">REV D2 M27; MOD-003</t>
  </si>
  <si>
    <t xml:space="preserve">AIA-14.1.02</t>
  </si>
  <si>
    <t xml:space="preserve">Difficulty and discrimination computation pipeline implemented, running once per-item response volume passes the stated minimum</t>
  </si>
  <si>
    <t xml:space="preserve">Psychometrics job output on fixture responses</t>
  </si>
  <si>
    <t xml:space="preserve">Facility and discrimination computed correctly against hand-computed fixture values</t>
  </si>
  <si>
    <t xml:space="preserve">REV I.2-5</t>
  </si>
  <si>
    <t xml:space="preserve">AIA-14.1.03</t>
  </si>
  <si>
    <t xml:space="preserve">Item auto-flag rules implemented: discrimination below 0.15 or facility outside 0.1 to 0.95 pulls the item to human review, thresholds ratified by the review board</t>
  </si>
  <si>
    <t xml:space="preserve">Flag-rule test log and ratification record</t>
  </si>
  <si>
    <t xml:space="preserve">Fixture item violating either bound is pulled and queued; thresholds ratified in writing</t>
  </si>
  <si>
    <t xml:space="preserve">REV I.2-5 proposed bounds</t>
  </si>
  <si>
    <t xml:space="preserve">AIA-14.1.04</t>
  </si>
  <si>
    <t xml:space="preserve">Translated-item re-validation workflow implemented: each language variant carries its own psychometrics and cannot ship on the source language's statistics</t>
  </si>
  <si>
    <t xml:space="preserve">Workflow record for one translated item</t>
  </si>
  <si>
    <t xml:space="preserve">Translated variant without own validation blocked from certification use</t>
  </si>
  <si>
    <t xml:space="preserve">LOOP 31.5; HS-12; R-024</t>
  </si>
  <si>
    <t xml:space="preserve">AIA-14.1.05</t>
  </si>
  <si>
    <t xml:space="preserve">Bank health report implemented: item exposure, flag rate, review backlog, and per-language validation coverage</t>
  </si>
  <si>
    <t xml:space="preserve">Report output</t>
  </si>
  <si>
    <t xml:space="preserve">Report renders all four measures on fixture data; scheduled delivery configured</t>
  </si>
  <si>
    <t xml:space="preserve">AIA-14.1.06</t>
  </si>
  <si>
    <t xml:space="preserve">Exit-gate evidence bundle assembled and reviewed for the item banking task</t>
  </si>
  <si>
    <t xml:space="preserve">AIA-15.1.01</t>
  </si>
  <si>
    <t xml:space="preserve">M27 AI question generation</t>
  </si>
  <si>
    <t xml:space="preserve">Governed generation pipeline</t>
  </si>
  <si>
    <t xml:space="preserve">Question-generation pipeline implemented via the shared inference service with pinned model and prompt versions recorded on every generated item</t>
  </si>
  <si>
    <t xml:space="preserve">AIA-03.1.01, AIA-14.1.01</t>
  </si>
  <si>
    <t xml:space="preserve">Generated items with version metadata</t>
  </si>
  <si>
    <t xml:space="preserve">100 percent of generated items carry model and prompt versions</t>
  </si>
  <si>
    <t xml:space="preserve">PLAN M8 later-bullet; MOD-009</t>
  </si>
  <si>
    <t xml:space="preserve">AIA-15.1.02</t>
  </si>
  <si>
    <t xml:space="preserve">P2 review gate enforced: 100 percent human review of generated items before learner exposure, with sampling permitted only after measured escape-rate evidence and never below 100 percent for certification items</t>
  </si>
  <si>
    <t xml:space="preserve">Review-gate config and audit query</t>
  </si>
  <si>
    <t xml:space="preserve">Zero unreviewed generated items reachable by learners in test; certification-item rule hard-coded</t>
  </si>
  <si>
    <t xml:space="preserve">HR-3; REV I.2-5; LOOP 27.5</t>
  </si>
  <si>
    <t xml:space="preserve">AIA-15.1.03</t>
  </si>
  <si>
    <t xml:space="preserve">Generated-item provenance recorded: source manual revision, generating model version, and reviewing SME on every item entering the bank</t>
  </si>
  <si>
    <t xml:space="preserve">AIA-15.1.02, PLT-03.1.02</t>
  </si>
  <si>
    <t xml:space="preserve">Provenance fields on fixture items</t>
  </si>
  <si>
    <t xml:space="preserve">Provenance complete on 100 percent of sampled generated items</t>
  </si>
  <si>
    <t xml:space="preserve">MOD-013; Scenario 10</t>
  </si>
  <si>
    <t xml:space="preserve">AIA-15.1.04</t>
  </si>
  <si>
    <t xml:space="preserve">Generation validity evaluation run per language on the fixture corpus with SME scoring of a defined sample</t>
  </si>
  <si>
    <t xml:space="preserve">AIA-15.1.01, AIA-04.1.02</t>
  </si>
  <si>
    <t xml:space="preserve">Validity eval report</t>
  </si>
  <si>
    <t xml:space="preserve">Validity score per language recorded against a ratified minimum; failures block that language</t>
  </si>
  <si>
    <t xml:space="preserve">LOOP 31.4; MOD-010</t>
  </si>
  <si>
    <t xml:space="preserve">AIA-15.1.05</t>
  </si>
  <si>
    <t xml:space="preserve">Exit-gate evidence bundle assembled and reviewed for the question generation task</t>
  </si>
  <si>
    <t xml:space="preserve">AIA-16.1.01</t>
  </si>
  <si>
    <t xml:space="preserve">M27 semantic grading governance</t>
  </si>
  <si>
    <t xml:space="preserve">Determinism and routing</t>
  </si>
  <si>
    <t xml:space="preserve">Deterministic serving configuration implemented for the grading priority class: temperature zero and fixed seed on the pinned grading model</t>
  </si>
  <si>
    <t xml:space="preserve">Serving config in IaC</t>
  </si>
  <si>
    <t xml:space="preserve">Config verified in deployment; grading calls provably use the deterministic profile</t>
  </si>
  <si>
    <t xml:space="preserve">REV I.2-1</t>
  </si>
  <si>
    <t xml:space="preserve">AIA-16.1.02</t>
  </si>
  <si>
    <t xml:space="preserve">Run-to-run variance measured: 20 repeated runs on the grading fixture set on the quantized enclave model with band-assignment agreement at or above 99 percent as the gate</t>
  </si>
  <si>
    <t xml:space="preserve">AIA-16.1.01, AIA-04.1.04</t>
  </si>
  <si>
    <t xml:space="preserve">Variance measurement report</t>
  </si>
  <si>
    <t xml:space="preserve">Agreement at or above 99 percent recorded; below-gate result blocks semantic grading release</t>
  </si>
  <si>
    <t xml:space="preserve">REV I.2-1; LOOP 12</t>
  </si>
  <si>
    <t xml:space="preserve">AIA-16.1.03</t>
  </si>
  <si>
    <t xml:space="preserve">Confidence-banded routing implemented: auto-accept only above the validated threshold, all lower-confidence grades routed to the human-review queue</t>
  </si>
  <si>
    <t xml:space="preserve">Routing test log</t>
  </si>
  <si>
    <t xml:space="preserve">Fixture grades route per band with zero misroutes; queue receives all sub-threshold grades</t>
  </si>
  <si>
    <t xml:space="preserve">REV I.2-2; HR-2</t>
  </si>
  <si>
    <t xml:space="preserve">AIA-16.1.04</t>
  </si>
  <si>
    <t xml:space="preserve">Uncalibrated default active: 100 percent of semantic grades human-confirmed until the calibration study is ratified, and the threshold change itself is a reviewed governance decision</t>
  </si>
  <si>
    <t xml:space="preserve">Default config and calibration study record</t>
  </si>
  <si>
    <t xml:space="preserve">Default verified in config; threshold change shows study reference and approver</t>
  </si>
  <si>
    <t xml:space="preserve">REV I.2-2 safe default</t>
  </si>
  <si>
    <t xml:space="preserve">AIA-16.1.05</t>
  </si>
  <si>
    <t xml:space="preserve">Deterministic fallback implemented and chaos-tested: GPU node killed mid-grading engages the rubric scorer and saturation defers rather than drops grading</t>
  </si>
  <si>
    <t xml:space="preserve">AIA-13.1.05, AIA-03.1.05</t>
  </si>
  <si>
    <t xml:space="preserve">Zero lost grading jobs across kill and saturation tests; fallback grades marked</t>
  </si>
  <si>
    <t xml:space="preserve">REV J.4 chaos 7; Scenario 11</t>
  </si>
  <si>
    <t xml:space="preserve">AIA-16.2.01</t>
  </si>
  <si>
    <t xml:space="preserve">Fairness and adversarial answers</t>
  </si>
  <si>
    <t xml:space="preserve">Grading fairness measured on the fixture taxonomy including Hinglish, second-language, and vernacular answers, with maximum inter-group mean difference at or below 3 points per 100 on content-equivalent answers</t>
  </si>
  <si>
    <t xml:space="preserve">AIA-04.1.04, AIA-16.1.02</t>
  </si>
  <si>
    <t xml:space="preserve">Fairness slice report</t>
  </si>
  <si>
    <t xml:space="preserve">All group deltas within bound or semantic grading blocked for the affected language</t>
  </si>
  <si>
    <t xml:space="preserve">REV I.2-4; LOOP 31.4; HS-12</t>
  </si>
  <si>
    <t xml:space="preserve">AIA-16.2.02</t>
  </si>
  <si>
    <t xml:space="preserve">Student answers templated as inert data in grading prompts, and the grade-manipulation adversarial suite green on hosted and local models</t>
  </si>
  <si>
    <t xml:space="preserve">AIA-04.1.03, AIA-16.1.01</t>
  </si>
  <si>
    <t xml:space="preserve">Adversarial grading test report</t>
  </si>
  <si>
    <t xml:space="preserve">Zero successful grade manipulations across the suite on both model classes</t>
  </si>
  <si>
    <t xml:space="preserve">REV I.2-6; Scenario 9</t>
  </si>
  <si>
    <t xml:space="preserve">AIA-16.2.03</t>
  </si>
  <si>
    <t xml:space="preserve">Exit-gate evidence bundle assembled and reviewed for the semantic grading task</t>
  </si>
  <si>
    <t xml:space="preserve">AIA-17.1.01</t>
  </si>
  <si>
    <t xml:space="preserve">M27 data audit and tenancy</t>
  </si>
  <si>
    <t xml:space="preserve">Version audit and isolation</t>
  </si>
  <si>
    <t xml:space="preserve">Version-stamp audit query implemented proving 100 percent of AI-influenced grades carry the full version block</t>
  </si>
  <si>
    <t xml:space="preserve">Audit query output on test grades</t>
  </si>
  <si>
    <t xml:space="preserve">Query over all test-period grades returns zero records missing any version field</t>
  </si>
  <si>
    <t xml:space="preserve">REV D2 M27 acceptance; HS-4</t>
  </si>
  <si>
    <t xml:space="preserve">AIA-17.1.02</t>
  </si>
  <si>
    <t xml:space="preserve">Grade events emitted through M3 with envelope idempotency keys and registered with the reconciliation service comparators</t>
  </si>
  <si>
    <t xml:space="preserve">FND-07.1.01, PLT-04.1.02</t>
  </si>
  <si>
    <t xml:space="preserve">Envelope-valid grade events and comparator config</t>
  </si>
  <si>
    <t xml:space="preserve">Duplicate submission produces one grade record; comparator sees M27 grades</t>
  </si>
  <si>
    <t xml:space="preserve">MOD-004; MOD-007</t>
  </si>
  <si>
    <t xml:space="preserve">AIA-17.1.03</t>
  </si>
  <si>
    <t xml:space="preserve">Grade writes and grade changes recorded through the hash-chained audit service including reviewer identity for human-confirmed grades</t>
  </si>
  <si>
    <t xml:space="preserve">PLT-02.1.03</t>
  </si>
  <si>
    <t xml:space="preserve">Audit chain extract for fixture grades</t>
  </si>
  <si>
    <t xml:space="preserve">Every fixture grade write and change appears in the chain with actor identity</t>
  </si>
  <si>
    <t xml:space="preserve">AIA-17.1.04</t>
  </si>
  <si>
    <t xml:space="preserve">Tenant isolation negative tests executed on item bank and grading stores with RLS active</t>
  </si>
  <si>
    <t xml:space="preserve">PLT-01.3.01, AIA-14.1.01</t>
  </si>
  <si>
    <t xml:space="preserve">Zero cross-tenant reads or writes across the probe suite</t>
  </si>
  <si>
    <t xml:space="preserve">AIA-17.1.05</t>
  </si>
  <si>
    <t xml:space="preserve">Human-review queue staffing model documented: reviewers times items per day against projected grading volume, approved before semantic grading launch</t>
  </si>
  <si>
    <t xml:space="preserve">Staffing model doc</t>
  </si>
  <si>
    <t xml:space="preserve">Model shows queue capacity meets projected volume with named staffing source; approved</t>
  </si>
  <si>
    <t xml:space="preserve">REV I.6 staffing math; R-014</t>
  </si>
  <si>
    <t xml:space="preserve">AIA-17.1.06</t>
  </si>
  <si>
    <t xml:space="preserve">Exit-gate evidence bundle assembled and reviewed for the M27 data and audit task</t>
  </si>
  <si>
    <t xml:space="preserve">AIA-18.1.01</t>
  </si>
  <si>
    <t xml:space="preserve">M27 ops and handoff</t>
  </si>
  <si>
    <t xml:space="preserve">M27 metrics live: grading latency, deferral rate, review-queue depth, fallback engagement rate, and overturn rate with drift alarm on overturn rate</t>
  </si>
  <si>
    <t xml:space="preserve">PLT-06.1.01, AIA-04.2.04</t>
  </si>
  <si>
    <t xml:space="preserve">Dashboard and alarm test</t>
  </si>
  <si>
    <t xml:space="preserve">All five metrics visible; overturn-rate alarm fired once in test</t>
  </si>
  <si>
    <t xml:space="preserve">AIA-18.1.02</t>
  </si>
  <si>
    <t xml:space="preserve">Grading model version pinned per enclave and every model update executed as a change-controlled event with regression re-grade of the fixture set before activation</t>
  </si>
  <si>
    <t xml:space="preserve">AIA-03.2.01, AIA-16.1.02</t>
  </si>
  <si>
    <t xml:space="preserve">Change-control record for one model update</t>
  </si>
  <si>
    <t xml:space="preserve">Update activation blocked until regression re-grade green; record links eval run</t>
  </si>
  <si>
    <t xml:space="preserve">REV I.2-3; LOOP 25.3</t>
  </si>
  <si>
    <t xml:space="preserve">AIA-18.1.03</t>
  </si>
  <si>
    <t xml:space="preserve">Enclave install of M27 from the signed release bundle verified with zero network egress</t>
  </si>
  <si>
    <t xml:space="preserve">Egress CI log for M27 install</t>
  </si>
  <si>
    <t xml:space="preserve">Zero egress alarms during install and first grading run on the enclave rig</t>
  </si>
  <si>
    <t xml:space="preserve">AIA-18.1.04</t>
  </si>
  <si>
    <t xml:space="preserve">M27 rollback rehearsed: service and grading-model rollback to last good state with in-flight grades preserved</t>
  </si>
  <si>
    <t xml:space="preserve">Rollback completes within stated bound; zero in-flight grades lost</t>
  </si>
  <si>
    <t xml:space="preserve">J.5 gate 11</t>
  </si>
  <si>
    <t xml:space="preserve">AIA-18.1.05</t>
  </si>
  <si>
    <t xml:space="preserve">M27 documentation published: API docs, grading governance guide, reviewer guide for the human queue, operator runbook, and P4 training notes</t>
  </si>
  <si>
    <t xml:space="preserve">Reviewer completes a queue session using only the guide; runbook walked by non-author</t>
  </si>
  <si>
    <t xml:space="preserve">AIA-18.1.06</t>
  </si>
  <si>
    <t xml:space="preserve">Exit-gate evidence bundle assembled and reviewed for the M27 ops and handoff task</t>
  </si>
  <si>
    <t xml:space="preserve">AIA-19.1.01</t>
  </si>
  <si>
    <t xml:space="preserve">M28</t>
  </si>
  <si>
    <t xml:space="preserve">M28 sequencing contracts and policy</t>
  </si>
  <si>
    <t xml:space="preserve">Policy and input contracts</t>
  </si>
  <si>
    <t xml:space="preserve">Sequencing policy document approved by the instructional-design owner: explainability requirements, maximum path-change budget per session, instructor override rights, endless-remediation prevention, and the non-removable required-content rule</t>
  </si>
  <si>
    <t xml:space="preserve">Signed sequencing policy v1</t>
  </si>
  <si>
    <t xml:space="preserve">All five policy elements present with numeric budget; signed by named owner</t>
  </si>
  <si>
    <t xml:space="preserve">REV D2 M28 entry criteria; LOOP 12</t>
  </si>
  <si>
    <t xml:space="preserve">AIA-19.1.02</t>
  </si>
  <si>
    <t xml:space="preserve">Input contracts adopted with staleness bounds: M11 risk signal with version and confidence, M17 event data, M18 catalogue metadata, M19 competency state, and M20 profile</t>
  </si>
  <si>
    <t xml:space="preserve">Contract registry consumption entries</t>
  </si>
  <si>
    <t xml:space="preserve">Each of the five inputs has a versioned contract reference and a numeric staleness bound</t>
  </si>
  <si>
    <t xml:space="preserve">REV D2 M28; PER-01.1.01 pattern</t>
  </si>
  <si>
    <t xml:space="preserve">AIA-19.1.03</t>
  </si>
  <si>
    <t xml:space="preserve">Sequencing decision-log schema defined: full input snapshot references, rule and model version, human-readable rationale, and reproducibility fields</t>
  </si>
  <si>
    <t xml:space="preserve">Decision-log schema v1</t>
  </si>
  <si>
    <t xml:space="preserve">A fixture decision replayed from its log reproduces the same output</t>
  </si>
  <si>
    <t xml:space="preserve">REV D2 M28 acceptance</t>
  </si>
  <si>
    <t xml:space="preserve">AIA-19.1.04</t>
  </si>
  <si>
    <t xml:space="preserve">Entry gate verified before M28 build: M18 and M19 v1 schemas frozen and published, recorded as a checked precondition</t>
  </si>
  <si>
    <t xml:space="preserve">Entry-gate check record with schema version references</t>
  </si>
  <si>
    <t xml:space="preserve">Record cites published M18 and M19 v1 registry entries dated before first M28 build commit</t>
  </si>
  <si>
    <t xml:space="preserve">HS-5; R-001; MOD-003</t>
  </si>
  <si>
    <t xml:space="preserve">AIA-19.1.05</t>
  </si>
  <si>
    <t xml:space="preserve">Conformance tests for M28 contracts wired into CI before build items start</t>
  </si>
  <si>
    <t xml:space="preserve">AIA-19.1.06</t>
  </si>
  <si>
    <t xml:space="preserve">Exit-gate evidence bundle assembled and reviewed for the M28 contracts task</t>
  </si>
  <si>
    <t xml:space="preserve">AIA-20.1.01</t>
  </si>
  <si>
    <t xml:space="preserve">M28 sequencer build</t>
  </si>
  <si>
    <t xml:space="preserve">Explainable TLA-native sequencing</t>
  </si>
  <si>
    <t xml:space="preserve">Sequencer implemented consuming ELRR events, ECC catalogue metadata, M19 competency state, M20 profile, and M11 risk signals per the adopted contracts</t>
  </si>
  <si>
    <t xml:space="preserve">Sequencer passing contract tests</t>
  </si>
  <si>
    <t xml:space="preserve">Sequencing decisions produced on fixture TLA data from all five inputs</t>
  </si>
  <si>
    <t xml:space="preserve">REV D2 M28 purpose; MP 2.2 M28</t>
  </si>
  <si>
    <t xml:space="preserve">AIA-20.1.02</t>
  </si>
  <si>
    <t xml:space="preserve">Every sequencing decision logged reproducibly with a human-readable rationale naming the triggering evidence</t>
  </si>
  <si>
    <t xml:space="preserve">AIA-20.1.01, AIA-19.1.03</t>
  </si>
  <si>
    <t xml:space="preserve">Decision-log samples</t>
  </si>
  <si>
    <t xml:space="preserve">20 sampled decisions each replay to the same output and show a rationale a teacher can read</t>
  </si>
  <si>
    <t xml:space="preserve">AIA-20.1.03</t>
  </si>
  <si>
    <t xml:space="preserve">Instructor override implemented: any adaptive change visible, reversible by the instructor, and audited, with learner-visible explanation of path changes</t>
  </si>
  <si>
    <t xml:space="preserve">AIA-20.1.02, PLT-02.1.03</t>
  </si>
  <si>
    <t xml:space="preserve">Override demo and audit extract</t>
  </si>
  <si>
    <t xml:space="preserve">Override reverses a change and appears in the audit chain; learner sees the change reason</t>
  </si>
  <si>
    <t xml:space="preserve">HR-6; REV I.4-4</t>
  </si>
  <si>
    <t xml:space="preserve">AIA-20.1.04</t>
  </si>
  <si>
    <t xml:space="preserve">Remediation loop detector implemented: same remediation node reached twice escalates to the instructor and stops adapting for that objective</t>
  </si>
  <si>
    <t xml:space="preserve">Loop-detector test log</t>
  </si>
  <si>
    <t xml:space="preserve">Fixture loop triggers escalation on the second recurrence; adaptation halts</t>
  </si>
  <si>
    <t xml:space="preserve">REV I.4-3; LOOP 12</t>
  </si>
  <si>
    <t xml:space="preserve">AIA-20.1.05</t>
  </si>
  <si>
    <t xml:space="preserve">Required-content invariant enforced in the sequencer with an automated invariant test proving no learner path drops a mandatory activity</t>
  </si>
  <si>
    <t xml:space="preserve">Invariant test suite run</t>
  </si>
  <si>
    <t xml:space="preserve">Invariant test green across the fixture cohort; violation build-breaks</t>
  </si>
  <si>
    <t xml:space="preserve">REV D2 M28 acceptance; LOOP 12</t>
  </si>
  <si>
    <t xml:space="preserve">AIA-20.1.06</t>
  </si>
  <si>
    <t xml:space="preserve">Per-session path-change budget enforced: changes beyond the budget require instructor approval before taking effect</t>
  </si>
  <si>
    <t xml:space="preserve">Budget enforcement test log</t>
  </si>
  <si>
    <t xml:space="preserve">Over-budget change held for approval in test; within-budget changes apply</t>
  </si>
  <si>
    <t xml:space="preserve">HR-6; REV I.4-3</t>
  </si>
  <si>
    <t xml:space="preserve">AIA-20.1.07</t>
  </si>
  <si>
    <t xml:space="preserve">Rule and model version recorded on every published sequencing decision for downstream correction traceability</t>
  </si>
  <si>
    <t xml:space="preserve">Version fields in decision logs</t>
  </si>
  <si>
    <t xml:space="preserve">100 percent of sampled decisions carry rule-set version and input-window reference</t>
  </si>
  <si>
    <t xml:space="preserve">REV I.3-5; LOOP 12</t>
  </si>
  <si>
    <t xml:space="preserve">AIA-20.1.08</t>
  </si>
  <si>
    <t xml:space="preserve">Exit-gate evidence bundle assembled and reviewed for the M28 build task</t>
  </si>
  <si>
    <t xml:space="preserve">AIA-21.1.01</t>
  </si>
  <si>
    <t xml:space="preserve">M28 outcome evaluation and fairness</t>
  </si>
  <si>
    <t xml:space="preserve">Evidence that personalization works</t>
  </si>
  <si>
    <t xml:space="preserve">Intervention tracking implemented: every sequencing intervention linked to the action taken and subsequent learner performance so the loop is evaluable</t>
  </si>
  <si>
    <t xml:space="preserve">Intervention-outcome linkage query</t>
  </si>
  <si>
    <t xml:space="preserve">For fixture cohort, every intervention resolves to an outcome record or an explicit no-action record</t>
  </si>
  <si>
    <t xml:space="preserve">REV I.3-1; LOOP 12; Q11</t>
  </si>
  <si>
    <t xml:space="preserve">AIA-21.1.02</t>
  </si>
  <si>
    <t xml:space="preserve">Outcome evaluation design versus the P3 baseline approved: contemporaneous comparison cohort, named confounders, and minimum detectable effect at achievable sample size</t>
  </si>
  <si>
    <t xml:space="preserve">Approved evaluation design doc</t>
  </si>
  <si>
    <t xml:space="preserve">Design names baseline source, cohort rule, confounders, and MDE; approved by measurement acceptor</t>
  </si>
  <si>
    <t xml:space="preserve">REV I.8 MOE validity; P3 link</t>
  </si>
  <si>
    <t xml:space="preserve">AIA-21.1.03</t>
  </si>
  <si>
    <t xml:space="preserve">Pilot-cohort replay audit executed: every sequencing decision in the pilot window reproduced from logged inputs by an independent engineer</t>
  </si>
  <si>
    <t xml:space="preserve">Replay audit report</t>
  </si>
  <si>
    <t xml:space="preserve">100 percent of sampled pilot decisions reproduce identically; discrepancies filed as defects</t>
  </si>
  <si>
    <t xml:space="preserve">AIA-21.1.04</t>
  </si>
  <si>
    <t xml:space="preserve">Federated-skew handling implemented: sequencing rules tuned and validated separately for connected and enclave populations, with the M11 data-completeness qualifier consumed before acting on risk signals</t>
  </si>
  <si>
    <t xml:space="preserve">Per-population validation report</t>
  </si>
  <si>
    <t xml:space="preserve">Enclave population uses its own validated rule set; incomplete-data signals suppressed or caveated</t>
  </si>
  <si>
    <t xml:space="preserve">LOOP 12 federated skew; Scenario 5</t>
  </si>
  <si>
    <t xml:space="preserve">AIA-21.1.05</t>
  </si>
  <si>
    <t xml:space="preserve">Sequencing disparity report implemented across language, connectivity class, and accommodation cohorts with an investigation trigger on divergence</t>
  </si>
  <si>
    <t xml:space="preserve">First disparity report</t>
  </si>
  <si>
    <t xml:space="preserve">Report renders per-cohort intervention rates; trigger threshold documented and armed</t>
  </si>
  <si>
    <t xml:space="preserve">REV I.7-4; I.3-4</t>
  </si>
  <si>
    <t xml:space="preserve">AIA-21.1.06</t>
  </si>
  <si>
    <t xml:space="preserve">Exit-gate evidence bundle assembled and reviewed for the M28 evaluation task</t>
  </si>
  <si>
    <t xml:space="preserve">AIA-22.1.01</t>
  </si>
  <si>
    <t xml:space="preserve">M28 data security ops handoff</t>
  </si>
  <si>
    <t xml:space="preserve">Isolation, observability, deployment, docs</t>
  </si>
  <si>
    <t xml:space="preserve">Tenant isolation negative tests executed on sequencing state and decision-log stores with RLS active</t>
  </si>
  <si>
    <t xml:space="preserve">PLT-01.3.01, AIA-20.1.01</t>
  </si>
  <si>
    <t xml:space="preserve">AIA-22.1.02</t>
  </si>
  <si>
    <t xml:space="preserve">Decision logs retained tenant-scoped per policy and high-impact sequencing actions written to the audit service</t>
  </si>
  <si>
    <t xml:space="preserve">PLT-02.1.03, AIA-20.1.02</t>
  </si>
  <si>
    <t xml:space="preserve">Retention config and audit extract</t>
  </si>
  <si>
    <t xml:space="preserve">Retention job verified; override and budget-breach events appear in the audit chain</t>
  </si>
  <si>
    <t xml:space="preserve">AIA-22.1.03</t>
  </si>
  <si>
    <t xml:space="preserve">M28 metrics and SLO live: decision latency, override rate, loop-escalation rate, and input staleness, with alerts and an operator runbook</t>
  </si>
  <si>
    <t xml:space="preserve">PLT-06.1.01</t>
  </si>
  <si>
    <t xml:space="preserve">Dashboard and runbook</t>
  </si>
  <si>
    <t xml:space="preserve">All four metrics visible; runbook walked by a non-author operator</t>
  </si>
  <si>
    <t xml:space="preserve">AIA-22.1.04</t>
  </si>
  <si>
    <t xml:space="preserve">M28 kill switch verified: sequencer reverts to static course order via feature flag without redeploy and without dropping learner state</t>
  </si>
  <si>
    <t xml:space="preserve">Flag flip reverts to static ordering in test; learner progress intact</t>
  </si>
  <si>
    <t xml:space="preserve">PLT flags lane</t>
  </si>
  <si>
    <t xml:space="preserve">AIA-22.1.05</t>
  </si>
  <si>
    <t xml:space="preserve">Enclave install of M28 from the signed release bundle verified with zero network egress</t>
  </si>
  <si>
    <t xml:space="preserve">Egress CI log for M28 install</t>
  </si>
  <si>
    <t xml:space="preserve">Zero egress alarms during install and first sequencing run on the enclave rig</t>
  </si>
  <si>
    <t xml:space="preserve">AIA-22.1.06</t>
  </si>
  <si>
    <t xml:space="preserve">M28 documentation published: sequencing policy, API docs, instructor guide for override and explanations, operator runbook, and P4 training notes</t>
  </si>
  <si>
    <t xml:space="preserve">Instructor completes an override using only the guide; P4 notes accepted</t>
  </si>
  <si>
    <t xml:space="preserve">AIA-22.1.07</t>
  </si>
  <si>
    <t xml:space="preserve">Exit-gate evidence bundle assembled and reviewed for the M28 ops task</t>
  </si>
  <si>
    <t xml:space="preserve">AIA-23.1.01</t>
  </si>
  <si>
    <t xml:space="preserve">M29</t>
  </si>
  <si>
    <t xml:space="preserve">M29 evidence model and record contracts</t>
  </si>
  <si>
    <t xml:space="preserve">Evidence ladder and official-record schema</t>
  </si>
  <si>
    <t xml:space="preserve">Evidence model defined per the evidence ladder from participation through certification, stating the minimum admissible evidence level per record type, and approved by the assessment governance owner</t>
  </si>
  <si>
    <t xml:space="preserve">Approved evidence-model doc</t>
  </si>
  <si>
    <t xml:space="preserve">Every record type maps to a minimum ladder rung; official records require application level or above</t>
  </si>
  <si>
    <t xml:space="preserve">LOOP 13; REV I.8; REV D2 M29 gaps</t>
  </si>
  <si>
    <t xml:space="preserve">AIA-23.1.02</t>
  </si>
  <si>
    <t xml:space="preserve">Official-record schema published: M19 competency ID plus framework version, evidence links, model and rubric versions, and named human approver, all mandatory with reject-on-missing</t>
  </si>
  <si>
    <t xml:space="preserve">AIA-23.1.01, PLT-05.1.02</t>
  </si>
  <si>
    <t xml:space="preserve">Record write missing any mandatory field is rejected in contract validation</t>
  </si>
  <si>
    <t xml:space="preserve">HS-4; Scenario 10; MOD-013</t>
  </si>
  <si>
    <t xml:space="preserve">AIA-23.1.03</t>
  </si>
  <si>
    <t xml:space="preserve">M35 evidence admissibility criteria defined: capture-fidelity validation passed, tamper-evident hash-chained logs, and raw-capture replay available before walkthrough evidence may enter an official record</t>
  </si>
  <si>
    <t xml:space="preserve">Admissibility criteria doc</t>
  </si>
  <si>
    <t xml:space="preserve">Criteria name the three conditions with measurable checks; unvalidated M35 data is activity data only</t>
  </si>
  <si>
    <t xml:space="preserve">REV I.5; Scenario 15; REV D2 M29</t>
  </si>
  <si>
    <t xml:space="preserve">AIA-23.1.04</t>
  </si>
  <si>
    <t xml:space="preserve">Revocation and amendment flow defined with M17 federation propagation SLA and delivery receipts, as append-only events</t>
  </si>
  <si>
    <t xml:space="preserve">Revocation flow contract</t>
  </si>
  <si>
    <t xml:space="preserve">Flow covers amend, revoke, and receipt; SLA numeric per deployment class</t>
  </si>
  <si>
    <t xml:space="preserve">Scenario 12; Final Challenge Q8; MOD-007</t>
  </si>
  <si>
    <t xml:space="preserve">AIA-23.1.05</t>
  </si>
  <si>
    <t xml:space="preserve">Framework-version resolution rule defined: historical records resolve to their original M19 definition after a framework upgrade</t>
  </si>
  <si>
    <t xml:space="preserve">Resolution rule in contract</t>
  </si>
  <si>
    <t xml:space="preserve">Rule testable: upgraded fixture framework leaves historical record resolving to original version</t>
  </si>
  <si>
    <t xml:space="preserve">REV D2 M19 acceptance a</t>
  </si>
  <si>
    <t xml:space="preserve">AIA-23.1.06</t>
  </si>
  <si>
    <t xml:space="preserve">Conformance tests for M29 contracts wired into CI before build items start</t>
  </si>
  <si>
    <t xml:space="preserve">AIA-23.1.07</t>
  </si>
  <si>
    <t xml:space="preserve">Exit-gate evidence bundle assembled and reviewed for the M29 contracts task</t>
  </si>
  <si>
    <t xml:space="preserve">AIA-24.1.01</t>
  </si>
  <si>
    <t xml:space="preserve">M29 record writing build</t>
  </si>
  <si>
    <t xml:space="preserve">Evidence-chained official records</t>
  </si>
  <si>
    <t xml:space="preserve">Official-record write implemented through M3 with every write sealed in the hash-chained audit service</t>
  </si>
  <si>
    <t xml:space="preserve">AIA-23.1.02, PLT-02.1.02</t>
  </si>
  <si>
    <t xml:space="preserve">Record writes with audit chain extract</t>
  </si>
  <si>
    <t xml:space="preserve">Every fixture record write appears in the chain; chain verification green</t>
  </si>
  <si>
    <t xml:space="preserve">MOD-013; HS-4</t>
  </si>
  <si>
    <t xml:space="preserve">AIA-24.1.02</t>
  </si>
  <si>
    <t xml:space="preserve">Named-approver enforcement implemented: any record with AI input in its evidence chain requires a recorded human approver, and the write is rejected otherwise</t>
  </si>
  <si>
    <t xml:space="preserve">AIA-24.1.01, AIA-13.1.04</t>
  </si>
  <si>
    <t xml:space="preserve">HR-1 enforcement test log</t>
  </si>
  <si>
    <t xml:space="preserve">AI-influenced record without approver rejected; approver identity persisted on accepted records</t>
  </si>
  <si>
    <t xml:space="preserve">HR-1; HS-4; Scenario 10</t>
  </si>
  <si>
    <t xml:space="preserve">AIA-24.1.03</t>
  </si>
  <si>
    <t xml:space="preserve">Evidence-link assembly implemented: records reference M27 grades, M35 evidence meeting admissibility criteria, and quiz results, each with their version stamps</t>
  </si>
  <si>
    <t xml:space="preserve">AIA-24.1.01, AIA-23.1.03</t>
  </si>
  <si>
    <t xml:space="preserve">Assembled fixture record with resolvable links</t>
  </si>
  <si>
    <t xml:space="preserve">Every evidence link on the fixture record resolves to a versioned artifact</t>
  </si>
  <si>
    <t xml:space="preserve">REV D2 M29 acceptance; R-011</t>
  </si>
  <si>
    <t xml:space="preserve">AIA-24.1.04</t>
  </si>
  <si>
    <t xml:space="preserve">Revocation and amendment implemented as append-only events propagating through M17 and M31 with receipts recorded</t>
  </si>
  <si>
    <t xml:space="preserve">Revocation event samples with receipts</t>
  </si>
  <si>
    <t xml:space="preserve">Original record preserved; revocation event visible to consumers; receipt stored</t>
  </si>
  <si>
    <t xml:space="preserve">Scenario 12; Q8</t>
  </si>
  <si>
    <t xml:space="preserve">AIA-24.1.05</t>
  </si>
  <si>
    <t xml:space="preserve">Assessor evidence-pull implemented: full evidence chain reconstructable from the record alone through a single query interface</t>
  </si>
  <si>
    <t xml:space="preserve">AIA-24.1.03, PLT-02.1.06</t>
  </si>
  <si>
    <t xml:space="preserve">Evidence-pull output for a fixture record</t>
  </si>
  <si>
    <t xml:space="preserve">Auditor reconstructs events, versions, and approver from the record ID alone</t>
  </si>
  <si>
    <t xml:space="preserve">Journey 22; MOD-013 validation</t>
  </si>
  <si>
    <t xml:space="preserve">AIA-24.1.06</t>
  </si>
  <si>
    <t xml:space="preserve">Human review of AI-suggested skill mappings retained from M12 and recorded in the audit chain</t>
  </si>
  <si>
    <t xml:space="preserve">Mapping review records</t>
  </si>
  <si>
    <t xml:space="preserve">No AI-suggested mapping finalized without reviewer identity recorded</t>
  </si>
  <si>
    <t xml:space="preserve">HR-4; PLAN M12 main-jobs</t>
  </si>
  <si>
    <t xml:space="preserve">AIA-24.1.07</t>
  </si>
  <si>
    <t xml:space="preserve">Exit-gate evidence bundle assembled and reviewed for the M29 build task</t>
  </si>
  <si>
    <t xml:space="preserve">AIA-25.1.01</t>
  </si>
  <si>
    <t xml:space="preserve">M29 audit and revocation drills</t>
  </si>
  <si>
    <t xml:space="preserve">Defensibility drills</t>
  </si>
  <si>
    <t xml:space="preserve">Journey-22 audit drill executed: an independent auditor reconstructs a randomly selected record's full evidence chain from the record alone within the defined SLA</t>
  </si>
  <si>
    <t xml:space="preserve">Drill report with timing</t>
  </si>
  <si>
    <t xml:space="preserve">Chain reconstructed complete within SLA; gaps filed as P0 defects</t>
  </si>
  <si>
    <t xml:space="preserve">Journey 22; MOD-013 validation; R-011</t>
  </si>
  <si>
    <t xml:space="preserve">AIA-25.1.02</t>
  </si>
  <si>
    <t xml:space="preserve">Scenario 10 dispute drill executed: a challenged record produces model and rubric versions, named approver, and evidence links sufficient for adjudication</t>
  </si>
  <si>
    <t xml:space="preserve">Dispute drill report</t>
  </si>
  <si>
    <t xml:space="preserve">All dispute artifacts produced from system queries alone; adjudication reached</t>
  </si>
  <si>
    <t xml:space="preserve">Scenario 10; HS-4</t>
  </si>
  <si>
    <t xml:space="preserve">AIA-25.1.03</t>
  </si>
  <si>
    <t xml:space="preserve">Revocation drill executed: a revocation propagates to a simulated enclave within the declared SLA with receipt, and revoked competency disappears from consuming views</t>
  </si>
  <si>
    <t xml:space="preserve">Revocation drill report</t>
  </si>
  <si>
    <t xml:space="preserve">Receipt within SLA; revoked record absent from gap and readiness queries post-drill</t>
  </si>
  <si>
    <t xml:space="preserve">Scenario 12; REV D2 M29 acceptance</t>
  </si>
  <si>
    <t xml:space="preserve">AIA-25.1.04</t>
  </si>
  <si>
    <t xml:space="preserve">Framework-upgrade drill executed: after an M19 framework upgrade, historical fixture records still resolve to their original definition version</t>
  </si>
  <si>
    <t xml:space="preserve">100 percent of historical fixture records resolve to original versions post-upgrade</t>
  </si>
  <si>
    <t xml:space="preserve">AIA-25.1.05</t>
  </si>
  <si>
    <t xml:space="preserve">Exit-gate evidence bundle assembled and reviewed for the M29 drills task</t>
  </si>
  <si>
    <t xml:space="preserve">AIA-26.1.01</t>
  </si>
  <si>
    <t xml:space="preserve">M29 data security ops handoff</t>
  </si>
  <si>
    <t xml:space="preserve">Isolation, retention, deployment, docs</t>
  </si>
  <si>
    <t xml:space="preserve">Tenant isolation negative tests executed on official-record stores with RLS active</t>
  </si>
  <si>
    <t xml:space="preserve">PLT-01.3.01, AIA-24.1.01</t>
  </si>
  <si>
    <t xml:space="preserve">AIA-26.1.02</t>
  </si>
  <si>
    <t xml:space="preserve">Official-record retention and WORM-class protection enforced: records immutable except by append-only amendment, with retention meeting the accreditation baseline</t>
  </si>
  <si>
    <t xml:space="preserve">AIA-24.1.04, PLT-02.1.02</t>
  </si>
  <si>
    <t xml:space="preserve">Retention config and immutability test</t>
  </si>
  <si>
    <t xml:space="preserve">Direct update or delete of a record fails; amendment path is the only mutation</t>
  </si>
  <si>
    <t xml:space="preserve">MOD-013; P1 evidence</t>
  </si>
  <si>
    <t xml:space="preserve">AIA-26.1.03</t>
  </si>
  <si>
    <t xml:space="preserve">M29 metrics live: record write rate, revocation propagation lag, review-queue depth, and rejected-write rate, with alerts and an operator runbook</t>
  </si>
  <si>
    <t xml:space="preserve">AIA-26.1.04</t>
  </si>
  <si>
    <t xml:space="preserve">Enclave install of M29 from the signed release bundle verified with zero network egress, and rollback rehearsed without record loss</t>
  </si>
  <si>
    <t xml:space="preserve">Egress CI log and rollback record</t>
  </si>
  <si>
    <t xml:space="preserve">Zero egress alarms; rollback preserves all committed records</t>
  </si>
  <si>
    <t xml:space="preserve">MOD-015; J.5 gates 11 13</t>
  </si>
  <si>
    <t xml:space="preserve">AIA-26.1.05</t>
  </si>
  <si>
    <t xml:space="preserve">M29 documentation published: evidence-model guide, assessor evidence-pull guide, API docs, operator runbook, and P4 training notes</t>
  </si>
  <si>
    <t xml:space="preserve">An assessor completes an evidence pull using only the guide; P4 notes accepted</t>
  </si>
  <si>
    <t xml:space="preserve">AIA-26.1.06</t>
  </si>
  <si>
    <t xml:space="preserve">Exit-gate evidence bundle assembled and reviewed for the M29 ops task</t>
  </si>
  <si>
    <t xml:space="preserve">ANA-01.1.01</t>
  </si>
  <si>
    <t xml:space="preserve">ANA</t>
  </si>
  <si>
    <t xml:space="preserve">Metabase platform deployment</t>
  </si>
  <si>
    <t xml:space="preserve">Base install and config-as-code</t>
  </si>
  <si>
    <t xml:space="preserve">Metabase OSS container image pinned to exact version digest and mirrored into the private registry</t>
  </si>
  <si>
    <t xml:space="preserve">Registry entry + IaC manifest referencing digest</t>
  </si>
  <si>
    <t xml:space="preserve">Image pulled by digest from private registry only; running version equals pinned version</t>
  </si>
  <si>
    <t xml:space="preserve">L3 ANA-01; PLAN M6 main-jobs</t>
  </si>
  <si>
    <t xml:space="preserve">ANA-01.1.02</t>
  </si>
  <si>
    <t xml:space="preserve">External PostgreSQL application DB provisioned for Metabase; H2 fallback verified absent</t>
  </si>
  <si>
    <t xml:space="preserve">MB_DB_* IaC config + startup log</t>
  </si>
  <si>
    <t xml:space="preserve">MB_DB_TYPE=postgres in every environment; instance fails fast when app-DB unreachable; no H2 file on disk</t>
  </si>
  <si>
    <t xml:space="preserve">L3 ANA-01</t>
  </si>
  <si>
    <t xml:space="preserve">ANA-01.1.03</t>
  </si>
  <si>
    <t xml:space="preserve">Metabase served HTTPS-only behind platform gateway with HSTS and frame-ancestors CSP configured</t>
  </si>
  <si>
    <t xml:space="preserve">Gateway route config + TLS scan report</t>
  </si>
  <si>
    <t xml:space="preserve">HTTP disabled; TLS scan grade A; CSP header present on embed responses</t>
  </si>
  <si>
    <t xml:space="preserve">L3 ANA-01; AS-4</t>
  </si>
  <si>
    <t xml:space="preserve">ANA-01.1.04</t>
  </si>
  <si>
    <t xml:space="preserve">All MB_* environment variables captured as code in IaC repo with per-environment overlays and CI drift check</t>
  </si>
  <si>
    <t xml:space="preserve">IaC repo path + green drift-check job</t>
  </si>
  <si>
    <t xml:space="preserve">Zero console-set config; drift job fails build on any live-vs-repo variance</t>
  </si>
  <si>
    <t xml:space="preserve">ANA-01.1.05</t>
  </si>
  <si>
    <t xml:space="preserve">Metabase secrets (app-DB creds, embed secret, OIDC secret) stored in platform secrets manager with runtime injection</t>
  </si>
  <si>
    <t xml:space="preserve">Vault paths + clean secrets-scan report</t>
  </si>
  <si>
    <t xml:space="preserve">Secrets scan of IaC repo finds zero Metabase secrets in plaintext</t>
  </si>
  <si>
    <t xml:space="preserve">R-sec; L3 ANA-01</t>
  </si>
  <si>
    <t xml:space="preserve">ANA-01.1.06</t>
  </si>
  <si>
    <t xml:space="preserve">JVM heap and container resources sized from documented concurrent-user model and verified under load</t>
  </si>
  <si>
    <t xml:space="preserve">Sizing memo + load-test report</t>
  </si>
  <si>
    <t xml:space="preserve">No OOM and no GC pause &gt;1s at target concurrent-session load</t>
  </si>
  <si>
    <t xml:space="preserve">ANA-01.2.01</t>
  </si>
  <si>
    <t xml:space="preserve">Keycloak OIDC SSO</t>
  </si>
  <si>
    <t xml:space="preserve">OIDC confidential client for Metabase registered in Keycloak with per-environment restricted redirect URIs</t>
  </si>
  <si>
    <t xml:space="preserve">Keycloak client export</t>
  </si>
  <si>
    <t xml:space="preserve">Login via Keycloak succeeds; wildcard redirect URIs absent</t>
  </si>
  <si>
    <t xml:space="preserve">L3 ANA-01; PLAN M1</t>
  </si>
  <si>
    <t xml:space="preserve">ANA-01.2.02</t>
  </si>
  <si>
    <t xml:space="preserve">JWT group/role mapping design decided and documented (Keycloak groups to Metabase groups per tenant and role)</t>
  </si>
  <si>
    <t xml:space="preserve">Signed mapping design doc</t>
  </si>
  <si>
    <t xml:space="preserve">Mapping doc approved by Security Engineer; covers all five BI roles per tenant</t>
  </si>
  <si>
    <t xml:space="preserve">L3 ANA-01; MOD-008</t>
  </si>
  <si>
    <t xml:space="preserve">ANA-01.2.03</t>
  </si>
  <si>
    <t xml:space="preserve">Group-claim mapping implemented; first login places user in correct Metabase group automatically</t>
  </si>
  <si>
    <t xml:space="preserve">Test run recording group assignment</t>
  </si>
  <si>
    <t xml:space="preserve">New Keycloak user lands in mapped Metabase group with zero manual steps</t>
  </si>
  <si>
    <t xml:space="preserve">ANA-01.2.04</t>
  </si>
  <si>
    <t xml:space="preserve">Break-glass local admin policy implemented: single sealed account, vaulted password, alert on use</t>
  </si>
  <si>
    <t xml:space="preserve">Vault entry + alert rule + policy doc</t>
  </si>
  <si>
    <t xml:space="preserve">Local admin login fires alert within 5 min; no other local accounts exist</t>
  </si>
  <si>
    <t xml:space="preserve">R-sec</t>
  </si>
  <si>
    <t xml:space="preserve">ANA-01.2.05</t>
  </si>
  <si>
    <t xml:space="preserve">SSO negative tests passed: disabled Keycloak user cannot log in; group removal revokes collection access</t>
  </si>
  <si>
    <t xml:space="preserve">Negative-test run log</t>
  </si>
  <si>
    <t xml:space="preserve">Both negative cases fail closed within one session refresh</t>
  </si>
  <si>
    <t xml:space="preserve">ANA-01.3.01</t>
  </si>
  <si>
    <t xml:space="preserve">App-DB backup and dashboards-as-code</t>
  </si>
  <si>
    <t xml:space="preserve">Automated daily backup of Metabase app-DB with retention policy and off-node storage</t>
  </si>
  <si>
    <t xml:space="preserve">Backup job config + success history</t>
  </si>
  <si>
    <t xml:space="preserve">7 consecutive daily backups verified restorable-size and checksummed</t>
  </si>
  <si>
    <t xml:space="preserve">ANA-01.3.02</t>
  </si>
  <si>
    <t xml:space="preserve">App-DB restore drill executed onto clean instance; dashboards, questions, permissions verified intact</t>
  </si>
  <si>
    <t xml:space="preserve">Restore completes within 4h RTO; 100% of spot-check checklist passes</t>
  </si>
  <si>
    <t xml:space="preserve">ANA-01.3.03</t>
  </si>
  <si>
    <t xml:space="preserve">CI job exports dashboards/questions/collections as code (Metabase serialization) to git on every release</t>
  </si>
  <si>
    <t xml:space="preserve">Green CI job + versioned export in git</t>
  </si>
  <si>
    <t xml:space="preserve">Export runs on every release tag; diff reviewable in PR</t>
  </si>
  <si>
    <t xml:space="preserve">ANA-01.3.04</t>
  </si>
  <si>
    <t xml:space="preserve">Rebuild-from-export drill: empty instance rehydrated from serialized export with zero content diff vs source</t>
  </si>
  <si>
    <t xml:space="preserve">Drill report + diff output</t>
  </si>
  <si>
    <t xml:space="preserve">Rehydrated instance diff vs source instance is empty for dashboards/questions/permissions</t>
  </si>
  <si>
    <t xml:space="preserve">ANA-01.4.01</t>
  </si>
  <si>
    <t xml:space="preserve">Upgrade and rollback procedure</t>
  </si>
  <si>
    <t xml:space="preserve">Upgrade procedure documented: version-pin policy, pre-upgrade app-DB snapshot, post-upgrade regression checklist</t>
  </si>
  <si>
    <t xml:space="preserve">Procedure doc in ops repo</t>
  </si>
  <si>
    <t xml:space="preserve">Doc reviewed by BI Engineer and DevSecOps Engineer; checklist has binary steps only</t>
  </si>
  <si>
    <t xml:space="preserve">ANA-01.4.02</t>
  </si>
  <si>
    <t xml:space="preserve">Upgrade rehearsal executed on staging (pinned N to N+1) with dashboard regression checklist green</t>
  </si>
  <si>
    <t xml:space="preserve">Rehearsal report</t>
  </si>
  <si>
    <t xml:space="preserve">All regression checklist items pass on N+1; rehearsal timed and logged</t>
  </si>
  <si>
    <t xml:space="preserve">ANA-01.4.03</t>
  </si>
  <si>
    <t xml:space="preserve">Rollback rehearsal executed on staging from simulated failed upgrade via app-DB snapshot restore</t>
  </si>
  <si>
    <t xml:space="preserve">Service restored to version N within agreed maintenance window; zero content loss</t>
  </si>
  <si>
    <t xml:space="preserve">ANA-01.5.01</t>
  </si>
  <si>
    <t xml:space="preserve">Enclave offline install</t>
  </si>
  <si>
    <t xml:space="preserve">Metabase installed from signed release bundle media on the enclave simulator with no registry access</t>
  </si>
  <si>
    <t xml:space="preserve">Install log from enclave simulator</t>
  </si>
  <si>
    <t xml:space="preserve">Install completes from media only; service healthy; version matches bundle manifest</t>
  </si>
  <si>
    <t xml:space="preserve">ANA-01.5.02</t>
  </si>
  <si>
    <t xml:space="preserve">All Metabase external calls disabled by config: update checks, telemetry, external map tiles, remote fonts</t>
  </si>
  <si>
    <t xml:space="preserve">Config diff + packet capture</t>
  </si>
  <si>
    <t xml:space="preserve">Packet capture during full UI session shows zero outbound DNS or HTTP attempts</t>
  </si>
  <si>
    <t xml:space="preserve">E6; A-051</t>
  </si>
  <si>
    <t xml:space="preserve">ANA-01.5.03</t>
  </si>
  <si>
    <t xml:space="preserve">Metabase-specific zero-egress test added to CI deny-all namespace suite covering login, render, export paths</t>
  </si>
  <si>
    <t xml:space="preserve">Green CI egress-gate job</t>
  </si>
  <si>
    <t xml:space="preserve">0 outbound packets across scripted session; any egress fails the build</t>
  </si>
  <si>
    <t xml:space="preserve">A-051; MOD-015</t>
  </si>
  <si>
    <t xml:space="preserve">ANA-01.5.04</t>
  </si>
  <si>
    <t xml:space="preserve">Config parity check across cloud/on-prem/enclave documented with every delta justified</t>
  </si>
  <si>
    <t xml:space="preserve">Parity matrix doc</t>
  </si>
  <si>
    <t xml:space="preserve">Every differing MB_* key has a written justification; unexplained deltas = 0</t>
  </si>
  <si>
    <t xml:space="preserve">TST-STD 10</t>
  </si>
  <si>
    <t xml:space="preserve">ANA-01.6.01</t>
  </si>
  <si>
    <t xml:space="preserve">Exit gate</t>
  </si>
  <si>
    <t xml:space="preserve">Exit-gate evidence bundle for ANA-01 assembled and reviewed (deploy, SSO, backup, upgrade, enclave proofs)</t>
  </si>
  <si>
    <t xml:space="preserve">ANA-01.5.04, ANA-01.4.03, ANA-01.3.04</t>
  </si>
  <si>
    <t xml:space="preserve">Reviewed evidence bundle index</t>
  </si>
  <si>
    <t xml:space="preserve">All ANA-01 items evidenced; review sign-off recorded</t>
  </si>
  <si>
    <t xml:space="preserve">Brief lane rule</t>
  </si>
  <si>
    <t xml:space="preserve">ANA-02.1.01</t>
  </si>
  <si>
    <t xml:space="preserve">BI data foundation</t>
  </si>
  <si>
    <t xml:space="preserve">Read-only mart connections</t>
  </si>
  <si>
    <t xml:space="preserve">Metabase data sources configured against read replicas/mart schemas only; no write-path DSN present</t>
  </si>
  <si>
    <t xml:space="preserve">Connection config export</t>
  </si>
  <si>
    <t xml:space="preserve">Every configured DSN resolves to replica/mart host; write-DB hostnames absent from config</t>
  </si>
  <si>
    <t xml:space="preserve">PLAN Rule 4; PLAN M6 main-jobs</t>
  </si>
  <si>
    <t xml:space="preserve">ANA-02.1.02</t>
  </si>
  <si>
    <t xml:space="preserve">Dedicated least-privilege BI database role created: SELECT on mart schemas only, no DDL, no write-DB grants</t>
  </si>
  <si>
    <t xml:space="preserve">Role grant script + pg_catalog audit</t>
  </si>
  <si>
    <t xml:space="preserve">Grant audit shows SELECT-only on mart schemas; zero grants elsewhere</t>
  </si>
  <si>
    <t xml:space="preserve">PLAN Rule 4; MOD-008</t>
  </si>
  <si>
    <t xml:space="preserve">ANA-02.1.03</t>
  </si>
  <si>
    <t xml:space="preserve">Negative test automated in CI proving BI credentials cannot reach the live write database</t>
  </si>
  <si>
    <t xml:space="preserve">Green CI negative-test job</t>
  </si>
  <si>
    <t xml:space="preserve">Connection attempt and cross-schema SELECT with BI creds both fail; test runs every release</t>
  </si>
  <si>
    <t xml:space="preserve">PLAN Rule 4; Scenario 2</t>
  </si>
  <si>
    <t xml:space="preserve">ANA-02.1.04</t>
  </si>
  <si>
    <t xml:space="preserve">Enclave reporting topology decided and implemented: co-hosted replica or snapshot-based reporting schema</t>
  </si>
  <si>
    <t xml:space="preserve">Decision record + enclave test run</t>
  </si>
  <si>
    <t xml:space="preserve">Decision recorded in register; chosen topology runs on enclave BOM hardware with reports rendering</t>
  </si>
  <si>
    <t xml:space="preserve">A-014</t>
  </si>
  <si>
    <t xml:space="preserve">ANA-02.2.01</t>
  </si>
  <si>
    <t xml:space="preserve">Mart schema contracts</t>
  </si>
  <si>
    <t xml:space="preserve">Events mart schema designed, versioned, published to contract registry with conformance tests</t>
  </si>
  <si>
    <t xml:space="preserve">Registry entry + green conformance suite</t>
  </si>
  <si>
    <t xml:space="preserve">Schema v1 published; tenant_id NOT NULL on every table; conformance suite green</t>
  </si>
  <si>
    <t xml:space="preserve">MOD-002; L3 ANA-02</t>
  </si>
  <si>
    <t xml:space="preserve">ANA-02.2.02</t>
  </si>
  <si>
    <t xml:space="preserve">Attempts mart schema designed, versioned, published with conformance tests</t>
  </si>
  <si>
    <t xml:space="preserve">Schema v1 published; tenant_id NOT NULL; conformance suite green</t>
  </si>
  <si>
    <t xml:space="preserve">L3 ANA-02; PLAN M8</t>
  </si>
  <si>
    <t xml:space="preserve">ANA-02.2.03</t>
  </si>
  <si>
    <t xml:space="preserve">Grades mart schema designed, versioned, published with conformance tests</t>
  </si>
  <si>
    <t xml:space="preserve">L3 ANA-02; MOD-007</t>
  </si>
  <si>
    <t xml:space="preserve">ANA-02.2.04</t>
  </si>
  <si>
    <t xml:space="preserve">Risk-signals mart schema designed, versioned, published with conformance tests</t>
  </si>
  <si>
    <t xml:space="preserve">Schema v1 published; risk score fields carry model-version and confidence columns</t>
  </si>
  <si>
    <t xml:space="preserve">L3 ANA-02; PLAN M11</t>
  </si>
  <si>
    <t xml:space="preserve">ANA-02.2.05</t>
  </si>
  <si>
    <t xml:space="preserve">Competency-records mart schema designed, versioned, published with conformance tests</t>
  </si>
  <si>
    <t xml:space="preserve">Schema v1 published; record IDs trace to M19 competency IDs; conformance green</t>
  </si>
  <si>
    <t xml:space="preserve">MOD-003; L3 ANA-02</t>
  </si>
  <si>
    <t xml:space="preserve">ANA-02.2.06</t>
  </si>
  <si>
    <t xml:space="preserve">Content-usage mart schema designed, versioned, published with conformance tests</t>
  </si>
  <si>
    <t xml:space="preserve">Schema v1 published; content IDs carry lineage/version references; conformance green</t>
  </si>
  <si>
    <t xml:space="preserve">L3 ANA-02; PLAN M9</t>
  </si>
  <si>
    <t xml:space="preserve">ANA-02.2.07</t>
  </si>
  <si>
    <t xml:space="preserve">Chatbot-usage mart schema designed, versioned, published with conformance tests</t>
  </si>
  <si>
    <t xml:space="preserve">Schema v1 published; rows carry model/prompt version fields; conformance green</t>
  </si>
  <si>
    <t xml:space="preserve">L3 ANA-02; PLAN M15</t>
  </si>
  <si>
    <t xml:space="preserve">ANA-02.2.08</t>
  </si>
  <si>
    <t xml:space="preserve">Sim/lab telemetry mart schema designed, versioned, published with conformance tests</t>
  </si>
  <si>
    <t xml:space="preserve">Schema v1 published; offline-capture batch IDs preserved; conformance green</t>
  </si>
  <si>
    <t xml:space="preserve">L3 ANA-02; PLAN M16</t>
  </si>
  <si>
    <t xml:space="preserve">ANA-02.2.09</t>
  </si>
  <si>
    <t xml:space="preserve">Federation-freshness mart schema designed, versioned, published with conformance tests</t>
  </si>
  <si>
    <t xml:space="preserve">FED-01.1.01</t>
  </si>
  <si>
    <t xml:space="preserve">Schema v1 published; per-source data-as-of watermark queryable per command</t>
  </si>
  <si>
    <t xml:space="preserve">LOOP 26.4; A-049</t>
  </si>
  <si>
    <t xml:space="preserve">ANA-02.3.01</t>
  </si>
  <si>
    <t xml:space="preserve">Transformation jobs and freshness SLAs</t>
  </si>
  <si>
    <t xml:space="preserve">Transformation jobs implemented per mart as idempotent incremental loads with retry</t>
  </si>
  <si>
    <t xml:space="preserve">Job code + rerun test log</t>
  </si>
  <si>
    <t xml:space="preserve">Double-run of any job produces identical mart row counts; failed run resumes without manual repair</t>
  </si>
  <si>
    <t xml:space="preserve">MOD-004 discipline; L3 ANA-02</t>
  </si>
  <si>
    <t xml:space="preserve">ANA-02.3.02</t>
  </si>
  <si>
    <t xml:space="preserve">Freshness SLA defined and recorded per mart (events mart &lt;=15 min behind LRS; others per contract)</t>
  </si>
  <si>
    <t xml:space="preserve">SLA table in data dictionary</t>
  </si>
  <si>
    <t xml:space="preserve">Every mart has a numeric SLA with an owner; no mart listed as best-effort</t>
  </si>
  <si>
    <t xml:space="preserve">L3 ANA-02</t>
  </si>
  <si>
    <t xml:space="preserve">ANA-02.3.03</t>
  </si>
  <si>
    <t xml:space="preserve">Freshness SLAs tested under exam-day surge replay (Scenario 1 volume profile)</t>
  </si>
  <si>
    <t xml:space="preserve">Surge-test report</t>
  </si>
  <si>
    <t xml:space="preserve">All marts remain within SLA during surge replay; breaches = 0</t>
  </si>
  <si>
    <t xml:space="preserve">Scenario 1; L3 ANA-02</t>
  </si>
  <si>
    <t xml:space="preserve">ANA-02.3.04</t>
  </si>
  <si>
    <t xml:space="preserve">Freshness metadata table written by every job run (mart, last_success, watermark) and exposed to BI</t>
  </si>
  <si>
    <t xml:space="preserve">Metadata table + sample rows</t>
  </si>
  <si>
    <t xml:space="preserve">Every job run inserts a row; BI can query last_success per mart</t>
  </si>
  <si>
    <t xml:space="preserve">ANA-02.3.05</t>
  </si>
  <si>
    <t xml:space="preserve">Transformation-failure alerting to ops wired with runbook link in alert payload</t>
  </si>
  <si>
    <t xml:space="preserve">Alert rule + fired test alert</t>
  </si>
  <si>
    <t xml:space="preserve">Induced job failure raises ops alert within 10 min containing runbook URL</t>
  </si>
  <si>
    <t xml:space="preserve">ANA-02.4.01</t>
  </si>
  <si>
    <t xml:space="preserve">Data dictionary and freshness display</t>
  </si>
  <si>
    <t xml:space="preserve">Data dictionary published covering every mart table/column with grain, source, SLA; versioned in git</t>
  </si>
  <si>
    <t xml:space="preserve">ANA-02.2.09, ANA-02.3.02</t>
  </si>
  <si>
    <t xml:space="preserve">Dictionary doc in git</t>
  </si>
  <si>
    <t xml:space="preserve">100% of mart columns documented; CI check fails on undocumented new column</t>
  </si>
  <si>
    <t xml:space="preserve">ANA-02.4.02</t>
  </si>
  <si>
    <t xml:space="preserve">Freshness indicator component displayed on every dashboard reading last_success from freshness metadata</t>
  </si>
  <si>
    <t xml:space="preserve">Screenshot set across dashboards</t>
  </si>
  <si>
    <t xml:space="preserve">Every shipped dashboard renders mart freshness timestamp; audit finds zero dashboards without it</t>
  </si>
  <si>
    <t xml:space="preserve">ANA-02.4.03</t>
  </si>
  <si>
    <t xml:space="preserve">Data-as-of stamp on federated views sourced from federation-freshness mart per command</t>
  </si>
  <si>
    <t xml:space="preserve">Screenshot + query trace</t>
  </si>
  <si>
    <t xml:space="preserve">Federated view stamp equals freshness-mart watermark for the displayed command</t>
  </si>
  <si>
    <t xml:space="preserve">LOOP 26.4; D M30 gaps</t>
  </si>
  <si>
    <t xml:space="preserve">ANA-02.5.01</t>
  </si>
  <si>
    <t xml:space="preserve">Exit-gate evidence bundle for ANA-02 assembled and reviewed (connections, contracts, SLAs, dictionary)</t>
  </si>
  <si>
    <t xml:space="preserve">ANA-02.1.03, ANA-02.3.03, ANA-02.4.01</t>
  </si>
  <si>
    <t xml:space="preserve">All ANA-02 items evidenced; Rule-4 negative test included; sign-off recorded</t>
  </si>
  <si>
    <t xml:space="preserve">ANA-03.1.01</t>
  </si>
  <si>
    <t xml:space="preserve">Tenant isolation in BI</t>
  </si>
  <si>
    <t xml:space="preserve">Database-level isolation implementation</t>
  </si>
  <si>
    <t xml:space="preserve">Isolation mechanism decision recorded per deployment class: RLS on shared marts for SaaS; instance-per-command for enclave</t>
  </si>
  <si>
    <t xml:space="preserve">Decision signed; fallback pattern named; no BI-tool-filter-only option remains</t>
  </si>
  <si>
    <t xml:space="preserve">DEC-006; MOD-008; A-006</t>
  </si>
  <si>
    <t xml:space="preserve">ANA-03.1.02</t>
  </si>
  <si>
    <t xml:space="preserve">RLS policies implemented on every mart table keyed to tenant session context with default-deny</t>
  </si>
  <si>
    <t xml:space="preserve">ANA-03.1.01, ANA-02.2.01</t>
  </si>
  <si>
    <t xml:space="preserve">Policy DDL + policy audit query</t>
  </si>
  <si>
    <t xml:space="preserve">Every mart table has an enabled RLS policy; BI role holds no BYPASSRLS</t>
  </si>
  <si>
    <t xml:space="preserve">ANA-03.1.03</t>
  </si>
  <si>
    <t xml:space="preserve">Per-tenant connection binding implemented: BI connection sets tenant context via role/GUC before any query</t>
  </si>
  <si>
    <t xml:space="preserve">Connection config + trace log</t>
  </si>
  <si>
    <t xml:space="preserve">Query without tenant context returns zero rows; binding set on 100% of pooled connections</t>
  </si>
  <si>
    <t xml:space="preserve">ANA-03.1.04</t>
  </si>
  <si>
    <t xml:space="preserve">Automated CI schema check verifying tenant_id NOT NULL on every mart table</t>
  </si>
  <si>
    <t xml:space="preserve">Green CI schema-check job</t>
  </si>
  <si>
    <t xml:space="preserve">Check fails build on any mart table lacking mandatory tenant_id</t>
  </si>
  <si>
    <t xml:space="preserve">A-028; Scenario 2</t>
  </si>
  <si>
    <t xml:space="preserve">ANA-03.1.05</t>
  </si>
  <si>
    <t xml:space="preserve">Cross-tenant leak detection running: per-tenant canary rows with alarm on foreign-tenant read</t>
  </si>
  <si>
    <t xml:space="preserve">Canary job config + fired test alarm</t>
  </si>
  <si>
    <t xml:space="preserve">Simulated leak of canary row raises alarm within 15 min</t>
  </si>
  <si>
    <t xml:space="preserve">Scenario 2; R-002</t>
  </si>
  <si>
    <t xml:space="preserve">ANA-03.2.01</t>
  </si>
  <si>
    <t xml:space="preserve">Scenario-2 negative test suite</t>
  </si>
  <si>
    <t xml:space="preserve">Scenario-2 test implemented: question authored with omitted tenant filter returns only requester tenant rows</t>
  </si>
  <si>
    <t xml:space="preserve">Test code + run log</t>
  </si>
  <si>
    <t xml:space="preserve">Foreign-tenant rows returned = 0 with filter omitted</t>
  </si>
  <si>
    <t xml:space="preserve">Scenario 2</t>
  </si>
  <si>
    <t xml:space="preserve">ANA-03.2.02</t>
  </si>
  <si>
    <t xml:space="preserve">Dashboard URL/parameter tampering test: filters forced to another tenant ID return zero foreign rows</t>
  </si>
  <si>
    <t xml:space="preserve">All tamper vectors (params, filters, card IDs) return 0 foreign rows</t>
  </si>
  <si>
    <t xml:space="preserve">Scenario 2; AS-4</t>
  </si>
  <si>
    <t xml:space="preserve">ANA-03.2.03</t>
  </si>
  <si>
    <t xml:space="preserve">Native-SQL cross-tenant attempt from analyst account returns zero foreign rows</t>
  </si>
  <si>
    <t xml:space="preserve">Hand-written SQL without tenant predicate returns 0 foreign rows for analyst role</t>
  </si>
  <si>
    <t xml:space="preserve">ANA-03.2.04</t>
  </si>
  <si>
    <t xml:space="preserve">Scenario-2 suite wired into CI as zero-leak hard release gate</t>
  </si>
  <si>
    <t xml:space="preserve">ANA-03.2.01, ANA-03.2.02, ANA-03.2.03</t>
  </si>
  <si>
    <t xml:space="preserve">Green gated CI pipeline</t>
  </si>
  <si>
    <t xml:space="preserve">Any leaked row fails the release pipeline; gate cannot be skipped without waiver record</t>
  </si>
  <si>
    <t xml:space="preserve">Review security plan 1; R-002</t>
  </si>
  <si>
    <t xml:space="preserve">ANA-03.3.01</t>
  </si>
  <si>
    <t xml:space="preserve">Permissions and group mapping</t>
  </si>
  <si>
    <t xml:space="preserve">Keycloak-group to Metabase-group to collection/data-permission matrix documented per tenant and role</t>
  </si>
  <si>
    <t xml:space="preserve">Permission matrix doc</t>
  </si>
  <si>
    <t xml:space="preserve">Matrix covers teacher, supervisor, org admin, analyst, ops for every tenant archetype</t>
  </si>
  <si>
    <t xml:space="preserve">MOD-008; L3 ANA-03</t>
  </si>
  <si>
    <t xml:space="preserve">ANA-03.3.02</t>
  </si>
  <si>
    <t xml:space="preserve">Tenant/role collections created and permission-tested against the matrix</t>
  </si>
  <si>
    <t xml:space="preserve">Collection tree export + test log</t>
  </si>
  <si>
    <t xml:space="preserve">Each role sees exactly its matrix-defined collections; over-grants found = 0</t>
  </si>
  <si>
    <t xml:space="preserve">L3 ANA-03</t>
  </si>
  <si>
    <t xml:space="preserve">ANA-03.3.03</t>
  </si>
  <si>
    <t xml:space="preserve">Data permissions per database/schema configured so each tenant group reaches only its schema/RLS scope</t>
  </si>
  <si>
    <t xml:space="preserve">ANA-03.3.02, ANA-03.1.02</t>
  </si>
  <si>
    <t xml:space="preserve">Permission config export</t>
  </si>
  <si>
    <t xml:space="preserve">Per-group data access equals matrix; unrestricted native access groups = analysts only</t>
  </si>
  <si>
    <t xml:space="preserve">ANA-03.3.04</t>
  </si>
  <si>
    <t xml:space="preserve">Native SQL editor restricted to governed analyst group; disabled for viewer and embedded roles</t>
  </si>
  <si>
    <t xml:space="preserve">Permission config export + denial screenshot</t>
  </si>
  <si>
    <t xml:space="preserve">Non-analyst roles receive no SQL editor; verified per role</t>
  </si>
  <si>
    <t xml:space="preserve">ANA-03.3.05</t>
  </si>
  <si>
    <t xml:space="preserve">Permission regression suite re-run automatically when serialized export shows permission diffs</t>
  </si>
  <si>
    <t xml:space="preserve">ANA-01.3.03, ANA-03.3.02</t>
  </si>
  <si>
    <t xml:space="preserve">CI rule + run history</t>
  </si>
  <si>
    <t xml:space="preserve">Any permission diff in export triggers suite; unreviewed permission change reaching prod = 0</t>
  </si>
  <si>
    <t xml:space="preserve">ANA-03.4.01</t>
  </si>
  <si>
    <t xml:space="preserve">Embedding and cache isolation</t>
  </si>
  <si>
    <t xml:space="preserve">Signed-embedding locked parameters implemented: tenant and user scope set server-side from verified JWT only</t>
  </si>
  <si>
    <t xml:space="preserve">ANA-03.1.02, COR-01.1.01</t>
  </si>
  <si>
    <t xml:space="preserve">Signing service code + review record</t>
  </si>
  <si>
    <t xml:space="preserve">No embed parameter accepted from client; code review signed per Rule 6</t>
  </si>
  <si>
    <t xml:space="preserve">AS-4; PLAN Rule 6</t>
  </si>
  <si>
    <t xml:space="preserve">ANA-03.4.02</t>
  </si>
  <si>
    <t xml:space="preserve">Embed-token cross-tenant reuse negative test: tenant A token replayed in tenant B context fails</t>
  </si>
  <si>
    <t xml:space="preserve">Replayed token renders error; foreign rows returned = 0</t>
  </si>
  <si>
    <t xml:space="preserve">AS-4</t>
  </si>
  <si>
    <t xml:space="preserve">ANA-03.4.03</t>
  </si>
  <si>
    <t xml:space="preserve">Cache keys verified tenant-scoped: cached results carry tenant discriminator; cross-serve test passes</t>
  </si>
  <si>
    <t xml:space="preserve">Cache key dump + test log</t>
  </si>
  <si>
    <t xml:space="preserve">Tenant B request never returns tenant A cached payload across 100% of cached questions tested</t>
  </si>
  <si>
    <t xml:space="preserve">Scenario 2 cache chain</t>
  </si>
  <si>
    <t xml:space="preserve">ANA-03.5.01</t>
  </si>
  <si>
    <t xml:space="preserve">Ongoing assurance and OSS limits</t>
  </si>
  <si>
    <t xml:space="preserve">Quarterly cross-tenant BI penetration test scheduled; first execution completed</t>
  </si>
  <si>
    <t xml:space="preserve">Pen-test report + calendar entry</t>
  </si>
  <si>
    <t xml:space="preserve">First pen test finds zero leaked rows; recurrence booked quarterly</t>
  </si>
  <si>
    <t xml:space="preserve">Review security plan 1; L3 ANA-03</t>
  </si>
  <si>
    <t xml:space="preserve">ANA-03.5.02</t>
  </si>
  <si>
    <t xml:space="preserve">OSS-limits fallback design documented: RLS plus per-tenant collections pattern; per-tenant-instance option costed</t>
  </si>
  <si>
    <t xml:space="preserve">Doc names every OSS gap (no sandboxing/official collections) and its mitigation</t>
  </si>
  <si>
    <t xml:space="preserve">DEC-006; R-028</t>
  </si>
  <si>
    <t xml:space="preserve">ANA-03.5.03</t>
  </si>
  <si>
    <t xml:space="preserve">Metabase Pro-upgrade trigger conditions documented as decision item with cost model</t>
  </si>
  <si>
    <t xml:space="preserve">Trigger conditions are measurable (e.g. tenant count, sandboxing need, SSO tier); cost table attached</t>
  </si>
  <si>
    <t xml:space="preserve">ANA-03.6.01</t>
  </si>
  <si>
    <t xml:space="preserve">Exit-gate evidence bundle for ANA-03 assembled and reviewed (RLS, Scenario-2 suite, permissions, embed, cache)</t>
  </si>
  <si>
    <t xml:space="preserve">ANA-03.2.04, ANA-03.4.03, ANA-03.5.01</t>
  </si>
  <si>
    <t xml:space="preserve">All ANA-03 items evidenced; zero-leak gate results included; sign-off recorded</t>
  </si>
  <si>
    <t xml:space="preserve">ANA-04.1.01</t>
  </si>
  <si>
    <t xml:space="preserve">M30</t>
  </si>
  <si>
    <t xml:space="preserve">Semantic layer and query governance</t>
  </si>
  <si>
    <t xml:space="preserve">Curated models and metrics</t>
  </si>
  <si>
    <t xml:space="preserve">Curated Metabase model created per mart subject area; raw tables hidden from dashboard authors</t>
  </si>
  <si>
    <t xml:space="preserve">Model list + hidden-table config</t>
  </si>
  <si>
    <t xml:space="preserve">Every mart has a curated model; raw schema browsing disabled for author roles</t>
  </si>
  <si>
    <t xml:space="preserve">L3 ANA-04</t>
  </si>
  <si>
    <t xml:space="preserve">ANA-04.1.02</t>
  </si>
  <si>
    <t xml:space="preserve">Every role-dashboard KPI implemented as a named metric/model field rather than per-question SQL</t>
  </si>
  <si>
    <t xml:space="preserve">Metric definitions export</t>
  </si>
  <si>
    <t xml:space="preserve">100% of KPIs on role dashboards resolve to named metrics; ad-hoc KPI SQL count = 0</t>
  </si>
  <si>
    <t xml:space="preserve">ANA-04.1.03</t>
  </si>
  <si>
    <t xml:space="preserve">KPI definitions (readiness, at-risk, mastery, engagement) reviewed and signed off by Instructional Designer and Data Analyst</t>
  </si>
  <si>
    <t xml:space="preserve">Signed review record</t>
  </si>
  <si>
    <t xml:space="preserve">Every KPI carries two named reviewer sign-offs; unresolved definition disputes = 0</t>
  </si>
  <si>
    <t xml:space="preserve">L3 ANA-04; P3 defs</t>
  </si>
  <si>
    <t xml:space="preserve">ANA-04.1.04</t>
  </si>
  <si>
    <t xml:space="preserve">Audit executed confirming zero role dashboards sourced from ad-hoc SQL</t>
  </si>
  <si>
    <t xml:space="preserve">Audit report from serialized export</t>
  </si>
  <si>
    <t xml:space="preserve">Every role-dashboard card traces to a curated model; violations = 0 or ticketed</t>
  </si>
  <si>
    <t xml:space="preserve">ANA-04.2.01</t>
  </si>
  <si>
    <t xml:space="preserve">Metrics dictionary</t>
  </si>
  <si>
    <t xml:space="preserve">Metrics dictionary published: name, formula, grain, owner, source mart for every KPI</t>
  </si>
  <si>
    <t xml:space="preserve">Dictionary doc</t>
  </si>
  <si>
    <t xml:space="preserve">Every named metric has all five fields populated; blanks = 0</t>
  </si>
  <si>
    <t xml:space="preserve">ANA-04.2.02</t>
  </si>
  <si>
    <t xml:space="preserve">Metrics dictionary versioned in git with change-review workflow tied to dashboard releases</t>
  </si>
  <si>
    <t xml:space="preserve">Git history + PR template</t>
  </si>
  <si>
    <t xml:space="preserve">Metric change without dictionary PR is blocked by review checklist</t>
  </si>
  <si>
    <t xml:space="preserve">ANA-04.3.01</t>
  </si>
  <si>
    <t xml:space="preserve">Query governance</t>
  </si>
  <si>
    <t xml:space="preserve">SQL review gate operating: new certified question requires recorded reviewer approval before certification</t>
  </si>
  <si>
    <t xml:space="preserve">Review log + workflow config</t>
  </si>
  <si>
    <t xml:space="preserve">Unreviewed question cannot gain certified status; sampled compliance 100%</t>
  </si>
  <si>
    <t xml:space="preserve">PLAN Rule 6; Scenario 2</t>
  </si>
  <si>
    <t xml:space="preserve">ANA-04.3.02</t>
  </si>
  <si>
    <t xml:space="preserve">Naming conventions for questions, models, dashboards, collections documented and lint-checked in export CI</t>
  </si>
  <si>
    <t xml:space="preserve">Convention doc + green lint job</t>
  </si>
  <si>
    <t xml:space="preserve">Lint job fails on nonconforming names; convention doc covers all four object types</t>
  </si>
  <si>
    <t xml:space="preserve">ANA-04.3.03</t>
  </si>
  <si>
    <t xml:space="preserve">Collection structure conventions (per-tenant, per-role, sandbox vs certified) documented and enforced</t>
  </si>
  <si>
    <t xml:space="preserve">Convention doc + audit run</t>
  </si>
  <si>
    <t xml:space="preserve">Structure audit finds zero collections outside the documented tree</t>
  </si>
  <si>
    <t xml:space="preserve">ANA-04.3.04</t>
  </si>
  <si>
    <t xml:space="preserve">Question certification workflow live: certified marker, owner, review date on every certified question</t>
  </si>
  <si>
    <t xml:space="preserve">Certified-question inventory</t>
  </si>
  <si>
    <t xml:space="preserve">100% of certified questions carry owner and review date</t>
  </si>
  <si>
    <t xml:space="preserve">ANA-04.3.05</t>
  </si>
  <si>
    <t xml:space="preserve">Archived-question hygiene job running quarterly: unused/uncertified questions archived with owner notification</t>
  </si>
  <si>
    <t xml:space="preserve">ANA-09.3.01</t>
  </si>
  <si>
    <t xml:space="preserve">Job config + first run report</t>
  </si>
  <si>
    <t xml:space="preserve">First run archives all questions unused &gt;90 days; owners notified; exceptions logged</t>
  </si>
  <si>
    <t xml:space="preserve">ANA-04.4.01</t>
  </si>
  <si>
    <t xml:space="preserve">Exit-gate evidence bundle for ANA-04 assembled and reviewed (models, dictionary, governance records)</t>
  </si>
  <si>
    <t xml:space="preserve">ANA-04.1.04, ANA-04.2.02, ANA-04.3.04</t>
  </si>
  <si>
    <t xml:space="preserve">All ANA-04 items evidenced; sign-off recorded</t>
  </si>
  <si>
    <t xml:space="preserve">Role dashboard suite</t>
  </si>
  <si>
    <t xml:space="preserve">Teacher pack build</t>
  </si>
  <si>
    <t xml:space="preserve">Teacher pack specs and mocks approved: class overview, activity heatmap, assessment results, at-risk list</t>
  </si>
  <si>
    <t xml:space="preserve">Approved spec + mock files</t>
  </si>
  <si>
    <t xml:space="preserve">Spec defines KPIs, filters, drill paths, freshness display per dashboard; teacher rep approved mock</t>
  </si>
  <si>
    <t xml:space="preserve">PLAN M10 main-jobs; L3 ANA-05</t>
  </si>
  <si>
    <t xml:space="preserve">ANA-05.1.02</t>
  </si>
  <si>
    <t xml:space="preserve">Class-overview dashboard built on curated models with freshness indicator</t>
  </si>
  <si>
    <t xml:space="preserve">ANA-05.1.01, ANA-04.1.01</t>
  </si>
  <si>
    <t xml:space="preserve">Dashboard URL in certified collection</t>
  </si>
  <si>
    <t xml:space="preserve">Matches approved spec; built only on curated models; freshness indicator present</t>
  </si>
  <si>
    <t xml:space="preserve">PLAN M10 main-jobs</t>
  </si>
  <si>
    <t xml:space="preserve">ANA-05.1.03</t>
  </si>
  <si>
    <t xml:space="preserve">Activity-heatmap dashboard built (heatmap, session timeline, task mix)</t>
  </si>
  <si>
    <t xml:space="preserve">ANA-05.1.01, ANA-02.2.01</t>
  </si>
  <si>
    <t xml:space="preserve">Matches approved spec; renders from events mart within cache policy</t>
  </si>
  <si>
    <t xml:space="preserve">ANA-05.1.04</t>
  </si>
  <si>
    <t xml:space="preserve">Assessment-results dashboard built (attempts, scores, item analysis summary)</t>
  </si>
  <si>
    <t xml:space="preserve">ANA-05.1.01, ANA-02.2.02</t>
  </si>
  <si>
    <t xml:space="preserve">Matches approved spec; grade figures source grades mart only</t>
  </si>
  <si>
    <t xml:space="preserve">PLAN M8/M10</t>
  </si>
  <si>
    <t xml:space="preserve">ANA-05.1.05</t>
  </si>
  <si>
    <t xml:space="preserve">At-risk list dashboard built with per-learner explanation drill-down from M11 signals</t>
  </si>
  <si>
    <t xml:space="preserve">ANA-05.1.01, ANA-02.2.04</t>
  </si>
  <si>
    <t xml:space="preserve">Every flagged learner row drills to signal explanation with model version and confidence</t>
  </si>
  <si>
    <t xml:space="preserve">PLAN M11; SMT dep</t>
  </si>
  <si>
    <t xml:space="preserve">ANA-05.2.01</t>
  </si>
  <si>
    <t xml:space="preserve">Teacher pack validation</t>
  </si>
  <si>
    <t xml:space="preserve">Class-overview numbers reconciled against independent hand-computed SQL on fixture data</t>
  </si>
  <si>
    <t xml:space="preserve">Reconciliation worksheet</t>
  </si>
  <si>
    <t xml:space="preserve">Every displayed figure equals fixture SQL result; unexplained deltas = 0</t>
  </si>
  <si>
    <t xml:space="preserve">L3 ANA-08 accuracy rule</t>
  </si>
  <si>
    <t xml:space="preserve">ANA-05.2.02</t>
  </si>
  <si>
    <t xml:space="preserve">Activity-heatmap numbers reconciled against independent fixture SQL</t>
  </si>
  <si>
    <t xml:space="preserve">All cells/aggregates equal fixture SQL; unexplained deltas = 0</t>
  </si>
  <si>
    <t xml:space="preserve">ANA-05.2.03</t>
  </si>
  <si>
    <t xml:space="preserve">Assessment-results numbers reconciled against independent fixture SQL</t>
  </si>
  <si>
    <t xml:space="preserve">All scores/aggregates equal fixture SQL; unexplained deltas = 0</t>
  </si>
  <si>
    <t xml:space="preserve">ANA-05.2.04</t>
  </si>
  <si>
    <t xml:space="preserve">At-risk list reconciled: displayed risk scores equal M11 engine output exactly on fixture cohort</t>
  </si>
  <si>
    <t xml:space="preserve">100% score match vs M11 output; flag counts equal fixture truth</t>
  </si>
  <si>
    <t xml:space="preserve">L3 ANA-08; PLAN M11</t>
  </si>
  <si>
    <t xml:space="preserve">ANA-05.2.05</t>
  </si>
  <si>
    <t xml:space="preserve">Teacher pack tenant-isolation run: Scenario-2 suite executed across all four teacher dashboards</t>
  </si>
  <si>
    <t xml:space="preserve">ANA-03.2.04, ANA-05.1.05</t>
  </si>
  <si>
    <t xml:space="preserve">Suite run log</t>
  </si>
  <si>
    <t xml:space="preserve">Foreign-tenant rows across all four dashboards = 0</t>
  </si>
  <si>
    <t xml:space="preserve">ANA-05.2.06</t>
  </si>
  <si>
    <t xml:space="preserve">Teacher pack performance test at 2000-learner class fixture scale</t>
  </si>
  <si>
    <t xml:space="preserve">Load-test report</t>
  </si>
  <si>
    <t xml:space="preserve">p95 render &lt;=2s per dashboard at fixture scale</t>
  </si>
  <si>
    <t xml:space="preserve">Review item 18; L3 ANA-06</t>
  </si>
  <si>
    <t xml:space="preserve">ANA-05.2.07</t>
  </si>
  <si>
    <t xml:space="preserve">Teacher pack accessibility pass: keyboard-only, screen reader, contrast per WCAG 2.1 AA</t>
  </si>
  <si>
    <t xml:space="preserve">A11y audit report</t>
  </si>
  <si>
    <t xml:space="preserve">Zero critical WCAG 2.1 AA findings across the four dashboards</t>
  </si>
  <si>
    <t xml:space="preserve">MISS-029</t>
  </si>
  <si>
    <t xml:space="preserve">ANA-05.2.08</t>
  </si>
  <si>
    <t xml:space="preserve">Teacher pack sign-off recorded by a practicing teacher user</t>
  </si>
  <si>
    <t xml:space="preserve">ANA-05.2.06, ANA-05.2.07</t>
  </si>
  <si>
    <t xml:space="preserve">Signed UAT record</t>
  </si>
  <si>
    <t xml:space="preserve">Named teacher signs acceptance; open P0/P1 defects = 0</t>
  </si>
  <si>
    <t xml:space="preserve">TST-STD 13</t>
  </si>
  <si>
    <t xml:space="preserve">ANA-05.3.01</t>
  </si>
  <si>
    <t xml:space="preserve">Supervisor pack build</t>
  </si>
  <si>
    <t xml:space="preserve">Supervisor pack specs and mocks approved: readiness roll-up, gap summary, MOE views</t>
  </si>
  <si>
    <t xml:space="preserve">Approved spec + mocks</t>
  </si>
  <si>
    <t xml:space="preserve">Spec defines command hierarchy scoping and staleness display; supervisor rep approved</t>
  </si>
  <si>
    <t xml:space="preserve">D M30; P3 defs</t>
  </si>
  <si>
    <t xml:space="preserve">ANA-05.3.02</t>
  </si>
  <si>
    <t xml:space="preserve">Competency/readiness roll-up dashboard built on competency mart</t>
  </si>
  <si>
    <t xml:space="preserve">ANA-05.3.01, ANA-02.2.05</t>
  </si>
  <si>
    <t xml:space="preserve">Matches spec; readiness KPIs resolve to certified metrics only</t>
  </si>
  <si>
    <t xml:space="preserve">MOD-003; PLAN M12</t>
  </si>
  <si>
    <t xml:space="preserve">ANA-05.3.03</t>
  </si>
  <si>
    <t xml:space="preserve">Gap-summary dashboard built (competency gaps by unit/cohort)</t>
  </si>
  <si>
    <t xml:space="preserve">Matches spec; gap counts trace to registry-linked records</t>
  </si>
  <si>
    <t xml:space="preserve">PLAN M14</t>
  </si>
  <si>
    <t xml:space="preserve">ANA-05.3.04</t>
  </si>
  <si>
    <t xml:space="preserve">MOE views built with data-as-of stamps on every federated element</t>
  </si>
  <si>
    <t xml:space="preserve">ANA-05.3.01, ANA-02.4.03</t>
  </si>
  <si>
    <t xml:space="preserve">Every MOE element shows data-as-of; provenance fields (observer, instrument version) displayed</t>
  </si>
  <si>
    <t xml:space="preserve">D M38; LOOP 26.4</t>
  </si>
  <si>
    <t xml:space="preserve">ANA-05.4.01</t>
  </si>
  <si>
    <t xml:space="preserve">Supervisor pack validation</t>
  </si>
  <si>
    <t xml:space="preserve">Readiness roll-up numbers reconciled against independent fixture SQL</t>
  </si>
  <si>
    <t xml:space="preserve">All roll-up figures equal fixture SQL; unexplained deltas = 0</t>
  </si>
  <si>
    <t xml:space="preserve">ANA-05.4.02</t>
  </si>
  <si>
    <t xml:space="preserve">Gap-summary numbers reconciled against independent fixture SQL</t>
  </si>
  <si>
    <t xml:space="preserve">All gap figures equal fixture SQL; unexplained deltas = 0</t>
  </si>
  <si>
    <t xml:space="preserve">ANA-05.4.03</t>
  </si>
  <si>
    <t xml:space="preserve">MOE view numbers reconciled against M38/P3 source records with provenance intact</t>
  </si>
  <si>
    <t xml:space="preserve">MOE figures equal source records; provenance chain complete on sampled rows</t>
  </si>
  <si>
    <t xml:space="preserve">D M38 acceptance</t>
  </si>
  <si>
    <t xml:space="preserve">ANA-05.4.04</t>
  </si>
  <si>
    <t xml:space="preserve">Supervisor pack isolation run including command-level scoping: cross-command negative test passed</t>
  </si>
  <si>
    <t xml:space="preserve">ANA-03.2.04, ANA-05.3.02</t>
  </si>
  <si>
    <t xml:space="preserve">Supervisor of command A sees zero command-B rows across all three dashboards</t>
  </si>
  <si>
    <t xml:space="preserve">D M30 command gap; Scenario 2</t>
  </si>
  <si>
    <t xml:space="preserve">ANA-05.4.05</t>
  </si>
  <si>
    <t xml:space="preserve">Supervisor pack performance test at multi-unit fixture scale</t>
  </si>
  <si>
    <t xml:space="preserve">p95 render &lt;=2s at fixture scale per dashboard</t>
  </si>
  <si>
    <t xml:space="preserve">Review item 18</t>
  </si>
  <si>
    <t xml:space="preserve">ANA-05.4.06</t>
  </si>
  <si>
    <t xml:space="preserve">Supervisor pack accessibility pass per WCAG 2.1 AA</t>
  </si>
  <si>
    <t xml:space="preserve">Zero critical WCAG findings</t>
  </si>
  <si>
    <t xml:space="preserve">ANA-05.4.07</t>
  </si>
  <si>
    <t xml:space="preserve">Supervisor pack sign-off recorded by a real supervisor/commander user</t>
  </si>
  <si>
    <t xml:space="preserve">ANA-05.4.05, ANA-05.4.06</t>
  </si>
  <si>
    <t xml:space="preserve">Named supervisor signs acceptance; open P0/P1 defects = 0</t>
  </si>
  <si>
    <t xml:space="preserve">ANA-05.5.01</t>
  </si>
  <si>
    <t xml:space="preserve">Org admin pack</t>
  </si>
  <si>
    <t xml:space="preserve">Org-admin pack specs and mocks approved: usage/adoption/license and content-currency dashboards</t>
  </si>
  <si>
    <t xml:space="preserve">Spec defines adoption KPIs and currency/supersession display; admin rep approved</t>
  </si>
  <si>
    <t xml:space="preserve">L3 ANA-05</t>
  </si>
  <si>
    <t xml:space="preserve">ANA-05.5.02</t>
  </si>
  <si>
    <t xml:space="preserve">Usage/adoption/license dashboard built</t>
  </si>
  <si>
    <t xml:space="preserve">ANA-05.5.01, ANA-02.2.06</t>
  </si>
  <si>
    <t xml:space="preserve">Matches spec; usage figures source content-usage and events marts only</t>
  </si>
  <si>
    <t xml:space="preserve">ANA-05.5.03</t>
  </si>
  <si>
    <t xml:space="preserve">Content-currency dashboard built (stale variants, supersession status per M25 lineage)</t>
  </si>
  <si>
    <t xml:space="preserve">Stale-content counts trace to lineage records; superseded items flagged</t>
  </si>
  <si>
    <t xml:space="preserve">Scenario 4/16; PLAN M25</t>
  </si>
  <si>
    <t xml:space="preserve">ANA-05.5.04</t>
  </si>
  <si>
    <t xml:space="preserve">Usage dashboard numbers reconciled against independent fixture SQL</t>
  </si>
  <si>
    <t xml:space="preserve">All figures equal fixture SQL; unexplained deltas = 0</t>
  </si>
  <si>
    <t xml:space="preserve">ANA-05.5.05</t>
  </si>
  <si>
    <t xml:space="preserve">Content-currency numbers reconciled against lineage-service fixture SQL</t>
  </si>
  <si>
    <t xml:space="preserve">ANA-05.5.06</t>
  </si>
  <si>
    <t xml:space="preserve">Org-admin pack tenant-isolation run: Scenario-2 suite across both dashboards</t>
  </si>
  <si>
    <t xml:space="preserve">ANA-03.2.04, ANA-05.5.03</t>
  </si>
  <si>
    <t xml:space="preserve">Foreign-tenant rows = 0 across both dashboards</t>
  </si>
  <si>
    <t xml:space="preserve">ANA-05.5.07</t>
  </si>
  <si>
    <t xml:space="preserve">Org-admin pack performance test at fixture scale</t>
  </si>
  <si>
    <t xml:space="preserve">p95 render &lt;=2s per dashboard</t>
  </si>
  <si>
    <t xml:space="preserve">ANA-05.5.08</t>
  </si>
  <si>
    <t xml:space="preserve">Org-admin pack accessibility pass per WCAG 2.1 AA</t>
  </si>
  <si>
    <t xml:space="preserve">ANA-05.5.09</t>
  </si>
  <si>
    <t xml:space="preserve">Org-admin pack sign-off recorded by a real org-admin user</t>
  </si>
  <si>
    <t xml:space="preserve">ANA-05.5.07, ANA-05.5.08</t>
  </si>
  <si>
    <t xml:space="preserve">Named org admin signs acceptance; open P0/P1 defects = 0</t>
  </si>
  <si>
    <t xml:space="preserve">ANA-05.6.01</t>
  </si>
  <si>
    <t xml:space="preserve">Platform ops pack</t>
  </si>
  <si>
    <t xml:space="preserve">Metabase-vs-Grafana ownership decision recorded per ops view (event lag, queue depth, grade latency, federation freshness, GPU)</t>
  </si>
  <si>
    <t xml:space="preserve">Each of the five views has a named owning tool with rationale; no view unassigned</t>
  </si>
  <si>
    <t xml:space="preserve">L3 ANA-05 decision item</t>
  </si>
  <si>
    <t xml:space="preserve">ANA-05.6.02</t>
  </si>
  <si>
    <t xml:space="preserve">Pipeline-health ops dashboard built (event lag, queue depth, grade-return latency) in the decided tool</t>
  </si>
  <si>
    <t xml:space="preserve">ANA-05.6.01, ANA-02.2.01</t>
  </si>
  <si>
    <t xml:space="preserve">Lag/depth/latency figures match source outbox and queue tables; freshness indicator present</t>
  </si>
  <si>
    <t xml:space="preserve">MOD-004/007; L3 ANA-05</t>
  </si>
  <si>
    <t xml:space="preserve">ANA-05.6.03</t>
  </si>
  <si>
    <t xml:space="preserve">Federation-freshness and GPU-utilization ops dashboard built in the decided tool</t>
  </si>
  <si>
    <t xml:space="preserve">ANA-05.6.01, ANA-02.2.09</t>
  </si>
  <si>
    <t xml:space="preserve">Per-command data-as-of and per-node GPU utilization render from governed sources</t>
  </si>
  <si>
    <t xml:space="preserve">A-049; MOD-010</t>
  </si>
  <si>
    <t xml:space="preserve">ANA-05.6.04</t>
  </si>
  <si>
    <t xml:space="preserve">Ops dashboard numbers reconciled against independent queries on outbox/queue/telemetry sources</t>
  </si>
  <si>
    <t xml:space="preserve">ANA-05.6.02, ANA-05.6.03</t>
  </si>
  <si>
    <t xml:space="preserve">All figures equal source queries; unexplained deltas = 0</t>
  </si>
  <si>
    <t xml:space="preserve">ANA-05.6.05</t>
  </si>
  <si>
    <t xml:space="preserve">Ops pack access restricted to platform-ops group; access negative test passed for all other roles</t>
  </si>
  <si>
    <t xml:space="preserve">Access-test log</t>
  </si>
  <si>
    <t xml:space="preserve">Non-ops roles receive access-denied on both ops dashboards</t>
  </si>
  <si>
    <t xml:space="preserve">ANA-05.6.06</t>
  </si>
  <si>
    <t xml:space="preserve">Ops pack sign-off recorded by a site/SRE operator</t>
  </si>
  <si>
    <t xml:space="preserve">ANA-05.6.04, ANA-05.6.05</t>
  </si>
  <si>
    <t xml:space="preserve">Named operator signs acceptance; open P0/P1 defects = 0</t>
  </si>
  <si>
    <t xml:space="preserve">ANA-05.7.01</t>
  </si>
  <si>
    <t xml:space="preserve">TLA analyst pack</t>
  </si>
  <si>
    <t xml:space="preserve">TLA analyst pack specs approved: ELRR roll-up and cross-command comparison views with data-as-of stamps</t>
  </si>
  <si>
    <t xml:space="preserve">Spec mandates staleness disclosure on every federated element; analyst rep approved</t>
  </si>
  <si>
    <t xml:space="preserve">D M17/M30; LOOP 26.4</t>
  </si>
  <si>
    <t xml:space="preserve">ANA-05.7.02</t>
  </si>
  <si>
    <t xml:space="preserve">ELRR roll-up dashboard built on federated marts with data-as-of stamp on every view</t>
  </si>
  <si>
    <t xml:space="preserve">ANA-05.7.01, TLA-01.1.01</t>
  </si>
  <si>
    <t xml:space="preserve">Every view shows per-source data-as-of; no federated figure presented as current</t>
  </si>
  <si>
    <t xml:space="preserve">ANA-05.7.03</t>
  </si>
  <si>
    <t xml:space="preserve">Cross-command comparison view built with staleness disclosure and small-n suppression</t>
  </si>
  <si>
    <t xml:space="preserve">ANA-05.7.02, ANA-08.2.05</t>
  </si>
  <si>
    <t xml:space="preserve">Commands with stale data visually flagged; groups below n-threshold suppressed</t>
  </si>
  <si>
    <t xml:space="preserve">LOOP 26.4; L3 ANA-08</t>
  </si>
  <si>
    <t xml:space="preserve">ANA-05.7.04</t>
  </si>
  <si>
    <t xml:space="preserve">ELRR roll-up numbers reconciled against M31 reconciliation reports on fixture federation data</t>
  </si>
  <si>
    <t xml:space="preserve">Roll-up equals M31 reconciliation totals; unexplained deltas = 0</t>
  </si>
  <si>
    <t xml:space="preserve">D M31; L3 ANA-08</t>
  </si>
  <si>
    <t xml:space="preserve">ANA-05.7.05</t>
  </si>
  <si>
    <t xml:space="preserve">TLA pack authorization test: analyst sees only authorized commands; cross-command negative test passed</t>
  </si>
  <si>
    <t xml:space="preserve">ANA-03.2.04, ANA-05.7.02</t>
  </si>
  <si>
    <t xml:space="preserve">Unauthorized-command rows returned = 0</t>
  </si>
  <si>
    <t xml:space="preserve">ANA-05.7.06</t>
  </si>
  <si>
    <t xml:space="preserve">TLA analyst pack sign-off recorded by a real enterprise analyst</t>
  </si>
  <si>
    <t xml:space="preserve">ANA-05.7.04, ANA-05.7.05</t>
  </si>
  <si>
    <t xml:space="preserve">Named analyst signs acceptance; open P0/P1 defects = 0</t>
  </si>
  <si>
    <t xml:space="preserve">ANA-05.8.01</t>
  </si>
  <si>
    <t xml:space="preserve">Analyst self-service sandbox</t>
  </si>
  <si>
    <t xml:space="preserve">Governed sandbox collection created with tenant-scoped data permissions for analysts</t>
  </si>
  <si>
    <t xml:space="preserve">Collection config export</t>
  </si>
  <si>
    <t xml:space="preserve">Sandbox questions reach only requester-tenant data; certified collections read-only from sandbox</t>
  </si>
  <si>
    <t xml:space="preserve">ANA-05.8.02</t>
  </si>
  <si>
    <t xml:space="preserve">Sandbox query resource limits configured: statement timeout and row cap on sandbox DB role</t>
  </si>
  <si>
    <t xml:space="preserve">Role config + limit test</t>
  </si>
  <si>
    <t xml:space="preserve">Query exceeding timeout/row cap is terminated; production marts unaffected in load test</t>
  </si>
  <si>
    <t xml:space="preserve">ANA-05.8.03</t>
  </si>
  <si>
    <t xml:space="preserve">Sandbox-to-certified promotion path documented and exercised once through the SQL review gate</t>
  </si>
  <si>
    <t xml:space="preserve">ANA-04.3.01, ANA-05.8.01</t>
  </si>
  <si>
    <t xml:space="preserve">Promoted question + review record</t>
  </si>
  <si>
    <t xml:space="preserve">One sandbox question promoted with recorded review; path doc published</t>
  </si>
  <si>
    <t xml:space="preserve">ANA-05.8.04</t>
  </si>
  <si>
    <t xml:space="preserve">Sandbox isolation regression test: analyst native SQL in sandbox cannot return foreign-tenant rows</t>
  </si>
  <si>
    <t xml:space="preserve">Test run log</t>
  </si>
  <si>
    <t xml:space="preserve">Foreign-tenant rows from sandbox = 0 across tamper vectors</t>
  </si>
  <si>
    <t xml:space="preserve">ANA-05.9.01</t>
  </si>
  <si>
    <t xml:space="preserve">Exit-gate evidence bundle for ANA-05 assembled and reviewed (all packs: build, accuracy, isolation, perf, a11y, sign-offs)</t>
  </si>
  <si>
    <t xml:space="preserve">ANA-05.2.08, ANA-05.4.07, ANA-05.5.09, ANA-05.6.06, ANA-05.7.06, ANA-05.8.04</t>
  </si>
  <si>
    <t xml:space="preserve">Every dashboard shows accuracy, isolation and performance evidence; sign-off recorded</t>
  </si>
  <si>
    <t xml:space="preserve">Brief lane rule; L3 exit</t>
  </si>
  <si>
    <t xml:space="preserve">ANA-06.1.01</t>
  </si>
  <si>
    <t xml:space="preserve">Embedded analytics</t>
  </si>
  <si>
    <t xml:space="preserve">Embedding architecture</t>
  </si>
  <si>
    <t xml:space="preserve">Embedding mode decision recorded: signed static embedding on OSS; interactive embedding rejected with cost note</t>
  </si>
  <si>
    <t xml:space="preserve">Decision signed; edition/cost implications and revisit trigger documented</t>
  </si>
  <si>
    <t xml:space="preserve">L3 ANA-06; DEC-006</t>
  </si>
  <si>
    <t xml:space="preserve">ANA-06.1.02</t>
  </si>
  <si>
    <t xml:space="preserve">Embedding secret stored in vault with rotation procedure executed once</t>
  </si>
  <si>
    <t xml:space="preserve">Vault entry + rotation drill log</t>
  </si>
  <si>
    <t xml:space="preserve">Secret rotated with zero embed downtime beyond token expiry window</t>
  </si>
  <si>
    <t xml:space="preserve">ANA-06.1.03</t>
  </si>
  <si>
    <t xml:space="preserve">Server-side embed-URL signing implemented in M7-launched view backend using LTI/OIDC-derived tenant and user claims</t>
  </si>
  <si>
    <t xml:space="preserve">ANA-03.4.01, COR-01.1.01</t>
  </si>
  <si>
    <t xml:space="preserve">Service code + integration test</t>
  </si>
  <si>
    <t xml:space="preserve">Embed URL signed only server-side; claims sourced from verified launch context; test green</t>
  </si>
  <si>
    <t xml:space="preserve">AS-4; PLAN M7</t>
  </si>
  <si>
    <t xml:space="preserve">ANA-06.1.04</t>
  </si>
  <si>
    <t xml:space="preserve">Embed token expiry enforced and tested: expired token renders error, never stale data</t>
  </si>
  <si>
    <t xml:space="preserve">Expired-token request returns error page; cached render not served</t>
  </si>
  <si>
    <t xml:space="preserve">ANA-06.2.01</t>
  </si>
  <si>
    <t xml:space="preserve">LMS compatibility</t>
  </si>
  <si>
    <t xml:space="preserve">Moodle iframe/CSP compatibility test passed (frame-ancestors, third-party cookies, sandbox attrs)</t>
  </si>
  <si>
    <t xml:space="preserve">Test report + screenshots</t>
  </si>
  <si>
    <t xml:space="preserve">Teacher dashboard renders and filters inside Moodle with CSP enforced; console errors = 0</t>
  </si>
  <si>
    <t xml:space="preserve">L3 ANA-06</t>
  </si>
  <si>
    <t xml:space="preserve">ANA-06.2.02</t>
  </si>
  <si>
    <t xml:space="preserve">Canvas iframe/CSP compatibility test passed</t>
  </si>
  <si>
    <t xml:space="preserve">Dashboard renders and filters inside Canvas with CSP enforced; console errors = 0</t>
  </si>
  <si>
    <t xml:space="preserve">ANA-06.2.03</t>
  </si>
  <si>
    <t xml:space="preserve">Open edX iframe/CSP compatibility test passed</t>
  </si>
  <si>
    <t xml:space="preserve">Dashboard renders and filters inside Open edX with CSP enforced; console errors = 0</t>
  </si>
  <si>
    <t xml:space="preserve">ANA-06.2.04</t>
  </si>
  <si>
    <t xml:space="preserve">Locale/timezone handling verified in embedded context: dates and times render in tenant timezone and locale</t>
  </si>
  <si>
    <t xml:space="preserve">Test report (IST + second locale)</t>
  </si>
  <si>
    <t xml:space="preserve">Timestamps match tenant timezone across LMS contexts; locale formatting correct in sampled views</t>
  </si>
  <si>
    <t xml:space="preserve">LOOP 31; V-D2</t>
  </si>
  <si>
    <t xml:space="preserve">ANA-06.3.01</t>
  </si>
  <si>
    <t xml:space="preserve">Embedded load test</t>
  </si>
  <si>
    <t xml:space="preserve">Load-test fixture built: 2000-learner class with realistic event/attempt volume</t>
  </si>
  <si>
    <t xml:space="preserve">Fixture dataset + generation script</t>
  </si>
  <si>
    <t xml:space="preserve">Fixture matches documented volume profile; regenerable from script</t>
  </si>
  <si>
    <t xml:space="preserve">ANA-06.3.02</t>
  </si>
  <si>
    <t xml:space="preserve">Embedded dashboard load test executed: 500 concurrent teacher sessions on 2000-learner class</t>
  </si>
  <si>
    <t xml:space="preserve">ANA-06.3.01, ANA-05.1.02</t>
  </si>
  <si>
    <t xml:space="preserve">p95 embedded render &lt;=2s at 500 concurrent sessions; error rate &lt;1%</t>
  </si>
  <si>
    <t xml:space="preserve">ANA-06.3.03</t>
  </si>
  <si>
    <t xml:space="preserve">2x-load degradation behavior documented: graceful degradation, no errors served as data</t>
  </si>
  <si>
    <t xml:space="preserve">2x load report</t>
  </si>
  <si>
    <t xml:space="preserve">At 1000 sessions system queues or degrades visibly; wrong/partial numbers rendered = 0</t>
  </si>
  <si>
    <t xml:space="preserve">TST-STD 6</t>
  </si>
  <si>
    <t xml:space="preserve">ANA-06.4.01</t>
  </si>
  <si>
    <t xml:space="preserve">Exit-gate evidence bundle for ANA-06 assembled and reviewed (decision, signing, LMS matrix, load test)</t>
  </si>
  <si>
    <t xml:space="preserve">ANA-06.2.03, ANA-06.3.03</t>
  </si>
  <si>
    <t xml:space="preserve">All ANA-06 items evidenced; p95 result included; sign-off recorded</t>
  </si>
  <si>
    <t xml:space="preserve">ANA-07.1.01</t>
  </si>
  <si>
    <t xml:space="preserve">Alerts subscriptions exports</t>
  </si>
  <si>
    <t xml:space="preserve">Alerts and subscriptions</t>
  </si>
  <si>
    <t xml:space="preserve">At-risk threshold alert to teachers configured from certified at-risk question using M11 threshold definitions</t>
  </si>
  <si>
    <t xml:space="preserve">ANA-05.1.05, ANA-04.3.04</t>
  </si>
  <si>
    <t xml:space="preserve">Alert config + fired test alert</t>
  </si>
  <si>
    <t xml:space="preserve">Fixture learner crossing threshold triggers teacher alert within one refresh cycle</t>
  </si>
  <si>
    <t xml:space="preserve">L3 ANA-07; PLAN M11</t>
  </si>
  <si>
    <t xml:space="preserve">ANA-07.1.02</t>
  </si>
  <si>
    <t xml:space="preserve">Alert recipient tenant-scoping negative test: teacher never receives another tenant's alert</t>
  </si>
  <si>
    <t xml:space="preserve">Cross-tenant alert deliveries across test matrix = 0</t>
  </si>
  <si>
    <t xml:space="preserve">ANA-07.1.03</t>
  </si>
  <si>
    <t xml:space="preserve">Freshness-breach alert to ops configured for any mart exceeding its SLA</t>
  </si>
  <si>
    <t xml:space="preserve">Induced SLA breach alerts ops within 10 min naming mart and watermark</t>
  </si>
  <si>
    <t xml:space="preserve">L3 ANA-07</t>
  </si>
  <si>
    <t xml:space="preserve">ANA-07.1.04</t>
  </si>
  <si>
    <t xml:space="preserve">SMTP delivery configured for connected deployments with TLS and bounce monitoring</t>
  </si>
  <si>
    <t xml:space="preserve">SMTP config + delivery test</t>
  </si>
  <si>
    <t xml:space="preserve">Test digest delivered; bounces logged and alerting</t>
  </si>
  <si>
    <t xml:space="preserve">ANA-07.1.05</t>
  </si>
  <si>
    <t xml:space="preserve">Site Engineer</t>
  </si>
  <si>
    <t xml:space="preserve">On-prem SMTP relay configured and parity-checked against cloud alert behavior</t>
  </si>
  <si>
    <t xml:space="preserve">Relay config + parity test log</t>
  </si>
  <si>
    <t xml:space="preserve">Same alert set delivers on-prem; parity deltas justified in writing</t>
  </si>
  <si>
    <t xml:space="preserve">On-prem</t>
  </si>
  <si>
    <t xml:space="preserve">ANA-07.2.01</t>
  </si>
  <si>
    <t xml:space="preserve">Enclave alert delivery</t>
  </si>
  <si>
    <t xml:space="preserve">Enclave alert-delivery decision recorded: in-enclave SMTP relay or in-app notifications only</t>
  </si>
  <si>
    <t xml:space="preserve">Decision signed with operational rationale; chosen mechanism named in enclave BOM</t>
  </si>
  <si>
    <t xml:space="preserve">ANA-07.2.02</t>
  </si>
  <si>
    <t xml:space="preserve">Enclave alert delivery implemented per decision and verified under zero-egress test</t>
  </si>
  <si>
    <t xml:space="preserve">ANA-07.2.01, ANA-01.5.03</t>
  </si>
  <si>
    <t xml:space="preserve">Enclave test log</t>
  </si>
  <si>
    <t xml:space="preserve">Alerts deliver inside enclave; egress test remains green during delivery</t>
  </si>
  <si>
    <t xml:space="preserve">A-051; L3 ANA-07</t>
  </si>
  <si>
    <t xml:space="preserve">ANA-07.3.01</t>
  </si>
  <si>
    <t xml:space="preserve">Exports</t>
  </si>
  <si>
    <t xml:space="preserve">Scheduled CSV/XLSX exports configured with tenant-safe delivery via per-tenant recipient allow-list</t>
  </si>
  <si>
    <t xml:space="preserve">Export config + delivery test</t>
  </si>
  <si>
    <t xml:space="preserve">Export recipients validated against tenant allow-list; off-list address rejected</t>
  </si>
  <si>
    <t xml:space="preserve">ANA-07.3.02</t>
  </si>
  <si>
    <t xml:space="preserve">Export audit log implemented: who exported what, when, row count, tenant</t>
  </si>
  <si>
    <t xml:space="preserve">Audit log schema + sample entries</t>
  </si>
  <si>
    <t xml:space="preserve">100% of manual and scheduled exports produce an audit record; log is append-only</t>
  </si>
  <si>
    <t xml:space="preserve">Review interaction table (export no audit); MOD-013</t>
  </si>
  <si>
    <t xml:space="preserve">ANA-07.3.03</t>
  </si>
  <si>
    <t xml:space="preserve">PII-in-export column policy documented per role: permitted, masked, forbidden columns</t>
  </si>
  <si>
    <t xml:space="preserve">Policy doc</t>
  </si>
  <si>
    <t xml:space="preserve">Every mart PII column classified for every role; unclassified columns = 0</t>
  </si>
  <si>
    <t xml:space="preserve">L3 ANA-07; DPDP context</t>
  </si>
  <si>
    <t xml:space="preserve">ANA-07.3.04</t>
  </si>
  <si>
    <t xml:space="preserve">Column masking implemented on export paths and tested per role against the policy</t>
  </si>
  <si>
    <t xml:space="preserve">Masking test matrix</t>
  </si>
  <si>
    <t xml:space="preserve">Sampled exports per role match policy exactly; forbidden columns absent</t>
  </si>
  <si>
    <t xml:space="preserve">ANA-07.3.05</t>
  </si>
  <si>
    <t xml:space="preserve">Cross-tenant export negative test: tampered schedule/recipient config never yields foreign-tenant rows</t>
  </si>
  <si>
    <t xml:space="preserve">Foreign-tenant rows in any export = 0 across tamper vectors</t>
  </si>
  <si>
    <t xml:space="preserve">ANA-07.4.01</t>
  </si>
  <si>
    <t xml:space="preserve">Exit-gate evidence bundle for ANA-07 assembled and reviewed (alerts, enclave decision, export controls)</t>
  </si>
  <si>
    <t xml:space="preserve">ANA-07.1.02, ANA-07.2.02, ANA-07.3.05</t>
  </si>
  <si>
    <t xml:space="preserve">All ANA-07 items evidenced; sign-off recorded</t>
  </si>
  <si>
    <t xml:space="preserve">ANA-08.1.01</t>
  </si>
  <si>
    <t xml:space="preserve">Visualization standards</t>
  </si>
  <si>
    <t xml:space="preserve">Chart standards guide</t>
  </si>
  <si>
    <t xml:space="preserve">Chart-type selection rules documented (comparison, trend, distribution, part-to-whole; table fallback rules)</t>
  </si>
  <si>
    <t xml:space="preserve">Standards guide section</t>
  </si>
  <si>
    <t xml:space="preserve">Every shipped chart type has a stated selection rule; reviewers cite rules in dashboard reviews</t>
  </si>
  <si>
    <t xml:space="preserve">L3 ANA-08</t>
  </si>
  <si>
    <t xml:space="preserve">ANA-08.1.02</t>
  </si>
  <si>
    <t xml:space="preserve">Color palette defined meeting WCAG contrast with colorblind-safe categorical colors; validated by simulation</t>
  </si>
  <si>
    <t xml:space="preserve">Palette spec + simulator report</t>
  </si>
  <si>
    <t xml:space="preserve">All palette pairs pass WCAG contrast; deuteranopia/protanopia simulation shows distinct series</t>
  </si>
  <si>
    <t xml:space="preserve">MISS-029; L3 ANA-08</t>
  </si>
  <si>
    <t xml:space="preserve">ANA-08.1.03</t>
  </si>
  <si>
    <t xml:space="preserve">Dual-axis charts banned in the standard; default visualization settings template applied platform-wide</t>
  </si>
  <si>
    <t xml:space="preserve">Standard clause + settings export</t>
  </si>
  <si>
    <t xml:space="preserve">Audit finds zero dual-axis charts in certified collections</t>
  </si>
  <si>
    <t xml:space="preserve">ANA-08.1.04</t>
  </si>
  <si>
    <t xml:space="preserve">Uncertainty/confidence display standard defined for risk scores (band or interval, never bare point score)</t>
  </si>
  <si>
    <t xml:space="preserve">Standards guide section + reference viz</t>
  </si>
  <si>
    <t xml:space="preserve">At-risk visualizations show confidence/uncertainty per standard; bare-score renders = 0</t>
  </si>
  <si>
    <t xml:space="preserve">ANA-08.1.05</t>
  </si>
  <si>
    <t xml:space="preserve">Data-as-of stamp standard defined for federated views: format, placement, staleness threshold coloring</t>
  </si>
  <si>
    <t xml:space="preserve">All federated views comply; stamp absent on zero federated views in audit</t>
  </si>
  <si>
    <t xml:space="preserve">LOOP 26.4</t>
  </si>
  <si>
    <t xml:space="preserve">ANA-08.2.01</t>
  </si>
  <si>
    <t xml:space="preserve">Enforcement and bias checks</t>
  </si>
  <si>
    <t xml:space="preserve">Dashboard review checklist created embedding the accuracy-reconciliation line and standards compliance; mandatory pre-certification</t>
  </si>
  <si>
    <t xml:space="preserve">ANA-08.1.03, ANA-04.3.01</t>
  </si>
  <si>
    <t xml:space="preserve">Checklist doc + usage records</t>
  </si>
  <si>
    <t xml:space="preserve">No dashboard certified without completed checklist; sampled compliance 100%</t>
  </si>
  <si>
    <t xml:space="preserve">ANA-08.2.02</t>
  </si>
  <si>
    <t xml:space="preserve">Bias-check procedure documented for group-segmented learner risk/performance visualizations (base rates, denominators, small-n)</t>
  </si>
  <si>
    <t xml:space="preserve">Procedure doc</t>
  </si>
  <si>
    <t xml:space="preserve">Procedure defines binary checks for base-rate context, denominator display and n-thresholds</t>
  </si>
  <si>
    <t xml:space="preserve">ANA-08.2.03</t>
  </si>
  <si>
    <t xml:space="preserve">Bias check executed on at-risk and readiness dashboards; findings dispositioned in writing</t>
  </si>
  <si>
    <t xml:space="preserve">ANA-08.2.02, ANA-05.1.05</t>
  </si>
  <si>
    <t xml:space="preserve">Bias-check report</t>
  </si>
  <si>
    <t xml:space="preserve">Every finding has a fix or signed waiver; unreviewed group-segmented views = 0</t>
  </si>
  <si>
    <t xml:space="preserve">ANA-08.2.04</t>
  </si>
  <si>
    <t xml:space="preserve">Small-n suppression rule implemented: group segments below threshold not rendered</t>
  </si>
  <si>
    <t xml:space="preserve">Config/code + test render</t>
  </si>
  <si>
    <t xml:space="preserve">Segments below threshold suppressed on all group-segmented views in test matrix</t>
  </si>
  <si>
    <t xml:space="preserve">NEW: privacy protection for small cohorts</t>
  </si>
  <si>
    <t xml:space="preserve">ANA-08.2.05</t>
  </si>
  <si>
    <t xml:space="preserve">Standards-compliance audit executed across all shipped dashboards; violations fixed or waived in writing</t>
  </si>
  <si>
    <t xml:space="preserve">Audit report</t>
  </si>
  <si>
    <t xml:space="preserve">100% of certified dashboards audited; open unwaived violations = 0</t>
  </si>
  <si>
    <t xml:space="preserve">ANA-08.3.01</t>
  </si>
  <si>
    <t xml:space="preserve">Exit-gate evidence bundle for ANA-08 assembled and reviewed (guide, palette proof, bias checks, audit)</t>
  </si>
  <si>
    <t xml:space="preserve">ANA-08.2.03, ANA-08.2.05</t>
  </si>
  <si>
    <t xml:space="preserve">All ANA-08 items evidenced; sign-off recorded</t>
  </si>
  <si>
    <t xml:space="preserve">ANA-09.1.01</t>
  </si>
  <si>
    <t xml:space="preserve">BI operations</t>
  </si>
  <si>
    <t xml:space="preserve">Query and cache management</t>
  </si>
  <si>
    <t xml:space="preserve">Slow-query review cadence established: weekly review of BI slow-query log with remediation tickets</t>
  </si>
  <si>
    <t xml:space="preserve">Review calendar + first review notes</t>
  </si>
  <si>
    <t xml:space="preserve">First two reviews held; top-N slow queries ticketed with owners</t>
  </si>
  <si>
    <t xml:space="preserve">L3 ANA-09</t>
  </si>
  <si>
    <t xml:space="preserve">ANA-09.1.02</t>
  </si>
  <si>
    <t xml:space="preserve">Per-question cache TTL policy documented with TTLs consistent with each mart's refresh interval</t>
  </si>
  <si>
    <t xml:space="preserve">Cache policy doc + config export</t>
  </si>
  <si>
    <t xml:space="preserve">No question TTL exceeds its mart refresh interval; exceptions carry written waiver</t>
  </si>
  <si>
    <t xml:space="preserve">ANA-09.1.03</t>
  </si>
  <si>
    <t xml:space="preserve">Cache-vs-freshness consistency test: no dashboard serves data older than mart SLA plus TTL</t>
  </si>
  <si>
    <t xml:space="preserve">Sampled dashboards never exceed SLA+TTL staleness during test window</t>
  </si>
  <si>
    <t xml:space="preserve">ANA-09.2.01</t>
  </si>
  <si>
    <t xml:space="preserve">Platform monitoring</t>
  </si>
  <si>
    <t xml:space="preserve">Metabase app-DB monitoring live: connections, size, bloat, backup success with alert thresholds</t>
  </si>
  <si>
    <t xml:space="preserve">Monitoring dashboard + alert rules</t>
  </si>
  <si>
    <t xml:space="preserve">All four signals graphed; threshold breach fires alert in test</t>
  </si>
  <si>
    <t xml:space="preserve">ANA-09.2.02</t>
  </si>
  <si>
    <t xml:space="preserve">Metabase service SLO defined (availability, dashboard p95) and measured in staging and production</t>
  </si>
  <si>
    <t xml:space="preserve">SLO doc + measurement dashboards</t>
  </si>
  <si>
    <t xml:space="preserve">SLO numbers published; 30-day measurement exists in both environments</t>
  </si>
  <si>
    <t xml:space="preserve">ANA-09.2.03</t>
  </si>
  <si>
    <t xml:space="preserve">BI operator runbook written and walked end-to-end by an operator who did not write it</t>
  </si>
  <si>
    <t xml:space="preserve">Runbook + walkthrough record</t>
  </si>
  <si>
    <t xml:space="preserve">Independent operator completes restart, restore and cache-flush procedures unaided</t>
  </si>
  <si>
    <t xml:space="preserve">TST-STD 8; A-043</t>
  </si>
  <si>
    <t xml:space="preserve">Usage governance</t>
  </si>
  <si>
    <t xml:space="preserve">Dashboard usage analytics enabled internally (views per dashboard per role) with zero external telemetry</t>
  </si>
  <si>
    <t xml:space="preserve">Usage query/dashboard</t>
  </si>
  <si>
    <t xml:space="preserve">Usage counts queryable per dashboard; egress test stays green with usage collection on</t>
  </si>
  <si>
    <t xml:space="preserve">L3 ANA-09; E6</t>
  </si>
  <si>
    <t xml:space="preserve">ANA-09.3.02</t>
  </si>
  <si>
    <t xml:space="preserve">Quarterly kill-or-fix review operating: unused dashboards archived or remediated with decision log</t>
  </si>
  <si>
    <t xml:space="preserve">First review minutes + decision log</t>
  </si>
  <si>
    <t xml:space="preserve">First review held; every dashboard below usage threshold has kill/fix/keep decision recorded</t>
  </si>
  <si>
    <t xml:space="preserve">ANA-09.4.01</t>
  </si>
  <si>
    <t xml:space="preserve">Superset contingency</t>
  </si>
  <si>
    <t xml:space="preserve">Superset contingency assessment documented with measurable trigger conditions (isolation cost, MOE chart limits, embed limits)</t>
  </si>
  <si>
    <t xml:space="preserve">Contingency assessment doc</t>
  </si>
  <si>
    <t xml:space="preserve">Triggers are binary/measurable; migration-effort estimate and re-decision owner named</t>
  </si>
  <si>
    <t xml:space="preserve">DEC-006; R-028; L3 ANA-09</t>
  </si>
  <si>
    <t xml:space="preserve">ANA-09.5.01</t>
  </si>
  <si>
    <t xml:space="preserve">Exit-gate evidence bundle for ANA-09 assembled and reviewed (cadences, SLOs, runbook, contingency)</t>
  </si>
  <si>
    <t xml:space="preserve">ANA-09.1.03, ANA-09.2.03, ANA-09.4.01</t>
  </si>
  <si>
    <t xml:space="preserve">All ANA-09 items evidenced; sign-off recorded</t>
  </si>
  <si>
    <t xml:space="preserve">FED</t>
  </si>
  <si>
    <t xml:space="preserve">Federation contract v1</t>
  </si>
  <si>
    <t xml:space="preserve">Topology and governance</t>
  </si>
  <si>
    <t xml:space="preserve">Federation topology decision executed: hierarchical site-to-command-to-enterprise tiers recorded with per-tier responsibilities and provenance duties</t>
  </si>
  <si>
    <t xml:space="preserve">Signed decision record (DEC-003)</t>
  </si>
  <si>
    <t xml:space="preserve">Decision names the tiers, their sovereignty rules, and provenance duties; approved by program director</t>
  </si>
  <si>
    <t xml:space="preserve">DEC-003; MOD-016</t>
  </si>
  <si>
    <t xml:space="preserve">FED-01.1.02</t>
  </si>
  <si>
    <t xml:space="preserve">Per-data-class sovereignty and minimization matrix approved by the governance owner: what leaves origin as-is, what is aggregated, what is pseudonymized</t>
  </si>
  <si>
    <t xml:space="preserve">Approved sovereignty matrix</t>
  </si>
  <si>
    <t xml:space="preserve">Every federating data class has one row with explicit treatment; governance-owner signature recorded</t>
  </si>
  <si>
    <t xml:space="preserve">Review D-M31 gap 4; LOOP 26.3; R-025</t>
  </si>
  <si>
    <t xml:space="preserve">FED-01.1.03</t>
  </si>
  <si>
    <t xml:space="preserve">Federation governance authority named in writing for identity-matching adjudication and per-framework conflict resolution</t>
  </si>
  <si>
    <t xml:space="preserve">Named-authority record</t>
  </si>
  <si>
    <t xml:space="preserve">Authority named with acceptance in writing; escalation path documented; Scenario 12 adjudicator question closed</t>
  </si>
  <si>
    <t xml:space="preserve">Scenario 12(d); MOD-016; Final Challenge Q25</t>
  </si>
  <si>
    <t xml:space="preserve">FED-01.2.01</t>
  </si>
  <si>
    <t xml:space="preserve">Transfer manifest format</t>
  </si>
  <si>
    <t xml:space="preserve">Transfer manifest schema v1 published: batch UUID, origin and destination tier IDs, record counts, per-record checksums, content hashes, and schema versions</t>
  </si>
  <si>
    <t xml:space="preserve">Manifest schema in contract registry</t>
  </si>
  <si>
    <t xml:space="preserve">All listed fields mandatory; sample manifest validates; schema versioned in registry</t>
  </si>
  <si>
    <t xml:space="preserve">Review D-M31 gap 2; MOD-016; S.6</t>
  </si>
  <si>
    <t xml:space="preserve">FED-01.2.02</t>
  </si>
  <si>
    <t xml:space="preserve">Manifest signing specification defined: signature algorithm, per-tier key hierarchy, and verification-failure handling</t>
  </si>
  <si>
    <t xml:space="preserve">Signing spec in contract registry</t>
  </si>
  <si>
    <t xml:space="preserve">Spec states algorithm, key custody per tier, and the reject-and-quarantine behavior on verification failure</t>
  </si>
  <si>
    <t xml:space="preserve">Review D-M31 gap 2; S.6</t>
  </si>
  <si>
    <t xml:space="preserve">FED-01.2.03</t>
  </si>
  <si>
    <t xml:space="preserve">Batch idempotency rules defined: batch-UUID dedup, prohibition of partial apply, and replay-safe re-ingestion semantics</t>
  </si>
  <si>
    <t xml:space="preserve">Idempotency rules in federation contract</t>
  </si>
  <si>
    <t xml:space="preserve">Duplicate, partial-failure, and replay cases each have one specified deterministic outcome</t>
  </si>
  <si>
    <t xml:space="preserve">Review D-M31 gap 3; MOD-004 pattern</t>
  </si>
  <si>
    <t xml:space="preserve">FED-01.2.04</t>
  </si>
  <si>
    <t xml:space="preserve">Wrong-destination protection defined: destination addressing and authorization carried in the manifest with mismatched batches rejected and alarmed at the receiving tier</t>
  </si>
  <si>
    <t xml:space="preserve">Addressing/authorization section of contract</t>
  </si>
  <si>
    <t xml:space="preserve">Spec makes destination check mandatory before any record applies; alarm behavior defined</t>
  </si>
  <si>
    <t xml:space="preserve">Review D-M31 gap 5; LOOP 8</t>
  </si>
  <si>
    <t xml:space="preserve">FED-01.2.05</t>
  </si>
  <si>
    <t xml:space="preserve">Manifest conformance test suite written before implementation and running green against a stub</t>
  </si>
  <si>
    <t xml:space="preserve">FED-01.2.03, FED-01.2.04</t>
  </si>
  <si>
    <t xml:space="preserve">Suite covers valid, duplicate, out-of-order, tampered, and wrong-destination manifests; green against stub</t>
  </si>
  <si>
    <t xml:space="preserve">MOD-016; T Stage 0 exit gate</t>
  </si>
  <si>
    <t xml:space="preserve">FED-01.3.01</t>
  </si>
  <si>
    <t xml:space="preserve">Learner identity matching</t>
  </si>
  <si>
    <t xml:space="preserve">Canonical learner-matching rule published: pairwise pseudonymous ID mappings maintained at the ELRR under the governance authority with no global person identifier</t>
  </si>
  <si>
    <t xml:space="preserve">Matching rule in federation contract</t>
  </si>
  <si>
    <t xml:space="preserve">Rule specifies mapping creation, custody, and lookup; zero direct PII in transferred match keys</t>
  </si>
  <si>
    <t xml:space="preserve">A-050; S.6; MOD-016; HS-8</t>
  </si>
  <si>
    <t xml:space="preserve">FED-01.3.02</t>
  </si>
  <si>
    <t xml:space="preserve">Match-collision handling defined: ambiguous matches route to a human adjudication queue with merge and unmerge procedures fully audited</t>
  </si>
  <si>
    <t xml:space="preserve">Collision/merge/unmerge procedure spec</t>
  </si>
  <si>
    <t xml:space="preserve">Procedure covers collision, merge, unmerge, and mis-merge remediation each with audit requirements</t>
  </si>
  <si>
    <t xml:space="preserve">A-050; Scenario 12(c)</t>
  </si>
  <si>
    <t xml:space="preserve">FED-01.3.03</t>
  </si>
  <si>
    <t xml:space="preserve">Matching rule tested with deliberately colliding synthetic identities and the mis-merge remediation drill documented</t>
  </si>
  <si>
    <t xml:space="preserve">Collision test report plus drill record</t>
  </si>
  <si>
    <t xml:space="preserve">Colliding fixtures route to adjudication (zero silent merges); remediation drill restores correct state with audit</t>
  </si>
  <si>
    <t xml:space="preserve">A-050 validation; Scenario 12</t>
  </si>
  <si>
    <t xml:space="preserve">FED-01.3.04</t>
  </si>
  <si>
    <t xml:space="preserve">Federation contract v1 assembled (manifest, matching, sovereignty, idempotency) and published in the contract registry as one versioned artifact</t>
  </si>
  <si>
    <t xml:space="preserve">FED-01.2.05, FED-01.3.02</t>
  </si>
  <si>
    <t xml:space="preserve">Federation contract v1 in registry</t>
  </si>
  <si>
    <t xml:space="preserve">Contract version-tagged; M17 and M31 build items reference it; CI compatibility check enabled</t>
  </si>
  <si>
    <t xml:space="preserve">MOD-016; Review D-M17/D-M31 entry criteria</t>
  </si>
  <si>
    <t xml:space="preserve">FED-01.3.05</t>
  </si>
  <si>
    <t xml:space="preserve">Exit-gate evidence bundle for federation contract task assembled and reviewed</t>
  </si>
  <si>
    <t xml:space="preserve">Bundle contains decisions, matrix, contract v1, green stub suite; reviewer sign-off recorded</t>
  </si>
  <si>
    <t xml:space="preserve">FED-02.1.01</t>
  </si>
  <si>
    <t xml:space="preserve">Boundary transfer mechanisms</t>
  </si>
  <si>
    <t xml:space="preserve">Mechanism selection</t>
  </si>
  <si>
    <t xml:space="preserve">Boundary survey completed per customer/deployment class recording the available transfer mechanism (media, one-way, gateway) and its cadence</t>
  </si>
  <si>
    <t xml:space="preserve">Boundary survey report</t>
  </si>
  <si>
    <t xml:space="preserve">Every committed deployment class has a surveyed mechanism and cadence entry; unknowns explicitly listed</t>
  </si>
  <si>
    <t xml:space="preserve">A-049; MISS-010</t>
  </si>
  <si>
    <t xml:space="preserve">FED-02.1.02</t>
  </si>
  <si>
    <t xml:space="preserve">Transfer mechanism selected per deployment class: removable media for enclaves, one-way path for high-side links, controlled gateway for connected deployments, recorded with rationale</t>
  </si>
  <si>
    <t xml:space="preserve">Signed mechanism decision record</t>
  </si>
  <si>
    <t xml:space="preserve">Each class maps to exactly one primary mechanism; latency implication stated per class</t>
  </si>
  <si>
    <t xml:space="preserve">Review D-M31 gap 1; LOOP 25.6</t>
  </si>
  <si>
    <t xml:space="preserve">FED-02.1.03</t>
  </si>
  <si>
    <t xml:space="preserve">[DEFERRED-ATO] Accreditor concurrence obtained on the selected boundary mechanisms and media-handling procedure</t>
  </si>
  <si>
    <t xml:space="preserve">Accreditor concurrence record</t>
  </si>
  <si>
    <t xml:space="preserve">Concurrence documented per mechanism class or divergence logged as accepted risk</t>
  </si>
  <si>
    <t xml:space="preserve">Review D-M31 entry criteria; DEC-008</t>
  </si>
  <si>
    <t xml:space="preserve">FED-02.1.04</t>
  </si>
  <si>
    <t xml:space="preserve">[DEFERRED-ATO] Cross-domain component sourcing analysis completed for one-way transfer hardware covering data rights, exit strategy, and P1 accreditation coupling</t>
  </si>
  <si>
    <t xml:space="preserve">Sourcing analysis memo</t>
  </si>
  <si>
    <t xml:space="preserve">Memo lists candidate components with data-rights and exit positions; P1 coupling risks enumerated</t>
  </si>
  <si>
    <t xml:space="preserve">Review D-M31 gap 7; LOOP 23</t>
  </si>
  <si>
    <t xml:space="preserve">FED-02.2.01</t>
  </si>
  <si>
    <t xml:space="preserve">Mechanism implementation</t>
  </si>
  <si>
    <t xml:space="preserve">Media transfer procedure implemented: signed bundle export to removable media, two-person integrity checklist, boundary malware scan, and import verification</t>
  </si>
  <si>
    <t xml:space="preserve">FED-01.3.04, FED-02.1.02</t>
  </si>
  <si>
    <t xml:space="preserve">Media transfer drill log</t>
  </si>
  <si>
    <t xml:space="preserve">Full media round-trip drill passes with all checklist steps evidenced; verification failure path exercised</t>
  </si>
  <si>
    <t xml:space="preserve">Review D-M31; G.6; LOOP 9</t>
  </si>
  <si>
    <t xml:space="preserve">FED-02.2.02</t>
  </si>
  <si>
    <t xml:space="preserve">One-way transfer path prototyped: manifest-based batch over a diode simulator with no return channel and acknowledgment carried in the next reverse-window manifest</t>
  </si>
  <si>
    <t xml:space="preserve">Prototype test report</t>
  </si>
  <si>
    <t xml:space="preserve">Batch applies with zero return-channel traffic; delayed acknowledgment reconciles on next window</t>
  </si>
  <si>
    <t xml:space="preserve">Review D-M31 gap 1</t>
  </si>
  <si>
    <t xml:space="preserve">FED-02.2.03</t>
  </si>
  <si>
    <t xml:space="preserve">Controlled-gateway transfer implemented with mutual TLS, allow-listed manifest endpoint, and rate limiting</t>
  </si>
  <si>
    <t xml:space="preserve">Gateway transfer test run</t>
  </si>
  <si>
    <t xml:space="preserve">Transfer succeeds only with valid service identity on the allow-listed route; rate limit enforced in test</t>
  </si>
  <si>
    <t xml:space="preserve">Review D-M31; G boundary</t>
  </si>
  <si>
    <t xml:space="preserve">FED-02.2.04</t>
  </si>
  <si>
    <t xml:space="preserve">Two-way flow design recorded: content, models, framework updates, and revocations inbound to enclaves via the same manifest-and-quarantine discipline as outbound records</t>
  </si>
  <si>
    <t xml:space="preserve">Two-way flow design doc</t>
  </si>
  <si>
    <t xml:space="preserve">Inbound classes enumerated with manifest treatment; one-way-only assumption explicitly retired</t>
  </si>
  <si>
    <t xml:space="preserve">Review D-M31 gap 8</t>
  </si>
  <si>
    <t xml:space="preserve">FED-02.2.05</t>
  </si>
  <si>
    <t xml:space="preserve">Worst-case media-cadence latency test executed: transfer via manual media within the declared window with data-as-of labeling verified at destination views</t>
  </si>
  <si>
    <t xml:space="preserve">FED-02.2.01, TLA-05.3.01</t>
  </si>
  <si>
    <t xml:space="preserve">Latency test report</t>
  </si>
  <si>
    <t xml:space="preserve">Transfer completes within window; destination views display correct data-as-of for the batch</t>
  </si>
  <si>
    <t xml:space="preserve">A-049 validation</t>
  </si>
  <si>
    <t xml:space="preserve">FED-02.2.06</t>
  </si>
  <si>
    <t xml:space="preserve">Emergency out-of-cycle transfer procedure defined for critical revocations and corrections with its own SLA</t>
  </si>
  <si>
    <t xml:space="preserve">Emergency transfer procedure doc</t>
  </si>
  <si>
    <t xml:space="preserve">Procedure states trigger criteria, SLA, and evidence requirements; walked through on the reference enclave</t>
  </si>
  <si>
    <t xml:space="preserve">Scenario 13(b) pattern; Scenario 12(e)</t>
  </si>
  <si>
    <t xml:space="preserve">FED-02.2.07</t>
  </si>
  <si>
    <t xml:space="preserve">Exit-gate evidence bundle for boundary mechanisms task assembled and reviewed</t>
  </si>
  <si>
    <t xml:space="preserve">FED-02.2.05, FED-02.2.06</t>
  </si>
  <si>
    <t xml:space="preserve">Bundle contains survey, decisions, drill logs, latency test; reviewer sign-off recorded</t>
  </si>
  <si>
    <t xml:space="preserve">FED-03.1.01</t>
  </si>
  <si>
    <t xml:space="preserve">Pipeline export ingest quarantine</t>
  </si>
  <si>
    <t xml:space="preserve">Export and ingest</t>
  </si>
  <si>
    <t xml:space="preserve">Origin-side batch exporter implemented: assembles assertions and summaries per the sovereignty matrix and generates a signed manifest</t>
  </si>
  <si>
    <t xml:space="preserve">Exporter test run with manifest output</t>
  </si>
  <si>
    <t xml:space="preserve">Export of fixture data yields a schema-valid signed manifest; excluded classes absent from payload</t>
  </si>
  <si>
    <t xml:space="preserve">Review D-M31; S.6</t>
  </si>
  <si>
    <t xml:space="preserve">FED-03.1.02</t>
  </si>
  <si>
    <t xml:space="preserve">Sovereignty compliance negative test implemented: an attempted export of a prohibited data class is blocked at the exporter and logged</t>
  </si>
  <si>
    <t xml:space="preserve">Prohibited-class export attempt produces zero payload rows and one policy-violation log entry</t>
  </si>
  <si>
    <t xml:space="preserve">FED-01.1.02; LOOP 26.3</t>
  </si>
  <si>
    <t xml:space="preserve">FED-03.1.03</t>
  </si>
  <si>
    <t xml:space="preserve">Destination-side ingestion implemented: signature and per-record checksum verification completes before any record is applied</t>
  </si>
  <si>
    <t xml:space="preserve">Ingestion test with tampered-batch case</t>
  </si>
  <si>
    <t xml:space="preserve">Valid batch applies fully; tampered batch applies zero records</t>
  </si>
  <si>
    <t xml:space="preserve">Review D-M31 gap 2</t>
  </si>
  <si>
    <t xml:space="preserve">FED-03.1.04</t>
  </si>
  <si>
    <t xml:space="preserve">Pseudonymization and aggregation transforms applied at export per data class with the transform recorded in provenance</t>
  </si>
  <si>
    <t xml:space="preserve">Transform verification test</t>
  </si>
  <si>
    <t xml:space="preserve">Transformed classes contain no direct identifiers; provenance names the transform applied per record group</t>
  </si>
  <si>
    <t xml:space="preserve">Review D-M31 gap 4; TLA-04.2.02</t>
  </si>
  <si>
    <t xml:space="preserve">FED-03.2.01</t>
  </si>
  <si>
    <t xml:space="preserve">Quarantine and replay</t>
  </si>
  <si>
    <t xml:space="preserve">Quarantine implemented: failed-verification or malformed batches are isolated whole with a quarantine record and alarm, and nothing partially applied</t>
  </si>
  <si>
    <t xml:space="preserve">Quarantine test run</t>
  </si>
  <si>
    <t xml:space="preserve">Corrupt batch lands in quarantine with zero applied records; alarm event emitted</t>
  </si>
  <si>
    <t xml:space="preserve">Review D-M31 gap 3; M31 acceptance (a)</t>
  </si>
  <si>
    <t xml:space="preserve">FED-03.2.02</t>
  </si>
  <si>
    <t xml:space="preserve">Replay implemented: a quarantined-then-corrected batch re-ingests idempotently with duplicate and out-of-order injection tests passing</t>
  </si>
  <si>
    <t xml:space="preserve">Replay test suite run</t>
  </si>
  <si>
    <t xml:space="preserve">Duplicate batch yields zero new records; corrected replay applies exactly once; out-of-order pair converges</t>
  </si>
  <si>
    <t xml:space="preserve">Review D-M31 acceptance (a)</t>
  </si>
  <si>
    <t xml:space="preserve">FED-03.2.03</t>
  </si>
  <si>
    <t xml:space="preserve">Out-of-order convergence proven: applying batch N+1 before batch N reaches the same final state as in-order application, by automated test</t>
  </si>
  <si>
    <t xml:space="preserve">Convergence test run</t>
  </si>
  <si>
    <t xml:space="preserve">State diff between orderings is empty after both batches apply</t>
  </si>
  <si>
    <t xml:space="preserve">Review D-M31 gap 3</t>
  </si>
  <si>
    <t xml:space="preserve">FED-03.2.04</t>
  </si>
  <si>
    <t xml:space="preserve">Batch lifecycle state machine implemented (created, in-transit, verified, applied, quarantined, replayed) queryable per federation link</t>
  </si>
  <si>
    <t xml:space="preserve">State query output for test batches</t>
  </si>
  <si>
    <t xml:space="preserve">Every test batch shows a complete, correct state history; no terminal-state ambiguity</t>
  </si>
  <si>
    <t xml:space="preserve">FED-03.2.05</t>
  </si>
  <si>
    <t xml:space="preserve">Export volume test executed at three-year-retention batch sizes with throughput and media-size measurements recorded</t>
  </si>
  <si>
    <t xml:space="preserve">Largest projected batch exports and ingests within the transfer-window budget; sizes documented</t>
  </si>
  <si>
    <t xml:space="preserve">A-007; A-049</t>
  </si>
  <si>
    <t xml:space="preserve">FED-03.2.06</t>
  </si>
  <si>
    <t xml:space="preserve">Exit-gate evidence bundle for pipeline build task assembled and reviewed</t>
  </si>
  <si>
    <t xml:space="preserve">FED-03.2.02, FED-03.2.04</t>
  </si>
  <si>
    <t xml:space="preserve">Bundle contains export, tamper, quarantine, replay, convergence, volume evidence; reviewer sign-off recorded</t>
  </si>
  <si>
    <t xml:space="preserve">FED-04.1.01</t>
  </si>
  <si>
    <t xml:space="preserve">Conflict and lifecycle propagation</t>
  </si>
  <si>
    <t xml:space="preserve">Conflict detection and adjudication</t>
  </si>
  <si>
    <t xml:space="preserve">Conflict detection implemented at ingestion: same learner, same competency, overlapping period, differing result auto-flags both records as contested with provenance retained</t>
  </si>
  <si>
    <t xml:space="preserve">FED-03.1.03, TLA-05.1.03</t>
  </si>
  <si>
    <t xml:space="preserve">Conflict detection test run</t>
  </si>
  <si>
    <t xml:space="preserve">Conflicting fixture pair auto-flags; both records retained; zero auto-resolution occurs</t>
  </si>
  <si>
    <t xml:space="preserve">Scenario 12(d); A-053</t>
  </si>
  <si>
    <t xml:space="preserve">FED-04.1.02</t>
  </si>
  <si>
    <t xml:space="preserve">Adjudication workflow implemented: flagged conflicts route to the named governance authority and the resolution is recorded as a signed record updating downstream views</t>
  </si>
  <si>
    <t xml:space="preserve">FED-04.1.01, FED-01.1.03</t>
  </si>
  <si>
    <t xml:space="preserve">Adjudication workflow test</t>
  </si>
  <si>
    <t xml:space="preserve">Test conflict routes to authority queue; signed resolution supersedes contested state in downstream reads</t>
  </si>
  <si>
    <t xml:space="preserve">Scenario 12(d); MOD-016</t>
  </si>
  <si>
    <t xml:space="preserve">FED-04.1.03</t>
  </si>
  <si>
    <t xml:space="preserve">Contested-status display contract delivered to ANA and readiness consumers so views render contested state and never silently pick one record</t>
  </si>
  <si>
    <t xml:space="preserve">FED-04.1.01, TLA-05.3.02</t>
  </si>
  <si>
    <t xml:space="preserve">Display contract in registry</t>
  </si>
  <si>
    <t xml:space="preserve">Contract mandates contested rendering; ANA team acknowledged as consumer in writing</t>
  </si>
  <si>
    <t xml:space="preserve">FED-04.1.04</t>
  </si>
  <si>
    <t xml:space="preserve">Revocation correction deletion</t>
  </si>
  <si>
    <t xml:space="preserve">Per-data-class propagation SLA table ratified: revocation, correction, and deletion each bounded per boundary class (online hours; media-transfer next window)</t>
  </si>
  <si>
    <t xml:space="preserve">Ratified SLA table in federation contract</t>
  </si>
  <si>
    <t xml:space="preserve">Every lifecycle event class has a numeric bound per boundary class; governance owner signature recorded</t>
  </si>
  <si>
    <t xml:space="preserve">Scenario 12(e); S.6</t>
  </si>
  <si>
    <t xml:space="preserve">FED-04.2.01</t>
  </si>
  <si>
    <t xml:space="preserve">Revocation propagation implemented through the pipeline meeting per-class staleness bounds, with media-cadence destinations marked revocation-pending until confirmed</t>
  </si>
  <si>
    <t xml:space="preserve">FED-04.1.04, FED-03.2.02</t>
  </si>
  <si>
    <t xml:space="preserve">Revocation propagation test with timings</t>
  </si>
  <si>
    <t xml:space="preserve">Revocation reaches gateway-class destination within bound; media-class destination shows pending state</t>
  </si>
  <si>
    <t xml:space="preserve">Scenario 12(e); Review D-M17 acceptance (b)</t>
  </si>
  <si>
    <t xml:space="preserve">FED-04.2.02</t>
  </si>
  <si>
    <t xml:space="preserve">Correction propagation implemented: a corrected assertion supersedes the prior version across tiers with the version chain intact</t>
  </si>
  <si>
    <t xml:space="preserve">Destination shows corrected value with prior version queryable in history; zero orphaned versions</t>
  </si>
  <si>
    <t xml:space="preserve">Review H.5 pattern; Scenario 10</t>
  </si>
  <si>
    <t xml:space="preserve">FED-04.2.03</t>
  </si>
  <si>
    <t xml:space="preserve">Deletion/erasure propagation implemented: DPDP erasure tombstones travel in manifests, already-federated copies are anonymized, and a completion receipt returns to origin</t>
  </si>
  <si>
    <t xml:space="preserve">FED-04.1.04, TLA-05.2.02</t>
  </si>
  <si>
    <t xml:space="preserve">Erasure propagation drill log</t>
  </si>
  <si>
    <t xml:space="preserve">Post-drill destination queries return no identifiable data; receipt received at origin within SLA</t>
  </si>
  <si>
    <t xml:space="preserve">R-025; Review D-M17 gap 7</t>
  </si>
  <si>
    <t xml:space="preserve">FED-04.2.04</t>
  </si>
  <si>
    <t xml:space="preserve">Downstream recomputation on revocation verified: gap-training and readiness views reflect the revoked competency within the declared SLA</t>
  </si>
  <si>
    <t xml:space="preserve">Downstream update test</t>
  </si>
  <si>
    <t xml:space="preserve">M14/M36-class view no longer counts the revoked competency after propagation; timing within SLA</t>
  </si>
  <si>
    <t xml:space="preserve">Scenario 12 predicted failure; Scenario 10</t>
  </si>
  <si>
    <t xml:space="preserve">FED-04.2.05</t>
  </si>
  <si>
    <t xml:space="preserve">Scenario 12 drill executed end to end: two simulated command LRSs roll conflicting records for one matched learner into a test ELRR with a subsequent revocation</t>
  </si>
  <si>
    <t xml:space="preserve">FED-04.1.02, FED-04.2.01, FED-05.1.01</t>
  </si>
  <si>
    <t xml:space="preserve">Scenario 12 drill report</t>
  </si>
  <si>
    <t xml:space="preserve">Conflict auto-flagged not auto-resolved; both provenances displayed; signed resolution produced; revocation lands within SLA; reconciliation counts match</t>
  </si>
  <si>
    <t xml:space="preserve">Scenario 12 validation test; T Stage 3 Slice E gate</t>
  </si>
  <si>
    <t xml:space="preserve">FED-04.2.06</t>
  </si>
  <si>
    <t xml:space="preserve">Exit-gate evidence bundle for conflict and lifecycle task assembled and reviewed</t>
  </si>
  <si>
    <t xml:space="preserve">Bundle contains conflict, adjudication, revocation, correction, erasure, drill evidence; reviewer sign-off recorded</t>
  </si>
  <si>
    <t xml:space="preserve">FED-05.1.01</t>
  </si>
  <si>
    <t xml:space="preserve">Reconciliation and link monitoring</t>
  </si>
  <si>
    <t xml:space="preserve">Reconciliation</t>
  </si>
  <si>
    <t xml:space="preserve">Reconciliation report generator implemented: origin-vs-destination record counts and checksums per batch and per reporting period with zero-unaccounted-record assertion</t>
  </si>
  <si>
    <t xml:space="preserve">Reconciliation report over test batches</t>
  </si>
  <si>
    <t xml:space="preserve">Report matches counts and checksums for clean runs and flags an injected one-record loss</t>
  </si>
  <si>
    <t xml:space="preserve">Review D-M31 gap 3; LOOP 26.7; M31 acceptance (a)</t>
  </si>
  <si>
    <t xml:space="preserve">FED-05.1.02</t>
  </si>
  <si>
    <t xml:space="preserve">Reconciliation discrepancy alerting implemented with a silent-loss investigation runbook</t>
  </si>
  <si>
    <t xml:space="preserve">Alert test plus runbook</t>
  </si>
  <si>
    <t xml:space="preserve">Injected discrepancy raises an alert within one reconciliation cycle; runbook walked by non-author</t>
  </si>
  <si>
    <t xml:space="preserve">Review D-M31 risk P1 silent loss</t>
  </si>
  <si>
    <t xml:space="preserve">FED-05.1.03</t>
  </si>
  <si>
    <t xml:space="preserve">Periodic full-audit job implemented: random cross-tier assertion samples re-checksummed against origin on schedule</t>
  </si>
  <si>
    <t xml:space="preserve">Audit job run log</t>
  </si>
  <si>
    <t xml:space="preserve">Scheduled run verifies sample within tolerance; mismatch path produces an investigation ticket</t>
  </si>
  <si>
    <t xml:space="preserve">NEW: depth check beyond batch reconciliation; LOOP 26.7</t>
  </si>
  <si>
    <t xml:space="preserve">FED-05.1.04</t>
  </si>
  <si>
    <t xml:space="preserve">Reconciliation review cadence established with a named owner and monthly sign-off of per-link reconciliation status</t>
  </si>
  <si>
    <t xml:space="preserve">Cadence record plus first signed review</t>
  </si>
  <si>
    <t xml:space="preserve">Owner named; first monthly review completed and signed</t>
  </si>
  <si>
    <t xml:space="preserve">Review D-M31 risk; H.3 reconciliation discipline</t>
  </si>
  <si>
    <t xml:space="preserve">FED-05.2.01</t>
  </si>
  <si>
    <t xml:space="preserve">Link monitoring</t>
  </si>
  <si>
    <t xml:space="preserve">Per-link monitoring implemented: last-successful-transfer, freshness vs staleness bound, quarantine depth, and backlog metrics surfaced to the Platform Ops dashboard</t>
  </si>
  <si>
    <t xml:space="preserve">Link monitoring dashboard</t>
  </si>
  <si>
    <t xml:space="preserve">All four metrics visible per federation link; values verified against test-batch history</t>
  </si>
  <si>
    <t xml:space="preserve">S.6; ANA-05 Platform Ops view</t>
  </si>
  <si>
    <t xml:space="preserve">FED-05.2.02</t>
  </si>
  <si>
    <t xml:space="preserve">Staleness-bound breach alerting implemented per link with an escalation path to the federation owner</t>
  </si>
  <si>
    <t xml:space="preserve">Alert test log</t>
  </si>
  <si>
    <t xml:space="preserve">Simulated missed window raises a breach alert with correct link identity and escalation target</t>
  </si>
  <si>
    <t xml:space="preserve">TLA-04.2.04 bounds; A-049</t>
  </si>
  <si>
    <t xml:space="preserve">FED-05.2.03</t>
  </si>
  <si>
    <t xml:space="preserve">Conflict and adjudication backlog metrics implemented with an aging alert on unresolved contested records</t>
  </si>
  <si>
    <t xml:space="preserve">Backlog metric plus aging alert test</t>
  </si>
  <si>
    <t xml:space="preserve">Contested-record count and age visible; aging alert fires past threshold in test</t>
  </si>
  <si>
    <t xml:space="preserve">Scenario 12; NEW: adjudication operational control</t>
  </si>
  <si>
    <t xml:space="preserve">FED-05.2.04</t>
  </si>
  <si>
    <t xml:space="preserve">Exit-gate evidence bundle for reconciliation and monitoring task assembled and reviewed</t>
  </si>
  <si>
    <t xml:space="preserve">FED-05.1.02, FED-05.2.02</t>
  </si>
  <si>
    <t xml:space="preserve">Bundle contains reconciliation runs, alert tests, dashboard links, cadence record; reviewer sign-off recorded</t>
  </si>
  <si>
    <t xml:space="preserve">FED-06.1.01</t>
  </si>
  <si>
    <t xml:space="preserve">Federation data and security</t>
  </si>
  <si>
    <t xml:space="preserve">Provenance and manifest retention implemented: transfer provenance kept at least as long as record retention with WORM-class storage for manifests</t>
  </si>
  <si>
    <t xml:space="preserve">Retention config plus WORM verification</t>
  </si>
  <si>
    <t xml:space="preserve">Manifest overwrite/delete attempt fails in test; retention period matches record-retention policy</t>
  </si>
  <si>
    <t xml:space="preserve">Review D-M17 gap 4; MOD-013</t>
  </si>
  <si>
    <t xml:space="preserve">FED-06.1.02</t>
  </si>
  <si>
    <t xml:space="preserve">Pipeline store migrations tested up and down on production-shaped batch history with quarantine records preserved</t>
  </si>
  <si>
    <t xml:space="preserve">Up and down migrations pass with zero batch-history loss</t>
  </si>
  <si>
    <t xml:space="preserve">FED-06.2.01</t>
  </si>
  <si>
    <t xml:space="preserve">Signing-key management implemented: per-tier keys held in the secrets service with a rotation procedure including offline enclave key rotation via media</t>
  </si>
  <si>
    <t xml:space="preserve">Key rotation drill log</t>
  </si>
  <si>
    <t xml:space="preserve">Connected and media-based rotation drills both complete; old-key batches handled per spec</t>
  </si>
  <si>
    <t xml:space="preserve">G.6; S.6</t>
  </si>
  <si>
    <t xml:space="preserve">FED-06.2.02</t>
  </si>
  <si>
    <t xml:space="preserve">Boundary threat tests executed: tampered manifest, wrong-key signature, replayed old batch, and wrong-destination batch each rejected and alarmed</t>
  </si>
  <si>
    <t xml:space="preserve">FED-03.1.03, FED-01.2.04</t>
  </si>
  <si>
    <t xml:space="preserve">All four attack cases rejected with zero applied records and one alarm each</t>
  </si>
  <si>
    <t xml:space="preserve">Review G.1; D-M31 gaps 2 and 5</t>
  </si>
  <si>
    <t xml:space="preserve">FED-06.2.03</t>
  </si>
  <si>
    <t xml:space="preserve">Import surface hardened: boundary malware scan integrated, content-type allow-list enforced, and manifest parser fuzz-tested</t>
  </si>
  <si>
    <t xml:space="preserve">Hardening report plus fuzz results</t>
  </si>
  <si>
    <t xml:space="preserve">Disallowed content types rejected; fuzz run yields zero crashes above severity threshold</t>
  </si>
  <si>
    <t xml:space="preserve">G.6; LOOP 9 media risks</t>
  </si>
  <si>
    <t xml:space="preserve">FED-06.2.04</t>
  </si>
  <si>
    <t xml:space="preserve">Pipeline access control enforced: service identities only on transfer paths, no human write path to ELRR ingestion, and all administrative actions audited</t>
  </si>
  <si>
    <t xml:space="preserve">Access control test report</t>
  </si>
  <si>
    <t xml:space="preserve">Human-credential write attempt rejected; admin actions produce audit records; verified by test</t>
  </si>
  <si>
    <t xml:space="preserve">MOD-013; G.4</t>
  </si>
  <si>
    <t xml:space="preserve">FED-06.2.05</t>
  </si>
  <si>
    <t xml:space="preserve">Exit-gate evidence bundle for federation security task assembled and reviewed</t>
  </si>
  <si>
    <t xml:space="preserve">FED-06.2.02, FED-06.2.04</t>
  </si>
  <si>
    <t xml:space="preserve">Bundle contains retention, rotation, threat, hardening, access evidence; reviewer sign-off recorded</t>
  </si>
  <si>
    <t xml:space="preserve">FED-07.1.01</t>
  </si>
  <si>
    <t xml:space="preserve">Federation operations and handoff</t>
  </si>
  <si>
    <t xml:space="preserve">Observability and SLO</t>
  </si>
  <si>
    <t xml:space="preserve">End-to-end batch correlation verified: export, transfer, and ingest logs join on batch ID across an air-gap hop</t>
  </si>
  <si>
    <t xml:space="preserve">Cross-hop log join demonstration</t>
  </si>
  <si>
    <t xml:space="preserve">One query reconstructs a batch's full history across origin and destination logs</t>
  </si>
  <si>
    <t xml:space="preserve">Controlling prompt Loop 2 lane 5; H.3</t>
  </si>
  <si>
    <t xml:space="preserve">FED-07.1.02</t>
  </si>
  <si>
    <t xml:space="preserve">Per-link-class SLOs defined (transfer success rate, freshness) and measured in the staging federation testbed</t>
  </si>
  <si>
    <t xml:space="preserve">SLO doc plus staging measurements</t>
  </si>
  <si>
    <t xml:space="preserve">Every link class has numeric SLOs with at least one staging measurement cycle recorded</t>
  </si>
  <si>
    <t xml:space="preserve">FED-07.1.03</t>
  </si>
  <si>
    <t xml:space="preserve">Two-tier federation testbed wired into CI: connected tier plus simulated enclave tier running the conformance suite on every M17/M31 change</t>
  </si>
  <si>
    <t xml:space="preserve">CI testbed pipeline runs</t>
  </si>
  <si>
    <t xml:space="preserve">Conformance suite executes on merge; a seeded contract violation fails the build</t>
  </si>
  <si>
    <t xml:space="preserve">MOD-015 pattern; Slice E</t>
  </si>
  <si>
    <t xml:space="preserve">FED-07.2.01</t>
  </si>
  <si>
    <t xml:space="preserve">Pipeline components included in the signed release bundle and installed in the enclave simulator with zero egress verified</t>
  </si>
  <si>
    <t xml:space="preserve">Zero-egress CI log for M31 components</t>
  </si>
  <si>
    <t xml:space="preserve">FED-07.2.02</t>
  </si>
  <si>
    <t xml:space="preserve">Pipeline release rollback rehearsed with in-flight batches drained or quarantined safely and no partial application</t>
  </si>
  <si>
    <t xml:space="preserve">Rollback with an in-flight batch leaves zero partially-applied records; batch resumes or quarantines per spec</t>
  </si>
  <si>
    <t xml:space="preserve">FED-07.2.03</t>
  </si>
  <si>
    <t xml:space="preserve">Operator runbook published covering transfer-window procedure, quarantine handling, adjudication routing, and reconciliation review, plus boundary-operator training notes for P4</t>
  </si>
  <si>
    <t xml:space="preserve">FED-04.2.06, FED-05.2.04</t>
  </si>
  <si>
    <t xml:space="preserve">Published runbook and training notes</t>
  </si>
  <si>
    <t xml:space="preserve">Runbook walked end to end by a non-author operator on the testbed; P4 notes accepted by training owner</t>
  </si>
  <si>
    <t xml:space="preserve">FED-07.2.04</t>
  </si>
  <si>
    <t xml:space="preserve">Manifest and federation API documentation generated from the contract and published with the reconciliation report format specification</t>
  </si>
  <si>
    <t xml:space="preserve">FED-01.3.04, FED-05.1.01</t>
  </si>
  <si>
    <t xml:space="preserve">Docs match contract version; a partner engineer produces a valid manifest from docs alone in dry run</t>
  </si>
  <si>
    <t xml:space="preserve">MOSA; Review D-M31</t>
  </si>
  <si>
    <t xml:space="preserve">FED-07.2.05</t>
  </si>
  <si>
    <t xml:space="preserve">Production federation link activated between two real ELRR tiers with the first reporting period's reconciliation green</t>
  </si>
  <si>
    <t xml:space="preserve">FED-04.2.05, FED-05.1.04, TLA-06.5.02</t>
  </si>
  <si>
    <t xml:space="preserve">Activation record plus first reconciliation report</t>
  </si>
  <si>
    <t xml:space="preserve">First-period reconciliation shows zero unaccounted records; link monitoring green for the full period</t>
  </si>
  <si>
    <t xml:space="preserve">T Stage 5; Review D-M31 acceptance</t>
  </si>
  <si>
    <t xml:space="preserve">FED-07.2.06</t>
  </si>
  <si>
    <t xml:space="preserve">Exit-gate evidence bundle for federation operations task assembled and reviewed</t>
  </si>
  <si>
    <t xml:space="preserve">FED-07.2.02, FED-07.2.05</t>
  </si>
  <si>
    <t xml:space="preserve">Bundle contains SLO, testbed, zero-egress, rollback, docs, activation evidence; reviewer sign-off recorded</t>
  </si>
  <si>
    <t xml:space="preserve">FLD-01.1.01</t>
  </si>
  <si>
    <t xml:space="preserve">FLD</t>
  </si>
  <si>
    <t xml:space="preserve">M32</t>
  </si>
  <si>
    <t xml:space="preserve">M32 distribution contracts</t>
  </si>
  <si>
    <t xml:space="preserve">Platform and packaging contract</t>
  </si>
  <si>
    <t xml:space="preserve">iOS platform scope decision recorded resolving the M16-vs-M32 contradiction with cost and support impact stated</t>
  </si>
  <si>
    <t xml:space="preserve">Decision merged with named approver and date; registry entry updated</t>
  </si>
  <si>
    <t xml:space="preserve">Review D-M32 [CONTRADICTED] iOS scope</t>
  </si>
  <si>
    <t xml:space="preserve">FLD-01.1.02</t>
  </si>
  <si>
    <t xml:space="preserve">Package integrity contract adopted from the M16 signing chain covering signature verification at install and at every launch on Android and Windows</t>
  </si>
  <si>
    <t xml:space="preserve">Contract doc v1 in contract registry</t>
  </si>
  <si>
    <t xml:space="preserve">Verification steps defined per platform; tampered-package behavior specified</t>
  </si>
  <si>
    <t xml:space="preserve">Review D-M32 gap; LOOP 29.3</t>
  </si>
  <si>
    <t xml:space="preserve">FLD-01.1.03</t>
  </si>
  <si>
    <t xml:space="preserve">In-lab distribution design approved: local package cache on the lab edge server rather than per-device downloads with cache population and integrity re-verification rules for multi-GB simulators</t>
  </si>
  <si>
    <t xml:space="preserve">Approved design doc</t>
  </si>
  <si>
    <t xml:space="preserve">Design states cache topology, population procedure, and re-verification rule; per-device direct download marked exception-only</t>
  </si>
  <si>
    <t xml:space="preserve">Review D-M32 gap: in-lab distribution</t>
  </si>
  <si>
    <t xml:space="preserve">FLD-01.1.04</t>
  </si>
  <si>
    <t xml:space="preserve">Offline license behavior contract defined: license validity window offline, grace-period expiry behavior, and revocation applied at next reconnect</t>
  </si>
  <si>
    <t xml:space="preserve">License contract doc v1</t>
  </si>
  <si>
    <t xml:space="preserve">All three behaviors specified with bounded windows; no undefined state on expiry</t>
  </si>
  <si>
    <t xml:space="preserve">Review D-M32 gap: offline licensing</t>
  </si>
  <si>
    <t xml:space="preserve">FLD-01.1.05</t>
  </si>
  <si>
    <t xml:space="preserve">Store-and-forward sync contract adopted from the shared SDK for M32: device sequence numbers, batch manifest, resume, dedup, backpressure</t>
  </si>
  <si>
    <t xml:space="preserve">FND-08.2.02, KNI-09.1.01</t>
  </si>
  <si>
    <t xml:space="preserve">Signed contract adoption record</t>
  </si>
  <si>
    <t xml:space="preserve">M32 sync fields map 1:1 to the SDK contract; no M32-private sync semantics</t>
  </si>
  <si>
    <t xml:space="preserve">Review S.4; LOOP 29.4</t>
  </si>
  <si>
    <t xml:space="preserve">FLD-01.1.06</t>
  </si>
  <si>
    <t xml:space="preserve">Device clock-drift handling rule defined for event timestamps: server receipt-time correction and declared skew bound</t>
  </si>
  <si>
    <t xml:space="preserve">Rule in sync contract appendix</t>
  </si>
  <si>
    <t xml:space="preserve">Rule covers plus/minus 48h skew; corrected and original timestamps both retained</t>
  </si>
  <si>
    <t xml:space="preserve">Review D-M32 gap; Scenario 6</t>
  </si>
  <si>
    <t xml:space="preserve">FLD-01.1.07</t>
  </si>
  <si>
    <t xml:space="preserve">React Native on Windows viability spike executed on target lab hardware with a written go/no-go decision</t>
  </si>
  <si>
    <t xml:space="preserve">Spike report with go/no-go record</t>
  </si>
  <si>
    <t xml:space="preserve">Decision recorded; fallback stack named if no-go</t>
  </si>
  <si>
    <t xml:space="preserve">Review D-M32 P2 risk</t>
  </si>
  <si>
    <t xml:space="preserve">FLD-01.1.08</t>
  </si>
  <si>
    <t xml:space="preserve">Exit-gate evidence bundle assembled and reviewed for the M32 contracts task</t>
  </si>
  <si>
    <t xml:space="preserve">FLD-01.1.01, FLD-01.1.05, FLD-01.1.04</t>
  </si>
  <si>
    <t xml:space="preserve">Reviewed evidence bundle</t>
  </si>
  <si>
    <t xml:space="preserve">All task items evidenced; review sign-off recorded</t>
  </si>
  <si>
    <t xml:space="preserve">Prompt 0.3</t>
  </si>
  <si>
    <t xml:space="preserve">FLD-02.1.01</t>
  </si>
  <si>
    <t xml:space="preserve">M32 store client build</t>
  </si>
  <si>
    <t xml:space="preserve">Client implementation</t>
  </si>
  <si>
    <t xml:space="preserve">Android store client implemented: catalog browse, install from in-lab cache with signature verification, offline launch</t>
  </si>
  <si>
    <t xml:space="preserve">Merged code plus demo recording</t>
  </si>
  <si>
    <t xml:space="preserve">All three flows pass on a lab-class Android device</t>
  </si>
  <si>
    <t xml:space="preserve">PLAN M16 main-jobs; Review D-M32</t>
  </si>
  <si>
    <t xml:space="preserve">FLD-02.1.02</t>
  </si>
  <si>
    <t xml:space="preserve">Windows store client implemented with feature parity to the Android client</t>
  </si>
  <si>
    <t xml:space="preserve">FLD-01.1.07, FLD-02.1.01</t>
  </si>
  <si>
    <t xml:space="preserve">Merged code plus parity test run</t>
  </si>
  <si>
    <t xml:space="preserve">Parity checklist 100% pass on lab-class Windows hardware</t>
  </si>
  <si>
    <t xml:space="preserve">Review D-M32; R-19</t>
  </si>
  <si>
    <t xml:space="preserve">FLD-02.1.03</t>
  </si>
  <si>
    <t xml:space="preserve">Offline license enforcement implemented client-side per contract with grace-period messaging to the user</t>
  </si>
  <si>
    <t xml:space="preserve">Test run covering expiry paths</t>
  </si>
  <si>
    <t xml:space="preserve">License valid, grace, expired, and revoked-on-reconnect paths each behave per contract</t>
  </si>
  <si>
    <t xml:space="preserve">FLD-02.1.04</t>
  </si>
  <si>
    <t xml:space="preserve">Store-and-forward SDK integrated for install, launch, and usage events with a durable on-device queue and declared durability bounds</t>
  </si>
  <si>
    <t xml:space="preserve">Integration test log</t>
  </si>
  <si>
    <t xml:space="preserve">Events survive app kill and device reboot; queue bound alarm fires before loss</t>
  </si>
  <si>
    <t xml:space="preserve">FLD-02.1.05</t>
  </si>
  <si>
    <t xml:space="preserve">Local package cache service implemented on the lab edge server: signed package mirror, integrity check on population, delta updates, and policy-controlled direct-download fallback</t>
  </si>
  <si>
    <t xml:space="preserve">Deployed service plus test log</t>
  </si>
  <si>
    <t xml:space="preserve">Multi-GB package installs from cache; corrupted mirror entry rejected; fallback only when policy allows</t>
  </si>
  <si>
    <t xml:space="preserve">FLD-02.2.01</t>
  </si>
  <si>
    <t xml:space="preserve">Install and launch telemetry events defined in the xAPI profile and emitted with tenant, device model, firmware, content version, and site baseline ID stamps</t>
  </si>
  <si>
    <t xml:space="preserve">FND-07.2.01, FLD-02.1.04</t>
  </si>
  <si>
    <t xml:space="preserve">Profile extension plus sample statements</t>
  </si>
  <si>
    <t xml:space="preserve">Sample statements validate against profile; all config-stamp fields present</t>
  </si>
  <si>
    <t xml:space="preserve">Scenario 14 (c); Review D-M32</t>
  </si>
  <si>
    <t xml:space="preserve">FLD-02.2.02</t>
  </si>
  <si>
    <t xml:space="preserve">Package and license state schema implemented with migrations, tenant attribution on every row, and retention rules</t>
  </si>
  <si>
    <t xml:space="preserve">Migration scripts plus schema doc</t>
  </si>
  <si>
    <t xml:space="preserve">Migration up and down tested; tenant column enforced non-null</t>
  </si>
  <si>
    <t xml:space="preserve">Prompt Loop 2 Data lane</t>
  </si>
  <si>
    <t xml:space="preserve">FLD-02.2.03</t>
  </si>
  <si>
    <t xml:space="preserve">Exit-gate evidence bundle assembled and reviewed for the M32 build task</t>
  </si>
  <si>
    <t xml:space="preserve">FLD-02.1.01, FLD-02.1.02, FLD-02.1.05</t>
  </si>
  <si>
    <t xml:space="preserve">FLD-03.1.01</t>
  </si>
  <si>
    <t xml:space="preserve">M32 security ops and release</t>
  </si>
  <si>
    <t xml:space="preserve">Signature verification negative tests executed: tampered package, wrong publisher key, and version-downgrade attempt all blocked on both platforms</t>
  </si>
  <si>
    <t xml:space="preserve">FLD-02.1.01, FLD-02.1.02</t>
  </si>
  <si>
    <t xml:space="preserve">Negative test log</t>
  </si>
  <si>
    <t xml:space="preserve">Zero of the three attack cases installs or launches</t>
  </si>
  <si>
    <t xml:space="preserve">Review G.6; LOOP 9 supply chain</t>
  </si>
  <si>
    <t xml:space="preserve">FLD-03.1.02</t>
  </si>
  <si>
    <t xml:space="preserve">Offline device credential doctrine implemented: bounded offline token validity, authorization re-check at sync, and defined re-enrollment path</t>
  </si>
  <si>
    <t xml:space="preserve">Config plus test log</t>
  </si>
  <si>
    <t xml:space="preserve">60-day-offline device re-authenticates per doctrine without manual DB intervention</t>
  </si>
  <si>
    <t xml:space="preserve">Scenario 6 (c); Review D-M32</t>
  </si>
  <si>
    <t xml:space="preserve">FLD-03.2.01</t>
  </si>
  <si>
    <t xml:space="preserve">Metrics live with alerts: install success rate, cache hit rate, license grace expiries, per-device sync lag</t>
  </si>
  <si>
    <t xml:space="preserve">Dashboard URL plus alert test</t>
  </si>
  <si>
    <t xml:space="preserve">All four metrics visible; each alert fired once in test</t>
  </si>
  <si>
    <t xml:space="preserve">Prompt Loop 2 Observability lane</t>
  </si>
  <si>
    <t xml:space="preserve">FLD-03.2.02</t>
  </si>
  <si>
    <t xml:space="preserve">Fleet sync dashboard live showing expected-versus-received events per device with unsynced-device visibility</t>
  </si>
  <si>
    <t xml:space="preserve">FLD-03.2.01, KNI-12.1.08</t>
  </si>
  <si>
    <t xml:space="preserve">A silent device is visible within one sync cycle in test</t>
  </si>
  <si>
    <t xml:space="preserve">Scenario 6 (e)</t>
  </si>
  <si>
    <t xml:space="preserve">FLD-03.3.01</t>
  </si>
  <si>
    <t xml:space="preserve">CI builds live for Android and Windows clients; signed clients and cache service included in the release bundle</t>
  </si>
  <si>
    <t xml:space="preserve">CI job runs plus bundle manifest</t>
  </si>
  <si>
    <t xml:space="preserve">Bundle installs both clients from media; signatures verify</t>
  </si>
  <si>
    <t xml:space="preserve">Prompt Loop 2 Deployment lane</t>
  </si>
  <si>
    <t xml:space="preserve">FLD-03.3.02</t>
  </si>
  <si>
    <t xml:space="preserve">Enclave zero-egress install verified: store client, package cache, and license flow operate entirely from local lab infrastructure</t>
  </si>
  <si>
    <t xml:space="preserve">FLD-03.3.01, FLD-02.1.05</t>
  </si>
  <si>
    <t xml:space="preserve">Zero-egress CI test log</t>
  </si>
  <si>
    <t xml:space="preserve">Packet capture shows zero external calls during install, launch, and license check</t>
  </si>
  <si>
    <t xml:space="preserve">MOD-015; Review Q.2</t>
  </si>
  <si>
    <t xml:space="preserve">FLD-03.3.03</t>
  </si>
  <si>
    <t xml:space="preserve">Rollback of a bad store-client release rehearsed on a test fleet including cache content rollback</t>
  </si>
  <si>
    <t xml:space="preserve">Fleet returns to prior client and cache state within target time; zero event loss</t>
  </si>
  <si>
    <t xml:space="preserve">FLD-03.4.01</t>
  </si>
  <si>
    <t xml:space="preserve">Acceptance and docs</t>
  </si>
  <si>
    <t xml:space="preserve">60-day-offline field acceptance test passed at the reference lab: signed package installs from in-lab cache, launches offline, stored events sync with zero loss and zero duplicates</t>
  </si>
  <si>
    <t xml:space="preserve">FLD-03.3.02, FLD-03.1.02, FLD-06.2.02</t>
  </si>
  <si>
    <t xml:space="preserve">Field test log with dedup audit</t>
  </si>
  <si>
    <t xml:space="preserve">Zero lost and zero duplicate statements in M2 after reconnect; signature verified at install</t>
  </si>
  <si>
    <t xml:space="preserve">R-19 acceptance; Scenario 6</t>
  </si>
  <si>
    <t xml:space="preserve">FLD-03.4.02</t>
  </si>
  <si>
    <t xml:space="preserve">Operator guide for cache and license management plus P4 training notes published</t>
  </si>
  <si>
    <t xml:space="preserve">A non-author operator completes cache refresh and license revocation from the guide alone</t>
  </si>
  <si>
    <t xml:space="preserve">Prompt Loop 2 Documentation lane</t>
  </si>
  <si>
    <t xml:space="preserve">FLD-03.4.03</t>
  </si>
  <si>
    <t xml:space="preserve">Exit-gate evidence bundle assembled and reviewed for the M32 release task</t>
  </si>
  <si>
    <t xml:space="preserve">FLD-03.4.01, FLD-03.1.01, FLD-03.4.02</t>
  </si>
  <si>
    <t xml:space="preserve">FLD-04.1.01</t>
  </si>
  <si>
    <t xml:space="preserve">M33 reference lab design</t>
  </si>
  <si>
    <t xml:space="preserve">Reference design</t>
  </si>
  <si>
    <t xml:space="preserve">Site A identity confirmed in writing and site survey completed covering space, power, network, and security constraints</t>
  </si>
  <si>
    <t xml:space="preserve">Signed site confirmation plus survey report</t>
  </si>
  <si>
    <t xml:space="preserve">Named site and dated survey on file; contradiction with source naming resolved in register</t>
  </si>
  <si>
    <t xml:space="preserve">Review D-M33 P0 site-identity contradiction</t>
  </si>
  <si>
    <t xml:space="preserve">FLD-04.1.02</t>
  </si>
  <si>
    <t xml:space="preserve">REFERENCE lab design v1 approved: device fleet list with spares, edge server specification, rack layout, and headset count for full occupancy</t>
  </si>
  <si>
    <t xml:space="preserve">Approved reference design doc</t>
  </si>
  <si>
    <t xml:space="preserve">Design board sign-off recorded; bill of materials complete and priced</t>
  </si>
  <si>
    <t xml:space="preserve">MOD-012; LOOP 29.1</t>
  </si>
  <si>
    <t xml:space="preserve">FLD-04.1.03</t>
  </si>
  <si>
    <t xml:space="preserve">Lab network design approved: segmentation, full-occupancy wireless capacity, and offline-tolerant local services</t>
  </si>
  <si>
    <t xml:space="preserve">Network design doc plus capacity calc</t>
  </si>
  <si>
    <t xml:space="preserve">Capacity calculation covers all headsets streaming M35 action events concurrently</t>
  </si>
  <si>
    <t xml:space="preserve">Review D-M33 gap; LOOP 7</t>
  </si>
  <si>
    <t xml:space="preserve">FLD-04.1.04</t>
  </si>
  <si>
    <t xml:space="preserve">Power, cooling, charging, and hygiene station plan approved for the full device fleet</t>
  </si>
  <si>
    <t xml:space="preserve">Facilities plan doc</t>
  </si>
  <si>
    <t xml:space="preserve">Plan covers concurrent charge of full fleet plus spares; hygiene stations sized to session turnover</t>
  </si>
  <si>
    <t xml:space="preserve">LOOP 29.1</t>
  </si>
  <si>
    <t xml:space="preserve">FLD-04.1.05</t>
  </si>
  <si>
    <t xml:space="preserve">Device imaging design approved: versioned golden image per device class with documented restore procedure</t>
  </si>
  <si>
    <t xml:space="preserve">Imaging design doc plus image v1</t>
  </si>
  <si>
    <t xml:space="preserve">A factory-reset device restores from golden image by procedure alone</t>
  </si>
  <si>
    <t xml:space="preserve">LOOP 29.2</t>
  </si>
  <si>
    <t xml:space="preserve">FLD-04.1.06</t>
  </si>
  <si>
    <t xml:space="preserve">MDM selection decision recorded with zero-egress enclave operation verified for the chosen product</t>
  </si>
  <si>
    <t xml:space="preserve">Decision record plus egress test log</t>
  </si>
  <si>
    <t xml:space="preserve">MDM enrolls and manages a test device with zero external calls</t>
  </si>
  <si>
    <t xml:space="preserve">LOOP 29.1; MOD-015</t>
  </si>
  <si>
    <t xml:space="preserve">FLD-04.1.07</t>
  </si>
  <si>
    <t xml:space="preserve">Physical security plan for classified-adjacent lab spaces approved: access control, device storage, and recording-device policy</t>
  </si>
  <si>
    <t xml:space="preserve">Approved physical security plan</t>
  </si>
  <si>
    <t xml:space="preserve">Plan signed by site security authority</t>
  </si>
  <si>
    <t xml:space="preserve">LOOP 9; Review D-M33</t>
  </si>
  <si>
    <t xml:space="preserve">FLD-04.1.08</t>
  </si>
  <si>
    <t xml:space="preserve">Lab operations staffing model approved and funded with the P4 trainer dependency recorded</t>
  </si>
  <si>
    <t xml:space="preserve">FLD-04.1.02, PRG-03.1.02</t>
  </si>
  <si>
    <t xml:space="preserve">Roles, headcount, and funding line named; P4 dependency in dependency register</t>
  </si>
  <si>
    <t xml:space="preserve">Review D-M33 entry criteria</t>
  </si>
  <si>
    <t xml:space="preserve">FLD-04.1.09</t>
  </si>
  <si>
    <t xml:space="preserve">Exit-gate evidence bundle assembled and reviewed for the M33 reference design task</t>
  </si>
  <si>
    <t xml:space="preserve">FLD-04.1.02, FLD-04.1.06, FLD-04.1.07</t>
  </si>
  <si>
    <t xml:space="preserve">FLD-05.1.01</t>
  </si>
  <si>
    <t xml:space="preserve">M33 fleet build-out</t>
  </si>
  <si>
    <t xml:space="preserve">Fleet lifecycle</t>
  </si>
  <si>
    <t xml:space="preserve">Edge server deployed at Site A running package cache, local sync endpoint, and fleet inventory service</t>
  </si>
  <si>
    <t xml:space="preserve">FLD-04.1.09, FLD-02.1.05</t>
  </si>
  <si>
    <t xml:space="preserve">Deployment record plus health checks</t>
  </si>
  <si>
    <t xml:space="preserve">All three services pass health checks with the lab offline from WAN</t>
  </si>
  <si>
    <t xml:space="preserve">Review D-M33; LOOP 7</t>
  </si>
  <si>
    <t xml:space="preserve">FLD-05.1.02</t>
  </si>
  <si>
    <t xml:space="preserve">Full device fleet enrolled via MDM and imaged from the versioned golden image</t>
  </si>
  <si>
    <t xml:space="preserve">FLD-04.1.05, FLD-04.1.06, FLD-05.1.01</t>
  </si>
  <si>
    <t xml:space="preserve">MDM inventory export</t>
  </si>
  <si>
    <t xml:space="preserve">100% of fleet devices report enrolled at the golden image version</t>
  </si>
  <si>
    <t xml:space="preserve">LOOP 29.2; R-20</t>
  </si>
  <si>
    <t xml:space="preserve">FLD-05.1.03</t>
  </si>
  <si>
    <t xml:space="preserve">Simulator content preloaded to all devices from the local cache with integrity verification</t>
  </si>
  <si>
    <t xml:space="preserve">Preload run log</t>
  </si>
  <si>
    <t xml:space="preserve">100% devices carry the manifest content set; zero direct external downloads</t>
  </si>
  <si>
    <t xml:space="preserve">Review D-M32 gap; MOD-015</t>
  </si>
  <si>
    <t xml:space="preserve">FLD-05.1.04</t>
  </si>
  <si>
    <t xml:space="preserve">Spares policy operational: declared spares rate stocked, swap procedure tested, hygiene rotation in place</t>
  </si>
  <si>
    <t xml:space="preserve">Spares register plus swap drill log</t>
  </si>
  <si>
    <t xml:space="preserve">A device swap completes within target time using only the documented procedure</t>
  </si>
  <si>
    <t xml:space="preserve">LOOP 29.2; Review D-M33 P2</t>
  </si>
  <si>
    <t xml:space="preserve">FLD-05.1.05</t>
  </si>
  <si>
    <t xml:space="preserve">Device hygiene protocol operational with per-session sanitization log</t>
  </si>
  <si>
    <t xml:space="preserve">Hygiene log samples</t>
  </si>
  <si>
    <t xml:space="preserve">Log entries exist for every session in a one-week trial</t>
  </si>
  <si>
    <t xml:space="preserve">FLD-05.2.01</t>
  </si>
  <si>
    <t xml:space="preserve">Configuration baseline</t>
  </si>
  <si>
    <t xml:space="preserve">Site configuration baseline manifest published: device firmware, simulator and content versions, edge patch level, versioned with a baseline ID</t>
  </si>
  <si>
    <t xml:space="preserve">Baseline manifest v1 in registry</t>
  </si>
  <si>
    <t xml:space="preserve">Manifest fields complete for 100% of fleet; baseline ID issued</t>
  </si>
  <si>
    <t xml:space="preserve">Scenario 14 (a)</t>
  </si>
  <si>
    <t xml:space="preserve">FLD-05.2.02</t>
  </si>
  <si>
    <t xml:space="preserve">Drift detection live: scheduled fleet inventory diffed against the authoritative baseline with divergence alert and waiver workflow</t>
  </si>
  <si>
    <t xml:space="preserve">Drift job config plus alert test</t>
  </si>
  <si>
    <t xml:space="preserve">Deliberately off-baseline device alerts within one inventory cycle; waiver records exception</t>
  </si>
  <si>
    <t xml:space="preserve">Scenario 14 (b)</t>
  </si>
  <si>
    <t xml:space="preserve">FLD-05.2.03</t>
  </si>
  <si>
    <t xml:space="preserve">Configuration stamping verified: every simulator and walkthrough event from the lab carries device model, firmware, content version, and site baseline ID</t>
  </si>
  <si>
    <t xml:space="preserve">FLD-05.2.01, FLD-02.2.01</t>
  </si>
  <si>
    <t xml:space="preserve">Sampled event audit query</t>
  </si>
  <si>
    <t xml:space="preserve">100% of sampled lab events carry all four stamp fields</t>
  </si>
  <si>
    <t xml:space="preserve">Scenario 14 (c)</t>
  </si>
  <si>
    <t xml:space="preserve">FLD-05.2.04</t>
  </si>
  <si>
    <t xml:space="preserve">Exit-gate evidence bundle assembled and reviewed for the M33 fleet build-out task</t>
  </si>
  <si>
    <t xml:space="preserve">FLD-05.1.02, FLD-05.2.02, FLD-05.2.03</t>
  </si>
  <si>
    <t xml:space="preserve">FLD-06.1.01</t>
  </si>
  <si>
    <t xml:space="preserve">M33 site acceptance</t>
  </si>
  <si>
    <t xml:space="preserve">Lab acceptance checklist authored with binary items covering enrollment, imaging, preload, sync, telemetry, and safety, approved by the acceptance authority</t>
  </si>
  <si>
    <t xml:space="preserve">Approved checklist doc</t>
  </si>
  <si>
    <t xml:space="preserve">Every item binary; authority sign-off recorded; checklist reusable verbatim for Site B</t>
  </si>
  <si>
    <t xml:space="preserve">LOOP 29.7; R-20</t>
  </si>
  <si>
    <t xml:space="preserve">FLD-06.1.02</t>
  </si>
  <si>
    <t xml:space="preserve">Full-occupancy load test passed: every headset streaming M35 action events simultaneously for a sustained session with zero event loss</t>
  </si>
  <si>
    <t xml:space="preserve">FLD-06.1.01, FLD-10.1.02</t>
  </si>
  <si>
    <t xml:space="preserve">Load test report plus reconciliation counts</t>
  </si>
  <si>
    <t xml:space="preserve">Client-versus-M2 reconciliation shows zero lost events at full occupancy</t>
  </si>
  <si>
    <t xml:space="preserve">R-20; LOOP 10</t>
  </si>
  <si>
    <t xml:space="preserve">FLD-06.1.03</t>
  </si>
  <si>
    <t xml:space="preserve">10-headset re-image and restore drill completed within target time using only documented procedures</t>
  </si>
  <si>
    <t xml:space="preserve">Drill log with timings</t>
  </si>
  <si>
    <t xml:space="preserve">Drill total time at or under target; zero manual undocumented steps</t>
  </si>
  <si>
    <t xml:space="preserve">R-20; journey 21</t>
  </si>
  <si>
    <t xml:space="preserve">FLD-06.1.04</t>
  </si>
  <si>
    <t xml:space="preserve">Offline-session drill passed: edge server isolated from WAN mid-session with 30 headsets active; sessions continue and events sync on reconnect</t>
  </si>
  <si>
    <t xml:space="preserve">Zero session interruptions; zero lost events after reconnect</t>
  </si>
  <si>
    <t xml:space="preserve">LOOP 7; Scenario 6</t>
  </si>
  <si>
    <t xml:space="preserve">FLD-06.1.05</t>
  </si>
  <si>
    <t xml:space="preserve">Security acceptance walkthrough passed: physical and network controls verified against the approved plans</t>
  </si>
  <si>
    <t xml:space="preserve">FLD-04.1.07, FLD-06.1.01</t>
  </si>
  <si>
    <t xml:space="preserve">Walkthrough report</t>
  </si>
  <si>
    <t xml:space="preserve">Zero open high findings; deviations waived in writing</t>
  </si>
  <si>
    <t xml:space="preserve">LOOP 9</t>
  </si>
  <si>
    <t xml:space="preserve">FLD-06.2.01</t>
  </si>
  <si>
    <t xml:space="preserve">Gate and handoff</t>
  </si>
  <si>
    <t xml:space="preserve">Lab operations dashboard and runbook live: device status, sync state, drift state; runbook walked by a non-author</t>
  </si>
  <si>
    <t xml:space="preserve">Dashboard URL plus walkthrough record</t>
  </si>
  <si>
    <t xml:space="preserve">Non-author completes device-down and drift-alert procedures from runbook alone</t>
  </si>
  <si>
    <t xml:space="preserve">FLD-06.2.02</t>
  </si>
  <si>
    <t xml:space="preserve">Zero-egress verification passed for the full lab stack in enclave mode</t>
  </si>
  <si>
    <t xml:space="preserve">Packet-capture test log</t>
  </si>
  <si>
    <t xml:space="preserve">Zero external calls during a full training session cycle</t>
  </si>
  <si>
    <t xml:space="preserve">FLD-06.2.03</t>
  </si>
  <si>
    <t xml:space="preserve">Site A validation gate passed: reference design formally validated against acceptance results and frozen as the replication baseline for Site B</t>
  </si>
  <si>
    <t xml:space="preserve">FLD-06.1.02, FLD-06.1.03, FLD-06.1.04, FLD-06.1.05, FLD-06.2.02</t>
  </si>
  <si>
    <t xml:space="preserve">Signed validation gate record</t>
  </si>
  <si>
    <t xml:space="preserve">Acceptance authority signs; reference design version frozen; gate recorded as M34 entry condition</t>
  </si>
  <si>
    <t xml:space="preserve">MOD-012; HS Site B; Stage 4 gate</t>
  </si>
  <si>
    <t xml:space="preserve">FLD-06.2.04</t>
  </si>
  <si>
    <t xml:space="preserve">As-built reference design pack, operator runbook, and P4 training notes delivered</t>
  </si>
  <si>
    <t xml:space="preserve">Published doc pack</t>
  </si>
  <si>
    <t xml:space="preserve">Doc pack sufficient for Site B replication without Site A staff; reviewed by Site Engineer</t>
  </si>
  <si>
    <t xml:space="preserve">FLD-06.2.05</t>
  </si>
  <si>
    <t xml:space="preserve">Exit-gate evidence bundle assembled and reviewed for the M33 site acceptance task</t>
  </si>
  <si>
    <t xml:space="preserve">FLD-06.2.03, FLD-06.2.04</t>
  </si>
  <si>
    <t xml:space="preserve">FLD-07.1.01</t>
  </si>
  <si>
    <t xml:space="preserve">M34 replication and divergence control</t>
  </si>
  <si>
    <t xml:space="preserve">Replication</t>
  </si>
  <si>
    <t xml:space="preserve">Site B replication plan approved: build strictly from the validated Site A reference design; any site-specific engineering logged as a reference-design defect with waiver</t>
  </si>
  <si>
    <t xml:space="preserve">Approved replication plan</t>
  </si>
  <si>
    <t xml:space="preserve">Plan cites frozen reference version; waiver process defined; M33 validation gate dependency explicit</t>
  </si>
  <si>
    <t xml:space="preserve">MOD-012; Review D-M34; Stage 5</t>
  </si>
  <si>
    <t xml:space="preserve">FLD-07.1.02</t>
  </si>
  <si>
    <t xml:space="preserve">Site B survey completed and gap-checked against reference site requirements with waivers logged</t>
  </si>
  <si>
    <t xml:space="preserve">Survey report plus waiver log</t>
  </si>
  <si>
    <t xml:space="preserve">Every gap dispositioned as fixed or waived before build start</t>
  </si>
  <si>
    <t xml:space="preserve">FLD-07.1.03</t>
  </si>
  <si>
    <t xml:space="preserve">Site B fleet enrolled and imaged from the identical golden image version as the frozen reference</t>
  </si>
  <si>
    <t xml:space="preserve">100% Site B devices at reference image version and baseline ID</t>
  </si>
  <si>
    <t xml:space="preserve">R-21</t>
  </si>
  <si>
    <t xml:space="preserve">FLD-07.1.04</t>
  </si>
  <si>
    <t xml:space="preserve">Site B passes the identical Site A acceptance checklist with zero site-specific engineering changes and all waivers logged</t>
  </si>
  <si>
    <t xml:space="preserve">FLD-07.1.03, FLD-06.1.01</t>
  </si>
  <si>
    <t xml:space="preserve">Site B acceptance report</t>
  </si>
  <si>
    <t xml:space="preserve">100% checklist pass; zero unlogged deviations; authority sign-off</t>
  </si>
  <si>
    <t xml:space="preserve">R-21; Review D-M34</t>
  </si>
  <si>
    <t xml:space="preserve">FLD-07.2.01</t>
  </si>
  <si>
    <t xml:space="preserve">Divergence control</t>
  </si>
  <si>
    <t xml:space="preserve">Cross-site configuration authority named with change control operating across both sites</t>
  </si>
  <si>
    <t xml:space="preserve">Change-control charter</t>
  </si>
  <si>
    <t xml:space="preserve">Authority named; every cross-site config change carries an approved change record</t>
  </si>
  <si>
    <t xml:space="preserve">Scenario 14 (e)</t>
  </si>
  <si>
    <t xml:space="preserve">FLD-07.2.02</t>
  </si>
  <si>
    <t xml:space="preserve">Scheduled cross-site drift report live comparing both sites' baselines with declared tolerance</t>
  </si>
  <si>
    <t xml:space="preserve">FLD-07.1.03, FLD-05.2.02</t>
  </si>
  <si>
    <t xml:space="preserve">Drift report samples</t>
  </si>
  <si>
    <t xml:space="preserve">Report runs on schedule; both sites within tolerance or waivered</t>
  </si>
  <si>
    <t xml:space="preserve">R-21; Scenario 14 (b)</t>
  </si>
  <si>
    <t xml:space="preserve">FLD-07.2.03</t>
  </si>
  <si>
    <t xml:space="preserve">Divergence-audit drill executed: three headsets deliberately patched off-baseline; alert within one inventory cycle; their events carry the divergent stamp; cross-site comparison flagged non-comparable</t>
  </si>
  <si>
    <t xml:space="preserve">FLD-07.2.02, FLD-05.2.03</t>
  </si>
  <si>
    <t xml:space="preserve">All four drill outcomes observed; waiver workflow records the exception</t>
  </si>
  <si>
    <t xml:space="preserve">Scenario 14 validation test</t>
  </si>
  <si>
    <t xml:space="preserve">FLD-07.2.04</t>
  </si>
  <si>
    <t xml:space="preserve">Cross-site comparability verified: config-stamped events from both sites queryable by baseline ID and the analytics comparability gate flags mismatched baselines</t>
  </si>
  <si>
    <t xml:space="preserve">FLD-07.2.02, ANA-02.2.08</t>
  </si>
  <si>
    <t xml:space="preserve">Comparability audit query</t>
  </si>
  <si>
    <t xml:space="preserve">Query separates sites by baseline ID; mismatched-baseline comparison shows a flag in M30 views</t>
  </si>
  <si>
    <t xml:space="preserve">Scenario 14 (d); Review D-M34 MOE risk</t>
  </si>
  <si>
    <t xml:space="preserve">FLD-07.2.05</t>
  </si>
  <si>
    <t xml:space="preserve">Zero-egress verification passed for the Site B stack</t>
  </si>
  <si>
    <t xml:space="preserve">FLD-07.2.06</t>
  </si>
  <si>
    <t xml:space="preserve">Site B operations handoff delivered as a delta from the reference pack only</t>
  </si>
  <si>
    <t xml:space="preserve">Published delta doc</t>
  </si>
  <si>
    <t xml:space="preserve">Delta doc contains no redefinition of reference content; Site B operator sign-off</t>
  </si>
  <si>
    <t xml:space="preserve">FLD-07.2.07</t>
  </si>
  <si>
    <t xml:space="preserve">Exit-gate evidence bundle assembled and reviewed for the M34 replication task</t>
  </si>
  <si>
    <t xml:space="preserve">FLD-07.1.04, FLD-07.2.03, FLD-07.2.04</t>
  </si>
  <si>
    <t xml:space="preserve">FLD-08.1.01</t>
  </si>
  <si>
    <t xml:space="preserve">M35 capture and evidence contracts</t>
  </si>
  <si>
    <t xml:space="preserve">Capture and scoring contracts</t>
  </si>
  <si>
    <t xml:space="preserve">Capture technology selection decision recorded after a measured fidelity spike on target procedures and hardware</t>
  </si>
  <si>
    <t xml:space="preserve">Decision record plus spike report</t>
  </si>
  <si>
    <t xml:space="preserve">Missed-action and phantom-action rates measured on candidate stack; selection rationale recorded</t>
  </si>
  <si>
    <t xml:space="preserve">Review D-M35 gap 1</t>
  </si>
  <si>
    <t xml:space="preserve">FLD-08.1.02</t>
  </si>
  <si>
    <t xml:space="preserve">Capture fidelity specification defined: missed-action and phantom-action rate targets plus behavior when tracking hardware degrades</t>
  </si>
  <si>
    <t xml:space="preserve">Fidelity spec v1</t>
  </si>
  <si>
    <t xml:space="preserve">Numeric rate targets stated; degraded-tracking behavior specified per sensor state</t>
  </si>
  <si>
    <t xml:space="preserve">Review D-M35 gap 1; LOOP 12</t>
  </si>
  <si>
    <t xml:space="preserve">FLD-08.1.03</t>
  </si>
  <si>
    <t xml:space="preserve">Two-tier evidence model contract published: derived step events through M3 plus tamper-evident raw capture bundle in object storage referenced by ID from each derived event</t>
  </si>
  <si>
    <t xml:space="preserve">Contract v1 in registry</t>
  </si>
  <si>
    <t xml:space="preserve">Contract defines both tiers, the reference link, and hash-chain fields; conformance test exists</t>
  </si>
  <si>
    <t xml:space="preserve">Scenario 15 (a); Review D-M35 gap 3</t>
  </si>
  <si>
    <t xml:space="preserve">FLD-08.1.04</t>
  </si>
  <si>
    <t xml:space="preserve">xAPI profile draft for procedural action streams authored and reviewed against the M3/LRS capacity model</t>
  </si>
  <si>
    <t xml:space="preserve">Profile draft plus capacity review note</t>
  </si>
  <si>
    <t xml:space="preserve">Profile represents a reference procedure end to end; projected density accepted by M3 owner</t>
  </si>
  <si>
    <t xml:space="preserve">Review D-M35 gaps 4-5; LOOP 10</t>
  </si>
  <si>
    <t xml:space="preserve">FLD-08.1.05</t>
  </si>
  <si>
    <t xml:space="preserve">Step-order tolerance configuration model defined: allowed alternative orderings, mandatory-sequence steps, and per-procedure tolerance settings held as configuration not code</t>
  </si>
  <si>
    <t xml:space="preserve">Tolerance config schema plus worked example</t>
  </si>
  <si>
    <t xml:space="preserve">Reference procedure expressed with at least one tolerated ordering and one mandatory sequence; change requires no code release</t>
  </si>
  <si>
    <t xml:space="preserve">NEW: step-order tolerance per critical inclusions</t>
  </si>
  <si>
    <t xml:space="preserve">FLD-08.1.06</t>
  </si>
  <si>
    <t xml:space="preserve">Evidence boundary rule enforced in contract: M35 emits evidence only and M29 writes official records; a contract test proves M35 cannot write an official record</t>
  </si>
  <si>
    <t xml:space="preserve">Contract clause plus negative test</t>
  </si>
  <si>
    <t xml:space="preserve">Negative test shows official-record write from M35 identity rejected</t>
  </si>
  <si>
    <t xml:space="preserve">Review D-M35 boundary rule; HS official records</t>
  </si>
  <si>
    <t xml:space="preserve">FLD-08.1.07</t>
  </si>
  <si>
    <t xml:space="preserve">Raw-capture retention policy defined tied to credential life plus DPDP consent and minimization posture for action-level capture documented</t>
  </si>
  <si>
    <t xml:space="preserve">Retention policy plus privacy review record</t>
  </si>
  <si>
    <t xml:space="preserve">Retention period stated; consent basis and minimization decisions signed by privacy reviewer</t>
  </si>
  <si>
    <t xml:space="preserve">Scenario 15; Review D-M35 gap 7</t>
  </si>
  <si>
    <t xml:space="preserve">FLD-08.1.08</t>
  </si>
  <si>
    <t xml:space="preserve">Data-rights and exit-strategy position agreed for proprietary walkthrough components before build authorization</t>
  </si>
  <si>
    <t xml:space="preserve">FLD-08.1.01, PRG-06.1.04</t>
  </si>
  <si>
    <t xml:space="preserve">Signed data-rights annex entry</t>
  </si>
  <si>
    <t xml:space="preserve">Ownership of capture formats, rubrics, and logs stated; exit strategy documented</t>
  </si>
  <si>
    <t xml:space="preserve">Review O.2.4 M35 RED; O-R8</t>
  </si>
  <si>
    <t xml:space="preserve">FLD-08.1.09</t>
  </si>
  <si>
    <t xml:space="preserve">Exit-gate evidence bundle assembled and reviewed for the M35 contracts task</t>
  </si>
  <si>
    <t xml:space="preserve">FLD-08.1.03, FLD-08.1.05, FLD-08.1.08</t>
  </si>
  <si>
    <t xml:space="preserve">FLD-09.1.01</t>
  </si>
  <si>
    <t xml:space="preserve">M35 build and validation</t>
  </si>
  <si>
    <t xml:space="preserve">Engine build</t>
  </si>
  <si>
    <t xml:space="preserve">Action capture pipeline implemented on the selected stack with sensor-confidence metadata recorded on every scored step</t>
  </si>
  <si>
    <t xml:space="preserve">Merged code plus sample capture</t>
  </si>
  <si>
    <t xml:space="preserve">Every step in a test run carries a confidence value and occlusion flags</t>
  </si>
  <si>
    <t xml:space="preserve">Scenario 15 (b)</t>
  </si>
  <si>
    <t xml:space="preserve">FLD-09.1.02</t>
  </si>
  <si>
    <t xml:space="preserve">Step-correctness scoring implemented against procedure definitions honoring the step-order tolerance configuration</t>
  </si>
  <si>
    <t xml:space="preserve">FLD-09.1.01, FLD-08.1.05</t>
  </si>
  <si>
    <t xml:space="preserve">Scoring test run</t>
  </si>
  <si>
    <t xml:space="preserve">Tolerated alternative ordering scores correct; mandatory-sequence violation scores incorrect</t>
  </si>
  <si>
    <t xml:space="preserve">Review D-M35 gap 2</t>
  </si>
  <si>
    <t xml:space="preserve">FLD-09.1.03</t>
  </si>
  <si>
    <t xml:space="preserve">Low-confidence routing implemented: steps below the confidence threshold route to human review and are never auto-failed</t>
  </si>
  <si>
    <t xml:space="preserve">Injected low-confidence step lands in review queue with zero auto-fail records</t>
  </si>
  <si>
    <t xml:space="preserve">FLD-09.1.04</t>
  </si>
  <si>
    <t xml:space="preserve">Tamper-evident raw capture writer implemented: hash-chained bundles stored per retention policy with integrity verification tooling</t>
  </si>
  <si>
    <t xml:space="preserve">FLD-08.1.03, FLD-08.1.07</t>
  </si>
  <si>
    <t xml:space="preserve">Code plus verification run</t>
  </si>
  <si>
    <t xml:space="preserve">Any single-byte tamper detected by chain verification; bundle retrievable by ID from a derived event</t>
  </si>
  <si>
    <t xml:space="preserve">Scenario 15 (e); Review S.2 audit pattern</t>
  </si>
  <si>
    <t xml:space="preserve">FLD-09.1.05</t>
  </si>
  <si>
    <t xml:space="preserve">Replay capability implemented: supervisor UI reconstructs a session from the raw capture bundle</t>
  </si>
  <si>
    <t xml:space="preserve">Demo recording</t>
  </si>
  <si>
    <t xml:space="preserve">A recorded session replays with step timeline and confidence overlay</t>
  </si>
  <si>
    <t xml:space="preserve">Scenario 15 (c)</t>
  </si>
  <si>
    <t xml:space="preserve">FLD-09.1.06</t>
  </si>
  <si>
    <t xml:space="preserve">Override workflow implemented: human correction issues a signed amending record that propagates to the competency record and triggers MOE recomputation</t>
  </si>
  <si>
    <t xml:space="preserve">Override test log</t>
  </si>
  <si>
    <t xml:space="preserve">Amending record visible downstream and aggregates recomputed within one cycle</t>
  </si>
  <si>
    <t xml:space="preserve">Scenario 15 (d); Scenario 10 model</t>
  </si>
  <si>
    <t xml:space="preserve">FLD-09.1.07</t>
  </si>
  <si>
    <t xml:space="preserve">Walkthrough report generation implemented: per-session and per-cohort reports with configuration stamps and confidence summaries</t>
  </si>
  <si>
    <t xml:space="preserve">Sample reports</t>
  </si>
  <si>
    <t xml:space="preserve">Reports reconcile with underlying events on a fixture dataset</t>
  </si>
  <si>
    <t xml:space="preserve">PLAN-derived M35 main-jobs</t>
  </si>
  <si>
    <t xml:space="preserve">FLD-09.2.01</t>
  </si>
  <si>
    <t xml:space="preserve">Validation</t>
  </si>
  <si>
    <t xml:space="preserve">Capture fidelity and scoring validity study executed against blinded SME ground truth on the reference procedure set</t>
  </si>
  <si>
    <t xml:space="preserve">FLD-09.1.02, FLD-08.1.02</t>
  </si>
  <si>
    <t xml:space="preserve">Blinded validation study report</t>
  </si>
  <si>
    <t xml:space="preserve">Missed and phantom action rates and SME scoring agreement all meet declared thresholds</t>
  </si>
  <si>
    <t xml:space="preserve">R-22; Review D-M35 gap 2</t>
  </si>
  <si>
    <t xml:space="preserve">FLD-09.2.02</t>
  </si>
  <si>
    <t xml:space="preserve">Scenario 15 evidence-challenge drill executed: injected tracking dropout at step 7 flagged low-confidence, routed to review, replayed from raw bundle, re-adjudicated with correction propagated</t>
  </si>
  <si>
    <t xml:space="preserve">FLD-09.1.06, FLD-09.2.01</t>
  </si>
  <si>
    <t xml:space="preserve">All five drill outcomes observed; hash chain verifies</t>
  </si>
  <si>
    <t xml:space="preserve">Scenario 15 validation test</t>
  </si>
  <si>
    <t xml:space="preserve">FLD-09.2.03</t>
  </si>
  <si>
    <t xml:space="preserve">Exit-gate evidence bundle assembled and reviewed for the M35 build and validation task</t>
  </si>
  <si>
    <t xml:space="preserve">FLD-09.2.01, FLD-09.2.02</t>
  </si>
  <si>
    <t xml:space="preserve">FLD-10.1.01</t>
  </si>
  <si>
    <t xml:space="preserve">M35 data security and release</t>
  </si>
  <si>
    <t xml:space="preserve">Data and capacity</t>
  </si>
  <si>
    <t xml:space="preserve">Action-stream data model implemented: tenant-attributed derived events plus tenant-scoped raw bundles in object storage with retention jobs</t>
  </si>
  <si>
    <t xml:space="preserve">Schema plus retention job run</t>
  </si>
  <si>
    <t xml:space="preserve">Tenant attribution on every row and bundle; expired bundle removed only past credential-life retention</t>
  </si>
  <si>
    <t xml:space="preserve">Prompt Loop 2 Data lane; Review D-M35 gap 3</t>
  </si>
  <si>
    <t xml:space="preserve">FLD-10.1.02</t>
  </si>
  <si>
    <t xml:space="preserve">Action-stream density capacity test executed against M3: replayed full-occupancy lab session at measured density sustained without loss</t>
  </si>
  <si>
    <t xml:space="preserve">FLD-08.1.04, FND-08.1.01</t>
  </si>
  <si>
    <t xml:space="preserve">Capacity test report</t>
  </si>
  <si>
    <t xml:space="preserve">Zero event loss and ingest lag within SLO at full-occupancy density plus 50% headroom</t>
  </si>
  <si>
    <t xml:space="preserve">Review D-M35 gap 4; LOOP 10</t>
  </si>
  <si>
    <t xml:space="preserve">FLD-10.1.03</t>
  </si>
  <si>
    <t xml:space="preserve">Edge-versus-central scoring split implemented with defined offline lab behavior for capture and scoring</t>
  </si>
  <si>
    <t xml:space="preserve">FLD-09.1.02, FLD-05.1.01</t>
  </si>
  <si>
    <t xml:space="preserve">Design note plus offline test</t>
  </si>
  <si>
    <t xml:space="preserve">Full session captured and scored with WAN isolated; results sync on reconnect</t>
  </si>
  <si>
    <t xml:space="preserve">Review D-M35 gap 6; LOOP 29.4</t>
  </si>
  <si>
    <t xml:space="preserve">FLD-10.2.01</t>
  </si>
  <si>
    <t xml:space="preserve">Security observability release</t>
  </si>
  <si>
    <t xml:space="preserve">Access control enforced on raw capture bundles: supervisor and adjudicator roles only with access audit-logged</t>
  </si>
  <si>
    <t xml:space="preserve">Authorization test log</t>
  </si>
  <si>
    <t xml:space="preserve">Learner and unrelated-role access denied; every access generates an audit event</t>
  </si>
  <si>
    <t xml:space="preserve">Review G; Scenario 15</t>
  </si>
  <si>
    <t xml:space="preserve">FLD-10.2.02</t>
  </si>
  <si>
    <t xml:space="preserve">Observability live: capture quality metrics, low-confidence rate, review-queue depth with alerts and runbook walked by a non-author</t>
  </si>
  <si>
    <t xml:space="preserve">Dashboard plus walkthrough record</t>
  </si>
  <si>
    <t xml:space="preserve">All metrics visible; alerts fired in test; non-author completes runbook procedures</t>
  </si>
  <si>
    <t xml:space="preserve">FLD-10.2.03</t>
  </si>
  <si>
    <t xml:space="preserve">CI build, release-bundle inclusion, enclave zero-egress install verified, and rollback rehearsed for M35</t>
  </si>
  <si>
    <t xml:space="preserve">CI runs plus egress and rollback logs</t>
  </si>
  <si>
    <t xml:space="preserve">Enclave install shows zero external calls; rollback rehearsal completes with zero evidence loss</t>
  </si>
  <si>
    <t xml:space="preserve">MOD-015; Prompt Loop 2 Deployment lane</t>
  </si>
  <si>
    <t xml:space="preserve">FLD-10.2.04</t>
  </si>
  <si>
    <t xml:space="preserve">Documentation published: procedure-author tolerance guide, supervisor replay guide, API docs from contract, P4 training notes</t>
  </si>
  <si>
    <t xml:space="preserve">A non-author authors a tolerance config and replays a session from docs alone</t>
  </si>
  <si>
    <t xml:space="preserve">FLD-10.2.05</t>
  </si>
  <si>
    <t xml:space="preserve">Exit-gate evidence bundle assembled and reviewed for the M35 release task</t>
  </si>
  <si>
    <t xml:space="preserve">FLD-10.1.02, FLD-10.2.03</t>
  </si>
  <si>
    <t xml:space="preserve">FLD-11.1.01</t>
  </si>
  <si>
    <t xml:space="preserve">M36</t>
  </si>
  <si>
    <t xml:space="preserve">M36 variant-aware delta training</t>
  </si>
  <si>
    <t xml:space="preserve">Variant contracts</t>
  </si>
  <si>
    <t xml:space="preserve">M19 equipment-variant model dependency recorded and consumed: variant schema version pinned and read via the published M19 API only</t>
  </si>
  <si>
    <t xml:space="preserve">Dependency record plus API client conformance test</t>
  </si>
  <si>
    <t xml:space="preserve">M36 reads variants solely through the M19 contract; schema version pinned</t>
  </si>
  <si>
    <t xml:space="preserve">Review D-M36 gap; MOD-003</t>
  </si>
  <si>
    <t xml:space="preserve">FLD-11.1.02</t>
  </si>
  <si>
    <t xml:space="preserve">Authoritative equipment-assignment source named and integrated read-only with a signed data owner</t>
  </si>
  <si>
    <t xml:space="preserve">Integration agreement plus read-only connector test</t>
  </si>
  <si>
    <t xml:space="preserve">Named system of record; connector has no write path; owner signature on file</t>
  </si>
  <si>
    <t xml:space="preserve">Review D-M36 P2 external dependency</t>
  </si>
  <si>
    <t xml:space="preserve">FLD-11.1.03</t>
  </si>
  <si>
    <t xml:space="preserve">M14 gap-engine reuse contract adopted: M36 derives required-from-variant-delta and calls the M14 computation API with no duplicated gap logic</t>
  </si>
  <si>
    <t xml:space="preserve">Contract adoption record plus static check</t>
  </si>
  <si>
    <t xml:space="preserve">Code audit shows zero reimplemented gap computation; M14 API version pinned</t>
  </si>
  <si>
    <t xml:space="preserve">Review D-M36 split rule; LOOP 3</t>
  </si>
  <si>
    <t xml:space="preserve">FLD-11.2.01</t>
  </si>
  <si>
    <t xml:space="preserve">Build and validation</t>
  </si>
  <si>
    <t xml:space="preserve">Delta-curriculum generation implemented against M19 equipment-version competencies for a reference variant pair</t>
  </si>
  <si>
    <t xml:space="preserve">Generated delta curriculum fixture</t>
  </si>
  <si>
    <t xml:space="preserve">Generated delta matches the expected fixture for the reference pair</t>
  </si>
  <si>
    <t xml:space="preserve">R-23; PLAN M14 main-jobs extended</t>
  </si>
  <si>
    <t xml:space="preserve">FLD-11.2.02</t>
  </si>
  <si>
    <t xml:space="preserve">Variant-verification control implemented: learner's assigned variant checked against the assessed variant before certification eligibility</t>
  </si>
  <si>
    <t xml:space="preserve">FLD-11.1.02, FLD-11.2.01</t>
  </si>
  <si>
    <t xml:space="preserve">Control test log</t>
  </si>
  <si>
    <t xml:space="preserve">Eligibility computed only when assigned and assessed variants match</t>
  </si>
  <si>
    <t xml:space="preserve">LOOP 12 wrong-variant rule</t>
  </si>
  <si>
    <t xml:space="preserve">FLD-11.2.03</t>
  </si>
  <si>
    <t xml:space="preserve">Wrong-variant certification prevention negative test executed: certification blocked when assigned variant differs from assessed variant</t>
  </si>
  <si>
    <t xml:space="preserve">Zero certifications issue in the mismatch case; block event logged</t>
  </si>
  <si>
    <t xml:space="preserve">R-23 acceptance; Review D-M36 P1</t>
  </si>
  <si>
    <t xml:space="preserve">FLD-11.2.04</t>
  </si>
  <si>
    <t xml:space="preserve">SME validation completed: delta curriculum for the reference variant pair reviewed and approved by SME</t>
  </si>
  <si>
    <t xml:space="preserve">SME review record</t>
  </si>
  <si>
    <t xml:space="preserve">SME approval recorded with itemized findings closed</t>
  </si>
  <si>
    <t xml:space="preserve">R-23</t>
  </si>
  <si>
    <t xml:space="preserve">FLD-11.2.05</t>
  </si>
  <si>
    <t xml:space="preserve">Audit trail implemented for delta-derived paths: inputs, variant versions, and decision rationale logged per generated path</t>
  </si>
  <si>
    <t xml:space="preserve">Audit query samples</t>
  </si>
  <si>
    <t xml:space="preserve">Every generated path reconstructable from its audit record</t>
  </si>
  <si>
    <t xml:space="preserve">Review D-M36 gap: audit trail</t>
  </si>
  <si>
    <t xml:space="preserve">FLD-11.3.01</t>
  </si>
  <si>
    <t xml:space="preserve">Release</t>
  </si>
  <si>
    <t xml:space="preserve">Observability live: delta-generation metrics and mismatch-block events with alerts and runbook</t>
  </si>
  <si>
    <t xml:space="preserve">Dashboard plus alert test</t>
  </si>
  <si>
    <t xml:space="preserve">Metrics visible; mismatch-block alert fired in test</t>
  </si>
  <si>
    <t xml:space="preserve">FLD-11.3.02</t>
  </si>
  <si>
    <t xml:space="preserve">CI build, release-bundle inclusion, and enclave zero-egress install verified for M36</t>
  </si>
  <si>
    <t xml:space="preserve">CI runs plus egress log</t>
  </si>
  <si>
    <t xml:space="preserve">Enclave install shows zero external calls</t>
  </si>
  <si>
    <t xml:space="preserve">FLD-11.3.03</t>
  </si>
  <si>
    <t xml:space="preserve">Documentation published: variant-modeling guide for SMEs, admin guide, P4 training notes</t>
  </si>
  <si>
    <t xml:space="preserve">Non-author defines a new variant pair from docs alone</t>
  </si>
  <si>
    <t xml:space="preserve">FLD-11.3.04</t>
  </si>
  <si>
    <t xml:space="preserve">Exit-gate evidence bundle assembled and reviewed for the M36 task</t>
  </si>
  <si>
    <t xml:space="preserve">FLD-11.2.03, FLD-11.2.04, FLD-11.3.02</t>
  </si>
  <si>
    <t xml:space="preserve">FLD-12.1.01</t>
  </si>
  <si>
    <t xml:space="preserve">M37</t>
  </si>
  <si>
    <t xml:space="preserve">M37 offline-first microlearning</t>
  </si>
  <si>
    <t xml:space="preserve">Contracts</t>
  </si>
  <si>
    <t xml:space="preserve">Micro-content format accepted into the ECC schema with the boundary rule recorded: M37 renders M22-authored content and grows no authoring tool of its own</t>
  </si>
  <si>
    <t xml:space="preserve">Schema change record plus boundary rule in registry</t>
  </si>
  <si>
    <t xml:space="preserve">Format versioned in ECC; boundary rule signed</t>
  </si>
  <si>
    <t xml:space="preserve">Review D-M37 rule; LOOP 3</t>
  </si>
  <si>
    <t xml:space="preserve">FLD-12.1.02</t>
  </si>
  <si>
    <t xml:space="preserve">Spaced-repetition algorithm chosen with cited evidence basis and a deterministic recompute specification</t>
  </si>
  <si>
    <t xml:space="preserve">Algorithm decision record with citations</t>
  </si>
  <si>
    <t xml:space="preserve">Evidence basis cited; recompute defined as a pure function of synced history</t>
  </si>
  <si>
    <t xml:space="preserve">Review D-M37 gap; LOOP 13</t>
  </si>
  <si>
    <t xml:space="preserve">FLD-12.1.03</t>
  </si>
  <si>
    <t xml:space="preserve">Offline-first sync contract adopted via the shared SDK including week-plus offline reconciliation conflict rules when server-side state moved on</t>
  </si>
  <si>
    <t xml:space="preserve">Contract adoption record</t>
  </si>
  <si>
    <t xml:space="preserve">Conflict rules cover progress, streak, and spacing state; no undefined merge case</t>
  </si>
  <si>
    <t xml:space="preserve">Review D-M37 gap; journey 20</t>
  </si>
  <si>
    <t xml:space="preserve">FLD-12.2.01</t>
  </si>
  <si>
    <t xml:space="preserve">Mobile app implemented offline-first: content pack download, session play, and local streak and spacing state</t>
  </si>
  <si>
    <t xml:space="preserve">FLD-12.1.01, FLD-12.1.03</t>
  </si>
  <si>
    <t xml:space="preserve">Merged code plus offline demo</t>
  </si>
  <si>
    <t xml:space="preserve">Full session completes in airplane mode on low-end Android</t>
  </si>
  <si>
    <t xml:space="preserve">R-24; PLAN-derived M37 main-jobs</t>
  </si>
  <si>
    <t xml:space="preserve">FLD-12.2.02</t>
  </si>
  <si>
    <t xml:space="preserve">Spaced scheduling implemented consuming M28 signals when available and degrading gracefully offline</t>
  </si>
  <si>
    <t xml:space="preserve">FLD-12.1.02, FLD-12.2.01</t>
  </si>
  <si>
    <t xml:space="preserve">Scheduling test run</t>
  </si>
  <si>
    <t xml:space="preserve">Schedule produced with and without M28 signals; offline schedule matches deterministic spec</t>
  </si>
  <si>
    <t xml:space="preserve">Review D-M37 rule</t>
  </si>
  <si>
    <t xml:space="preserve">FLD-12.2.03</t>
  </si>
  <si>
    <t xml:space="preserve">Sync implemented via the shared SDK: exactly-once event delivery and deterministic spacing recompute on reconnect</t>
  </si>
  <si>
    <t xml:space="preserve">FLD-12.1.03, FLD-12.2.01</t>
  </si>
  <si>
    <t xml:space="preserve">Sync test log with dedup audit</t>
  </si>
  <si>
    <t xml:space="preserve">Zero duplicate events; recomputed schedule identical across two replays of the same history</t>
  </si>
  <si>
    <t xml:space="preserve">R-24; Scenario 6 mechanics</t>
  </si>
  <si>
    <t xml:space="preserve">FLD-12.2.04</t>
  </si>
  <si>
    <t xml:space="preserve">On-device data protection implemented: encryption at rest and a documented device-loss posture</t>
  </si>
  <si>
    <t xml:space="preserve">Security test record</t>
  </si>
  <si>
    <t xml:space="preserve">Data unreadable off-device; remote-invalidate on reported loss verified</t>
  </si>
  <si>
    <t xml:space="preserve">LOOP 9 mobile/offline</t>
  </si>
  <si>
    <t xml:space="preserve">FLD-12.2.05</t>
  </si>
  <si>
    <t xml:space="preserve">Indic-script rendering verified in-app on low-end Android in one committed Indic locale</t>
  </si>
  <si>
    <t xml:space="preserve">FLD-12.2.01, PRG-07.1.01</t>
  </si>
  <si>
    <t xml:space="preserve">Device test report with screenshots</t>
  </si>
  <si>
    <t xml:space="preserve">Zero rendering defects (shaping, truncation, sort) on the test corpus</t>
  </si>
  <si>
    <t xml:space="preserve">R-24; LOOP 31.2</t>
  </si>
  <si>
    <t xml:space="preserve">FLD-12.2.06</t>
  </si>
  <si>
    <t xml:space="preserve">Exit-gate evidence bundle assembled and reviewed for the M37 build task</t>
  </si>
  <si>
    <t xml:space="preserve">FLD-12.2.03, FLD-12.2.04</t>
  </si>
  <si>
    <t xml:space="preserve">FLD-13.1.01</t>
  </si>
  <si>
    <t xml:space="preserve">M37 validation and release</t>
  </si>
  <si>
    <t xml:space="preserve">7-day-offline acceptance test passed: sessions across seven offline days sync exactly-once and the spacing schedule recomputes deterministically</t>
  </si>
  <si>
    <t xml:space="preserve">Acceptance test log with dedup audit</t>
  </si>
  <si>
    <t xml:space="preserve">Zero lost and zero duplicate events; deterministic recompute verified</t>
  </si>
  <si>
    <t xml:space="preserve">R-24 acceptance</t>
  </si>
  <si>
    <t xml:space="preserve">FLD-13.1.02</t>
  </si>
  <si>
    <t xml:space="preserve">Long-offline conflict drill passed: server state advanced during the offline week; reconciliation follows contract rules without corrupting streak or spacing state</t>
  </si>
  <si>
    <t xml:space="preserve">Post-merge state matches contract-predicted state on all fixture cases</t>
  </si>
  <si>
    <t xml:space="preserve">Review D-M37 P2 risk; journey 20</t>
  </si>
  <si>
    <t xml:space="preserve">FLD-13.1.03</t>
  </si>
  <si>
    <t xml:space="preserve">Device-matrix test passed on the committed low-end Android hardware list</t>
  </si>
  <si>
    <t xml:space="preserve">Device matrix report</t>
  </si>
  <si>
    <t xml:space="preserve">All committed devices pass the core journey; failures dispositioned</t>
  </si>
  <si>
    <t xml:space="preserve">R-24</t>
  </si>
  <si>
    <t xml:space="preserve">FLD-13.2.01</t>
  </si>
  <si>
    <t xml:space="preserve">Distribution posture decided and implemented: public store channel plus enclave-adjacent sideload path from the release bundle</t>
  </si>
  <si>
    <t xml:space="preserve">Distribution decision plus install test</t>
  </si>
  <si>
    <t xml:space="preserve">Both channels install the identical signed build</t>
  </si>
  <si>
    <t xml:space="preserve">Review D-M37 P3; MOD-015</t>
  </si>
  <si>
    <t xml:space="preserve">FLD-13.2.02</t>
  </si>
  <si>
    <t xml:space="preserve">Zero-egress variant verified: app operates against local infrastructure only in enclave mode</t>
  </si>
  <si>
    <t xml:space="preserve">Zero external calls in enclave configuration</t>
  </si>
  <si>
    <t xml:space="preserve">FLD-13.2.03</t>
  </si>
  <si>
    <t xml:space="preserve">Observability live: sync success rate, schedule adherence, and content-pack currency metrics with alerts</t>
  </si>
  <si>
    <t xml:space="preserve">Metrics visible; sync-failure alert fired in test</t>
  </si>
  <si>
    <t xml:space="preserve">FLD-13.2.04</t>
  </si>
  <si>
    <t xml:space="preserve">Documentation published: admin guide, content-pack packaging guide, P4 training notes</t>
  </si>
  <si>
    <t xml:space="preserve">Non-author publishes a content pack from docs alone</t>
  </si>
  <si>
    <t xml:space="preserve">FLD-13.2.05</t>
  </si>
  <si>
    <t xml:space="preserve">Exit-gate evidence bundle assembled and reviewed for the M37 release task</t>
  </si>
  <si>
    <t xml:space="preserve">FLD-13.1.02, FLD-13.2.02</t>
  </si>
  <si>
    <t xml:space="preserve">FLD-14.1.01</t>
  </si>
  <si>
    <t xml:space="preserve">M38 instrument and contracts</t>
  </si>
  <si>
    <t xml:space="preserve">Measurement instrument</t>
  </si>
  <si>
    <t xml:space="preserve">MOE metric definitions dependency recorded: M38 consumes the P3-accepted MOE definitions and builds no metric of its own</t>
  </si>
  <si>
    <t xml:space="preserve">PRG-02.2.03</t>
  </si>
  <si>
    <t xml:space="preserve">Dependency record</t>
  </si>
  <si>
    <t xml:space="preserve">M38 instrument fields trace 1:1 to accepted P3 definitions</t>
  </si>
  <si>
    <t xml:space="preserve">Review D-M38 gap; LOOP 1</t>
  </si>
  <si>
    <t xml:space="preserve">FLD-14.1.02</t>
  </si>
  <si>
    <t xml:space="preserve">Measurement instrument drafted and piloted on paper or tablet before AR investment</t>
  </si>
  <si>
    <t xml:space="preserve">Pilot report</t>
  </si>
  <si>
    <t xml:space="preserve">Instrument captures the defined MOE fields in a live observation session; revisions logged</t>
  </si>
  <si>
    <t xml:space="preserve">Review D-M38 entry criteria</t>
  </si>
  <si>
    <t xml:space="preserve">FLD-14.1.03</t>
  </si>
  <si>
    <t xml:space="preserve">Instrument calibration protocol defined: observer training, calibration sessions, and an inter-rater reliability threshold</t>
  </si>
  <si>
    <t xml:space="preserve">Calibration protocol doc</t>
  </si>
  <si>
    <t xml:space="preserve">Numeric reliability threshold stated; calibration session procedure complete</t>
  </si>
  <si>
    <t xml:space="preserve">R-26; LOOP 29.5</t>
  </si>
  <si>
    <t xml:space="preserve">FLD-14.1.04</t>
  </si>
  <si>
    <t xml:space="preserve">Shared observation-record schema published so M38 and M35 evidence feed M30 and P3 comparably with observer, instrument version, and context provenance</t>
  </si>
  <si>
    <t xml:space="preserve">FLD-08.1.03, FLD-14.1.01</t>
  </si>
  <si>
    <t xml:space="preserve">Schema v1 in contract registry</t>
  </si>
  <si>
    <t xml:space="preserve">Schema shared by both producers; provenance fields mandatory</t>
  </si>
  <si>
    <t xml:space="preserve">Review D-M38 boundary note</t>
  </si>
  <si>
    <t xml:space="preserve">FLD-14.1.05</t>
  </si>
  <si>
    <t xml:space="preserve">AR hardware selection decision recorded with operational-environment suitability evidence and written site authority approval for operational recording</t>
  </si>
  <si>
    <t xml:space="preserve">Decision record plus site approval letter</t>
  </si>
  <si>
    <t xml:space="preserve">Hardware suits the operational environment per trial; site authority approval on file</t>
  </si>
  <si>
    <t xml:space="preserve">Review D-M38 P2 risk</t>
  </si>
  <si>
    <t xml:space="preserve">FLD-14.1.06</t>
  </si>
  <si>
    <t xml:space="preserve">Exit-gate evidence bundle assembled and reviewed for the M38 instrument task</t>
  </si>
  <si>
    <t xml:space="preserve">FLD-14.1.03, FLD-14.1.04, FLD-14.1.05</t>
  </si>
  <si>
    <t xml:space="preserve">FLD-15.1.01</t>
  </si>
  <si>
    <t xml:space="preserve">M38 build and validation</t>
  </si>
  <si>
    <t xml:space="preserve">AR observer application implemented: observation capture per instrument with instrument version stamping and context provenance on every record</t>
  </si>
  <si>
    <t xml:space="preserve">Merged code plus sample records</t>
  </si>
  <si>
    <t xml:space="preserve">Every record carries observer ID, instrument version, and context fields</t>
  </si>
  <si>
    <t xml:space="preserve">R-26; PLAN-derived M38 main-jobs</t>
  </si>
  <si>
    <t xml:space="preserve">FLD-15.1.02</t>
  </si>
  <si>
    <t xml:space="preserve">Offline capture and sync implemented via the shared store-and-forward SDK</t>
  </si>
  <si>
    <t xml:space="preserve">FND-08.2.02, FLD-15.1.01</t>
  </si>
  <si>
    <t xml:space="preserve">Sync test log</t>
  </si>
  <si>
    <t xml:space="preserve">Offline observation session syncs exactly-once on reconnect</t>
  </si>
  <si>
    <t xml:space="preserve">Review S.4</t>
  </si>
  <si>
    <t xml:space="preserve">FLD-15.1.03</t>
  </si>
  <si>
    <t xml:space="preserve">Operational-context data sensitivity controls implemented per the classification and DPDP review with the review closed</t>
  </si>
  <si>
    <t xml:space="preserve">FLD-14.1.05, FLD-15.1.01</t>
  </si>
  <si>
    <t xml:space="preserve">Closed review record plus control tests</t>
  </si>
  <si>
    <t xml:space="preserve">All review actions closed; restricted fields protected per control test</t>
  </si>
  <si>
    <t xml:space="preserve">Review D-M38 gap: data sensitivity</t>
  </si>
  <si>
    <t xml:space="preserve">FLD-15.2.01</t>
  </si>
  <si>
    <t xml:space="preserve">Validation and release</t>
  </si>
  <si>
    <t xml:space="preserve">Observer workflow validation executed: usability trial with real observers meeting task-completion and observer-burden thresholds</t>
  </si>
  <si>
    <t xml:space="preserve">Usability trial report</t>
  </si>
  <si>
    <t xml:space="preserve">Both thresholds met; defects triaged with zero open P0/P1</t>
  </si>
  <si>
    <t xml:space="preserve">LOOP 29.5; Review D-M38 adoption risk</t>
  </si>
  <si>
    <t xml:space="preserve">FLD-15.2.02</t>
  </si>
  <si>
    <t xml:space="preserve">Instrument calibration executed in pilot: inter-rater reliability at or above threshold versus expert observers</t>
  </si>
  <si>
    <t xml:space="preserve">FLD-14.1.03, FLD-15.2.01</t>
  </si>
  <si>
    <t xml:space="preserve">Reliability study report</t>
  </si>
  <si>
    <t xml:space="preserve">Measured reliability meets the protocol threshold</t>
  </si>
  <si>
    <t xml:space="preserve">R-26 acceptance</t>
  </si>
  <si>
    <t xml:space="preserve">FLD-15.2.03</t>
  </si>
  <si>
    <t xml:space="preserve">MOE data flow verified into analytics marts: observations land in M30 MOE views with full provenance</t>
  </si>
  <si>
    <t xml:space="preserve">FLD-15.1.02, ANA-02.2.08, ANA-05.3.04</t>
  </si>
  <si>
    <t xml:space="preserve">End-to-end flow audit</t>
  </si>
  <si>
    <t xml:space="preserve">Pilot observations queryable in the mart and visible in MOE views with provenance intact</t>
  </si>
  <si>
    <t xml:space="preserve">R-26; critical inclusion MOE-to-ANA</t>
  </si>
  <si>
    <t xml:space="preserve">FLD-15.2.04</t>
  </si>
  <si>
    <t xml:space="preserve">Observability live for M38: capture volume, sync state, and instrument-version distribution with alerts and runbook</t>
  </si>
  <si>
    <t xml:space="preserve">Metrics visible; stale-instrument-version alert fired in test</t>
  </si>
  <si>
    <t xml:space="preserve">FLD-15.2.05</t>
  </si>
  <si>
    <t xml:space="preserve">CI build, release-bundle inclusion, and enclave zero-egress install verified for M38</t>
  </si>
  <si>
    <t xml:space="preserve">FLD-15.2.06</t>
  </si>
  <si>
    <t xml:space="preserve">Documentation published: observer guide, calibration handbook, admin guide, P4 training notes</t>
  </si>
  <si>
    <t xml:space="preserve">A new observer completes calibration from the handbook alone</t>
  </si>
  <si>
    <t xml:space="preserve">FLD-15.2.07</t>
  </si>
  <si>
    <t xml:space="preserve">Exit-gate evidence bundle assembled and reviewed for the M38 build and validation task</t>
  </si>
  <si>
    <t xml:space="preserve">FLD-15.2.02, FLD-15.2.03, FLD-15.2.05</t>
  </si>
  <si>
    <t xml:space="preserve">PLT-01.1.01</t>
  </si>
  <si>
    <t xml:space="preserve">PLT</t>
  </si>
  <si>
    <t xml:space="preserve">Tenant resolution and RLS pattern</t>
  </si>
  <si>
    <t xml:space="preserve">Contracts and conventions</t>
  </si>
  <si>
    <t xml:space="preserve">Tenant and command ID model with resolution API contract published to the contract registry, aligned with the identity token claim schema</t>
  </si>
  <si>
    <t xml:space="preserve">FND-01.1.02, PLT-05.1.02</t>
  </si>
  <si>
    <t xml:space="preserve">Contract resolves user, service, and batch contexts to tenant and command IDs unambiguously for 5 fixture cases</t>
  </si>
  <si>
    <t xml:space="preserve">REV S.2a; MOD-008</t>
  </si>
  <si>
    <t xml:space="preserve">PLT-01.1.02</t>
  </si>
  <si>
    <t xml:space="preserve">RLS enforcement pattern published: standard PostgreSQL policy templates, session-variable convention, and a migration checklist item for every tenant-scoped table</t>
  </si>
  <si>
    <t xml:space="preserve">RLS pattern doc and policy templates</t>
  </si>
  <si>
    <t xml:space="preserve">Templates apply cleanly to a reference table; migration checklist adopted by all module teams in writing</t>
  </si>
  <si>
    <t xml:space="preserve">DEC-006; MOD-008</t>
  </si>
  <si>
    <t xml:space="preserve">PLT-01.1.03</t>
  </si>
  <si>
    <t xml:space="preserve">Tenant-aware key conventions published for caches, queues, logs, object storage paths, and vector index names</t>
  </si>
  <si>
    <t xml:space="preserve">Key convention doc</t>
  </si>
  <si>
    <t xml:space="preserve">Convention covers all five stores with examples; linted key format defined</t>
  </si>
  <si>
    <t xml:space="preserve">LOOP 8; MOD-008</t>
  </si>
  <si>
    <t xml:space="preserve">PLT-01.2.01</t>
  </si>
  <si>
    <t xml:space="preserve">Library and service build</t>
  </si>
  <si>
    <t xml:space="preserve">Tenant-resolution library implemented for the platform service stacks with automatic context propagation into DB session, cache, queue, and log fields</t>
  </si>
  <si>
    <t xml:space="preserve">Library release with tests</t>
  </si>
  <si>
    <t xml:space="preserve">Reference service using the library stamps tenant context on all four surfaces in test</t>
  </si>
  <si>
    <t xml:space="preserve">REV S.2a</t>
  </si>
  <si>
    <t xml:space="preserve">PLT-01.2.02</t>
  </si>
  <si>
    <t xml:space="preserve">Tenant-resolution service implemented for cross-service lookups of the tenant and command hierarchy</t>
  </si>
  <si>
    <t xml:space="preserve">Service passing conformance tests</t>
  </si>
  <si>
    <t xml:space="preserve">Hierarchy queries return correct command roll-up paths for fixture tenants</t>
  </si>
  <si>
    <t xml:space="preserve">PLT-01.2.03</t>
  </si>
  <si>
    <t xml:space="preserve">RLS proven on a reference table: policies applied with negative tests demonstrating a query without tenant context returns zero rows</t>
  </si>
  <si>
    <t xml:space="preserve">RLS negative-test log</t>
  </si>
  <si>
    <t xml:space="preserve">Missing-context and wrong-tenant queries both return zero rows; passing test in CI</t>
  </si>
  <si>
    <t xml:space="preserve">REV U days-31-60 item 3</t>
  </si>
  <si>
    <t xml:space="preserve">PLT-01.2.04</t>
  </si>
  <si>
    <t xml:space="preserve">Background-job tenant enforcement implemented: jobs without tenant context fail closed and alarm rather than running unscoped</t>
  </si>
  <si>
    <t xml:space="preserve">Fail-closed job test log</t>
  </si>
  <si>
    <t xml:space="preserve">Context-less fixture job aborts with alarm; no unscoped rows touched</t>
  </si>
  <si>
    <t xml:space="preserve">LOOP 8 background-job path</t>
  </si>
  <si>
    <t xml:space="preserve">PLT-01.3.01</t>
  </si>
  <si>
    <t xml:space="preserve">Negative-test kit</t>
  </si>
  <si>
    <t xml:space="preserve">Scenario 2 negative-test kit published: reusable cross-tenant probes covering API, database, cache, queue, object storage, and vector search</t>
  </si>
  <si>
    <t xml:space="preserve">Probe-kit repository v1</t>
  </si>
  <si>
    <t xml:space="preserve">Kit runs against a reference deployment and reports per-surface pass or fail</t>
  </si>
  <si>
    <t xml:space="preserve">Scenario 2; MOD-008 validation</t>
  </si>
  <si>
    <t xml:space="preserve">PLT-01.3.02</t>
  </si>
  <si>
    <t xml:space="preserve">Negative-test kit made mandatory in CI: every module pipeline runs the kit against its stores and a missing or red run blocks release</t>
  </si>
  <si>
    <t xml:space="preserve">CI policy config and one blocked build</t>
  </si>
  <si>
    <t xml:space="preserve">Pipeline without a green kit run demonstrably cannot promote</t>
  </si>
  <si>
    <t xml:space="preserve">MOD-008; J.5 gate 3</t>
  </si>
  <si>
    <t xml:space="preserve">PLT-01.3.03</t>
  </si>
  <si>
    <t xml:space="preserve">Quarterly cross-tenant penetration test scheduled with the first run executed and findings filed</t>
  </si>
  <si>
    <t xml:space="preserve">Pen-test report and schedule</t>
  </si>
  <si>
    <t xml:space="preserve">First report on file with zero unresolved criticals; next run calendared</t>
  </si>
  <si>
    <t xml:space="preserve">MOD-008 validation; ANA-03 parallel</t>
  </si>
  <si>
    <t xml:space="preserve">PLT-01.3.04</t>
  </si>
  <si>
    <t xml:space="preserve">Exit-gate evidence bundle assembled and reviewed for the tenant resolution task</t>
  </si>
  <si>
    <t xml:space="preserve">Hash-chained audit service</t>
  </si>
  <si>
    <t xml:space="preserve">Standard, store, and verification</t>
  </si>
  <si>
    <t xml:space="preserve">Platform audit standard published: event schema, required fields, retention classes, and hash-chaining integrity rules</t>
  </si>
  <si>
    <t xml:space="preserve">Audit standard v1 in contract registry</t>
  </si>
  <si>
    <t xml:space="preserve">Standard covers grades, records, privileges, admin actions, and AI decisions with required fields per class</t>
  </si>
  <si>
    <t xml:space="preserve">MOD-013; REV S.2b</t>
  </si>
  <si>
    <t xml:space="preserve">PLT-02.1.02</t>
  </si>
  <si>
    <t xml:space="preserve">Append-only hash-chained audit store implemented with WORM-class retention</t>
  </si>
  <si>
    <t xml:space="preserve">Store deployment and chain sample</t>
  </si>
  <si>
    <t xml:space="preserve">Chain verifies end to end on fixture data; deletes and updates impossible via API</t>
  </si>
  <si>
    <t xml:space="preserve">Audit write library and API implemented and adopted by every module touching grades, official records, or privileges</t>
  </si>
  <si>
    <t xml:space="preserve">Library release and consumer list</t>
  </si>
  <si>
    <t xml:space="preserve">All in-scope Slice A modules write through the library; direct-store writes blocked</t>
  </si>
  <si>
    <t xml:space="preserve">REV S.2b</t>
  </si>
  <si>
    <t xml:space="preserve">PLT-02.1.04</t>
  </si>
  <si>
    <t xml:space="preserve">Chain-verification job implemented: periodic integrity check over the full chain with alert on any break</t>
  </si>
  <si>
    <t xml:space="preserve">Verification job runs and alert test</t>
  </si>
  <si>
    <t xml:space="preserve">Job green on intact chain; deliberately broken link fires the alert</t>
  </si>
  <si>
    <t xml:space="preserve">PLT-02.1.05</t>
  </si>
  <si>
    <t xml:space="preserve">Tamper-attempt drill executed: modification attempt on a sealed audit record is detected, blocked, and alarmed</t>
  </si>
  <si>
    <t xml:space="preserve">Tamper drill report</t>
  </si>
  <si>
    <t xml:space="preserve">Attempt blocked and alarm fired; drill artifacts filed for ATO evidence</t>
  </si>
  <si>
    <t xml:space="preserve">Scenario 10/15; REV J.4 security 8</t>
  </si>
  <si>
    <t xml:space="preserve">PLT-02.1.06</t>
  </si>
  <si>
    <t xml:space="preserve">Evidence-pull query API implemented supporting journey-22 reconstruction across modules by record or correlation ID</t>
  </si>
  <si>
    <t xml:space="preserve">Evidence-pull output samples</t>
  </si>
  <si>
    <t xml:space="preserve">Query by fixture record ID returns the complete cross-module audit trail</t>
  </si>
  <si>
    <t xml:space="preserve">Journey 22; MOD-013</t>
  </si>
  <si>
    <t xml:space="preserve">PLT-02.1.07</t>
  </si>
  <si>
    <t xml:space="preserve">Enclave install of the audit service from the release bundle verified with zero egress and retention sizing stated for enclave storage</t>
  </si>
  <si>
    <t xml:space="preserve">Egress CI log and sizing note</t>
  </si>
  <si>
    <t xml:space="preserve">Zero egress alarms; sizing note covers the stated retention period at projected volume</t>
  </si>
  <si>
    <t xml:space="preserve">PLT-02.1.08</t>
  </si>
  <si>
    <t xml:space="preserve">Audit service documentation published: standard, integration guide, operator runbook, and P4 training notes</t>
  </si>
  <si>
    <t xml:space="preserve">A module team integrates using only the guide in a documented trial</t>
  </si>
  <si>
    <t xml:space="preserve">PLT-02.1.09</t>
  </si>
  <si>
    <t xml:space="preserve">Exit-gate evidence bundle assembled and reviewed for the audit service task</t>
  </si>
  <si>
    <t xml:space="preserve">Content lineage and supersession engine</t>
  </si>
  <si>
    <t xml:space="preserve">Derivative registry and SLA engine</t>
  </si>
  <si>
    <t xml:space="preserve">Derivative registry schema defined and published: eBook, chunk, embedding, cache entry, translation, and enclave copy, each recorded against its source revision</t>
  </si>
  <si>
    <t xml:space="preserve">PLT-05.1.02, CNT-11.1.05</t>
  </si>
  <si>
    <t xml:space="preserve">Schema round-trips a fixture manual's full derivative tree without loss</t>
  </si>
  <si>
    <t xml:space="preserve">REV S.2d; MOD-014 lineage</t>
  </si>
  <si>
    <t xml:space="preserve">PLT-03.1.02</t>
  </si>
  <si>
    <t xml:space="preserve">Registration API implemented and adopted by derivative producers so every derivative artifact is registered at creation time</t>
  </si>
  <si>
    <t xml:space="preserve">API release and producer adoption list</t>
  </si>
  <si>
    <t xml:space="preserve">Fixture manual pipeline registers 100 percent of derivatives automatically</t>
  </si>
  <si>
    <t xml:space="preserve">REV S.2d; CNT-02.1.06</t>
  </si>
  <si>
    <t xml:space="preserve">PLT-03.1.03</t>
  </si>
  <si>
    <t xml:space="preserve">Blast-radius query implemented: given a source revision, list all affected eBooks, chunks, embeddings, caches, quiz items, and language variants</t>
  </si>
  <si>
    <t xml:space="preserve">Blast-radius query output</t>
  </si>
  <si>
    <t xml:space="preserve">Query on the fixture revision returns the complete hand-verified derivative list including translations</t>
  </si>
  <si>
    <t xml:space="preserve">DEC-005; REV D2 M25</t>
  </si>
  <si>
    <t xml:space="preserve">PLT-03.1.04</t>
  </si>
  <si>
    <t xml:space="preserve">Supersession propagation SLA engine implemented: tombstone issuance on supersession events and per-artifact propagation tracking against the declared SLA</t>
  </si>
  <si>
    <t xml:space="preserve">PLT-03.1.03, CNT-17.1.03, CNT-17.1.04</t>
  </si>
  <si>
    <t xml:space="preserve">SLA engine dashboard</t>
  </si>
  <si>
    <t xml:space="preserve">Every affected artifact shows tombstone time versus SLA; breaches computed correctly on fixture events</t>
  </si>
  <si>
    <t xml:space="preserve">PLT-03.1.05</t>
  </si>
  <si>
    <t xml:space="preserve">Per-enclave and per-language currency tracking implemented with staleness flags for translation variants lagging their source revision</t>
  </si>
  <si>
    <t xml:space="preserve">Currency view for two simulated enclaves</t>
  </si>
  <si>
    <t xml:space="preserve">Stale-translation fixture flagged; enclave with unapplied manifest flagged</t>
  </si>
  <si>
    <t xml:space="preserve">Scenario 16; LOOP 26.4</t>
  </si>
  <si>
    <t xml:space="preserve">PLT-03.1.06</t>
  </si>
  <si>
    <t xml:space="preserve">SLA-breach alerting implemented: propagation past SLA raises an ops incident with the affected-artifact list attached</t>
  </si>
  <si>
    <t xml:space="preserve">Fired-alert test record</t>
  </si>
  <si>
    <t xml:space="preserve">Simulated breach fires an incident containing the correct artifact list</t>
  </si>
  <si>
    <t xml:space="preserve">R-010</t>
  </si>
  <si>
    <t xml:space="preserve">PLT-03.1.07</t>
  </si>
  <si>
    <t xml:space="preserve">Connected-mode supersession drill executed: injected test revision flags 100 percent of affected artifacts within the detection SLA and superseded chunks are tombstoned within the supersession SLA with an auditable trail</t>
  </si>
  <si>
    <t xml:space="preserve">PLT-03.1.04, PLT-02.1.03</t>
  </si>
  <si>
    <t xml:space="preserve">Drill report with audit extract</t>
  </si>
  <si>
    <t xml:space="preserve">Both SLA conditions met at 100 percent; trail reconstructable from the audit service</t>
  </si>
  <si>
    <t xml:space="preserve">REV D2 M25 acceptance a; Scenario 4</t>
  </si>
  <si>
    <t xml:space="preserve">PLT-03.1.08</t>
  </si>
  <si>
    <t xml:space="preserve">Enclave media-path drill executed: supersession applied via signed media manifest on the enclave rig with the same 100 percent flagging outcome</t>
  </si>
  <si>
    <t xml:space="preserve">PLT-03.2.01</t>
  </si>
  <si>
    <t xml:space="preserve">Enclave drill report</t>
  </si>
  <si>
    <t xml:space="preserve">Media-applied supersession reaches all enclave derivatives within SLA; zero egress during drill</t>
  </si>
  <si>
    <t xml:space="preserve">REV D2 M25 acceptance a; Scenario 13</t>
  </si>
  <si>
    <t xml:space="preserve">Ops and handoff</t>
  </si>
  <si>
    <t xml:space="preserve">Lineage service metrics, enclave zero-egress install, and rollback rehearsal completed with operator runbook published</t>
  </si>
  <si>
    <t xml:space="preserve">Egress log, rollback record, runbook</t>
  </si>
  <si>
    <t xml:space="preserve">Zero egress on install; rollback within bound; runbook walked by non-author</t>
  </si>
  <si>
    <t xml:space="preserve">MOD-015; J.5</t>
  </si>
  <si>
    <t xml:space="preserve">PLT-03.2.02</t>
  </si>
  <si>
    <t xml:space="preserve">Lineage service documentation published: registry schema guide, producer integration guide, and P4 training notes</t>
  </si>
  <si>
    <t xml:space="preserve">A producer team integrates from the guide alone in a documented trial</t>
  </si>
  <si>
    <t xml:space="preserve">J.5 gate 8</t>
  </si>
  <si>
    <t xml:space="preserve">PLT-03.2.03</t>
  </si>
  <si>
    <t xml:space="preserve">Exit-gate evidence bundle assembled and reviewed for the content-lineage task</t>
  </si>
  <si>
    <t xml:space="preserve">Reconciliation service</t>
  </si>
  <si>
    <t xml:space="preserve">Comparators and discrepancy handling</t>
  </si>
  <si>
    <t xml:space="preserve">Reconciliation contracts defined: declared source of truth per data class with LMS gradebook for grades, comparator schedules, and a discrepancy severity taxonomy</t>
  </si>
  <si>
    <t xml:space="preserve">Reconciliation contract doc</t>
  </si>
  <si>
    <t xml:space="preserve">Source of truth named per class; schedules and severity levels numeric; approved</t>
  </si>
  <si>
    <t xml:space="preserve">MOD-007; Final Challenge Q7</t>
  </si>
  <si>
    <t xml:space="preserve">PLT-04.1.02</t>
  </si>
  <si>
    <t xml:space="preserve">Grade comparator implemented: EdVidura scores from M8 and M27 compared with the LMS gradebook on schedule</t>
  </si>
  <si>
    <t xml:space="preserve">Comparator run output</t>
  </si>
  <si>
    <t xml:space="preserve">Seeded divergence in fixture data detected within one cycle and classified per taxonomy</t>
  </si>
  <si>
    <t xml:space="preserve">MOD-007; Scenario 3; HS-2</t>
  </si>
  <si>
    <t xml:space="preserve">PLT-04.1.03</t>
  </si>
  <si>
    <t xml:space="preserve">Official-record comparator implemented: local records compared with federated ELRR copies with provenance-aware matching</t>
  </si>
  <si>
    <t xml:space="preserve">Seeded missing-record and conflicting-record fixtures both detected and classified</t>
  </si>
  <si>
    <t xml:space="preserve">MOD-007; Scenario 12</t>
  </si>
  <si>
    <t xml:space="preserve">PLT-04.1.04</t>
  </si>
  <si>
    <t xml:space="preserve">Event-count comparator implemented: client, M3, and LRS counts and checksums compared per window</t>
  </si>
  <si>
    <t xml:space="preserve">PLT-04.1.01, FND-07.1.01</t>
  </si>
  <si>
    <t xml:space="preserve">Seeded dropped-event fixture detected; zero false positives on clean window</t>
  </si>
  <si>
    <t xml:space="preserve">LOOP 26.7; MOD-004</t>
  </si>
  <si>
    <t xml:space="preserve">PLT-04.1.05</t>
  </si>
  <si>
    <t xml:space="preserve">Discrepancy human-review queue implemented with severity routing and resolution audit trail</t>
  </si>
  <si>
    <t xml:space="preserve">PLT-04.1.02, PLT-02.1.03</t>
  </si>
  <si>
    <t xml:space="preserve">Queue demo and audit extract</t>
  </si>
  <si>
    <t xml:space="preserve">Every fixture discrepancy lands in the queue with severity; resolutions audited</t>
  </si>
  <si>
    <t xml:space="preserve">MOD-007</t>
  </si>
  <si>
    <t xml:space="preserve">PLT-04.1.06</t>
  </si>
  <si>
    <t xml:space="preserve">Retry and dead-letter driving implemented: failed grade passbacks retried per policy and dead-lettered to the queue after exhaustion</t>
  </si>
  <si>
    <t xml:space="preserve">Retry policy config and test log</t>
  </si>
  <si>
    <t xml:space="preserve">Injected passback failure retried per policy then dead-lettered; nothing silently dropped</t>
  </si>
  <si>
    <t xml:space="preserve">MOD-007; Scenario 3</t>
  </si>
  <si>
    <t xml:space="preserve">PLT-04.1.07</t>
  </si>
  <si>
    <t xml:space="preserve">Teacher-visible sync status implemented so instructors see grade passback and record sync state per class</t>
  </si>
  <si>
    <t xml:space="preserve">Sync status UI demo</t>
  </si>
  <si>
    <t xml:space="preserve">Injected failure visibly changes class sync status within one reconciliation cycle</t>
  </si>
  <si>
    <t xml:space="preserve">MOD-007 validation</t>
  </si>
  <si>
    <t xml:space="preserve">PLT-04.1.08</t>
  </si>
  <si>
    <t xml:space="preserve">MOD-007 fault-injection acceptance test executed: injected passback failure detected within one cycle, retried, and surfaced in the teacher UI</t>
  </si>
  <si>
    <t xml:space="preserve">Acceptance test report</t>
  </si>
  <si>
    <t xml:space="preserve">All three conditions met in one test run; report filed as hard-stop-2 clearance evidence</t>
  </si>
  <si>
    <t xml:space="preserve">MOD-007 validation; HS-2</t>
  </si>
  <si>
    <t xml:space="preserve">PLT-04.1.09</t>
  </si>
  <si>
    <t xml:space="preserve">Enclave install of the reconciliation service verified with zero egress and documentation with runbook published</t>
  </si>
  <si>
    <t xml:space="preserve">Egress log and doc set</t>
  </si>
  <si>
    <t xml:space="preserve">Zero egress alarms; runbook walked by non-author; P4 notes accepted</t>
  </si>
  <si>
    <t xml:space="preserve">PLT-04.1.10</t>
  </si>
  <si>
    <t xml:space="preserve">Exit-gate evidence bundle assembled and reviewed for the reconciliation service task</t>
  </si>
  <si>
    <t xml:space="preserve">PLT-05.1.01</t>
  </si>
  <si>
    <t xml:space="preserve">Contract registry and CI gates</t>
  </si>
  <si>
    <t xml:space="preserve">Registry and compatibility enforcement</t>
  </si>
  <si>
    <t xml:space="preserve">Contract registry structure defined: OpenAPI specs, event schemas, and xAPI profiles with a versioning and deprecation policy stating additive versus breaking rules and sunset windows</t>
  </si>
  <si>
    <t xml:space="preserve">Registry structure doc and policy</t>
  </si>
  <si>
    <t xml:space="preserve">Policy adopted by architecture board; structure holds all three artifact types</t>
  </si>
  <si>
    <t xml:space="preserve">REV S.1; MOD-002</t>
  </si>
  <si>
    <t xml:space="preserve">Contract registry deployed with a publish workflow requiring owner approval and semantic version assignment per contract</t>
  </si>
  <si>
    <t xml:space="preserve">Registry deployment and one published contract</t>
  </si>
  <si>
    <t xml:space="preserve">Unapproved publish attempt rejected; published contract carries version and owner</t>
  </si>
  <si>
    <t xml:space="preserve">REV S.1; HS-11</t>
  </si>
  <si>
    <t xml:space="preserve">PLT-05.1.03</t>
  </si>
  <si>
    <t xml:space="preserve">CI compatibility gates implemented: breaking change against the prior published contract version blocks merge across all module repositories</t>
  </si>
  <si>
    <t xml:space="preserve">Gate config and one blocked breaking change</t>
  </si>
  <si>
    <t xml:space="preserve">Deliberate breaking change demonstrably blocked; additive change passes</t>
  </si>
  <si>
    <t xml:space="preserve">REV S.1; J.5 gate 2</t>
  </si>
  <si>
    <t xml:space="preserve">PLT-05.1.04</t>
  </si>
  <si>
    <t xml:space="preserve">Conformance-suite convention published: every registered contract ships a third-party-runnable conformance suite, enforced at registration</t>
  </si>
  <si>
    <t xml:space="preserve">Convention doc and enforcement check</t>
  </si>
  <si>
    <t xml:space="preserve">Contract without a conformance suite cannot complete registration</t>
  </si>
  <si>
    <t xml:space="preserve">LOOP 18; MOSA; Q21</t>
  </si>
  <si>
    <t xml:space="preserve">PLT-05.1.05</t>
  </si>
  <si>
    <t xml:space="preserve">Third-party implementability verified: an engineer outside the owning team implements a stub consumer of one registered contract from documentation alone</t>
  </si>
  <si>
    <t xml:space="preserve">Trial record</t>
  </si>
  <si>
    <t xml:space="preserve">Stub passes the conformance suite with zero questions to the owning team, or gaps filed as doc defects</t>
  </si>
  <si>
    <t xml:space="preserve">MOSA recompete test; Q21</t>
  </si>
  <si>
    <t xml:space="preserve">PLT-05.1.06</t>
  </si>
  <si>
    <t xml:space="preserve">All Slice 0 contracts registered as first entries: event envelope, M19 and M18 schemas, tenant model, and official-record schema</t>
  </si>
  <si>
    <t xml:space="preserve">Registry listing</t>
  </si>
  <si>
    <t xml:space="preserve">All five Slice 0 contracts present with versions and conformance suites</t>
  </si>
  <si>
    <t xml:space="preserve">REV T Stage 0 exit; HS-11</t>
  </si>
  <si>
    <t xml:space="preserve">PLT-05.1.07</t>
  </si>
  <si>
    <t xml:space="preserve">Enclave registry copy included in the release bundle so enclave teams resolve contracts offline</t>
  </si>
  <si>
    <t xml:space="preserve">Bundle manifest entry and offline resolution test</t>
  </si>
  <si>
    <t xml:space="preserve">Contract lookup succeeds on the enclave rig with zero egress</t>
  </si>
  <si>
    <t xml:space="preserve">PLT-05.1.08</t>
  </si>
  <si>
    <t xml:space="preserve">Exit-gate evidence bundle assembled and reviewed for the contract registry task</t>
  </si>
  <si>
    <t xml:space="preserve">Observability stack</t>
  </si>
  <si>
    <t xml:space="preserve">Correlation, logging, and stack deployment</t>
  </si>
  <si>
    <t xml:space="preserve">Correlation and causation ID propagation standard published with a propagation library implemented for HTTP calls and event flows</t>
  </si>
  <si>
    <t xml:space="preserve">Standard doc and library release</t>
  </si>
  <si>
    <t xml:space="preserve">Reference chain of three services shows one correlation ID end to end in test</t>
  </si>
  <si>
    <t xml:space="preserve">PLT-06.1.02</t>
  </si>
  <si>
    <t xml:space="preserve">Structured log schema with tenant, command, correlation, and actor fields adopted platform-wide with a CI lint rejecting non-conforming log statements</t>
  </si>
  <si>
    <t xml:space="preserve">PLT-06.1.01, PLT-01.1.03</t>
  </si>
  <si>
    <t xml:space="preserve">Log schema and lint config</t>
  </si>
  <si>
    <t xml:space="preserve">Non-conforming log statement fails CI in a demonstration repo</t>
  </si>
  <si>
    <t xml:space="preserve">LOOP 15; MOD-008</t>
  </si>
  <si>
    <t xml:space="preserve">PLT-06.1.03</t>
  </si>
  <si>
    <t xml:space="preserve">Metrics, traces, and logs stack deployed with pinned versions as part of the platform core deployable</t>
  </si>
  <si>
    <t xml:space="preserve">Stack deployment manifest</t>
  </si>
  <si>
    <t xml:space="preserve">All three signal types queryable for a reference service; versions pinned in IaC</t>
  </si>
  <si>
    <t xml:space="preserve">REV S deployment units</t>
  </si>
  <si>
    <t xml:space="preserve">PLT-06.1.04</t>
  </si>
  <si>
    <t xml:space="preserve">Enclave observability variant deployed fully local with zero phone-home verified by the egress test</t>
  </si>
  <si>
    <t xml:space="preserve">Enclave egress CI log</t>
  </si>
  <si>
    <t xml:space="preserve">Zero egress alarms from the observability stack on the enclave rig</t>
  </si>
  <si>
    <t xml:space="preserve">LOOP 25.1; MOD-015</t>
  </si>
  <si>
    <t xml:space="preserve">PLT-06.2.01</t>
  </si>
  <si>
    <t xml:space="preserve">SLOs, probes, and diagnostics</t>
  </si>
  <si>
    <t xml:space="preserve">Journey SLOs defined with error budgets for launch, quiz-to-grade-to-dashboard, chatbot answer, and official-record write journeys</t>
  </si>
  <si>
    <t xml:space="preserve">SLO catalogue v1</t>
  </si>
  <si>
    <t xml:space="preserve">Each journey has numeric SLO, measurement query, and error budget; approved</t>
  </si>
  <si>
    <t xml:space="preserve">LOOP 15; Q15</t>
  </si>
  <si>
    <t xml:space="preserve">PLT-06.2.02</t>
  </si>
  <si>
    <t xml:space="preserve">Synthetic probes implemented and scheduled per environment: LTI launch, grade passback, and xAPI write</t>
  </si>
  <si>
    <t xml:space="preserve">All three probes run on schedule in staging and the enclave rig; failure raises alert</t>
  </si>
  <si>
    <t xml:space="preserve">REV S deployment note; LOOP 15</t>
  </si>
  <si>
    <t xml:space="preserve">Per-enclave chatbot evaluation probe implemented: scheduled synthetic questions scored against baseline with alerting on degradation</t>
  </si>
  <si>
    <t xml:space="preserve">PLT-06.2.02, AIA-04.2.01</t>
  </si>
  <si>
    <t xml:space="preserve">Probe run history with scores</t>
  </si>
  <si>
    <t xml:space="preserve">Probe posts scores per enclave on schedule; simulated degradation fires the alert</t>
  </si>
  <si>
    <t xml:space="preserve">LOOP 15 named probe; REV I.7-3</t>
  </si>
  <si>
    <t xml:space="preserve">PLT-06.2.04</t>
  </si>
  <si>
    <t xml:space="preserve">Alert routing and on-call conventions published with alert thresholds tied to the SLO catalogue</t>
  </si>
  <si>
    <t xml:space="preserve">Alert routing config</t>
  </si>
  <si>
    <t xml:space="preserve">Test alert reaches the on-call channel within 5 minutes; thresholds trace to SLOs</t>
  </si>
  <si>
    <t xml:space="preserve">LOOP 15</t>
  </si>
  <si>
    <t xml:space="preserve">PLT-06.2.05</t>
  </si>
  <si>
    <t xml:space="preserve">Enclave diagnostic bundle tooling implemented: operators export a sanitized cross-module diagnostic bundle without remote access</t>
  </si>
  <si>
    <t xml:space="preserve">Bundle export from enclave rig</t>
  </si>
  <si>
    <t xml:space="preserve">Bundle contains logs, metrics extracts, and versions for a seeded incident; PII sanitization verified</t>
  </si>
  <si>
    <t xml:space="preserve">Q15; LOOP 15 enclave diagnostics</t>
  </si>
  <si>
    <t xml:space="preserve">PLT-06.2.06</t>
  </si>
  <si>
    <t xml:space="preserve">Correlation end-to-end acceptance test executed: one quiz journey traced across gateway, module, M3, LRS, and dashboard on a single correlation ID</t>
  </si>
  <si>
    <t xml:space="preserve">Trace evidence</t>
  </si>
  <si>
    <t xml:space="preserve">All five hops share the ID in the captured trace; test wired into the release suite</t>
  </si>
  <si>
    <t xml:space="preserve">PLT-06.2.07</t>
  </si>
  <si>
    <t xml:space="preserve">Observability documentation published: standards, dashboards guide, on-call runbook, and P4 training notes</t>
  </si>
  <si>
    <t xml:space="preserve">A new team instruments a service from the docs alone in a documented trial</t>
  </si>
  <si>
    <t xml:space="preserve">PLT-06.2.08</t>
  </si>
  <si>
    <t xml:space="preserve">Exit-gate evidence bundle assembled and reviewed for the observability stack task</t>
  </si>
  <si>
    <t xml:space="preserve">Secrets management</t>
  </si>
  <si>
    <t xml:space="preserve">Secrets service and key lifecycle</t>
  </si>
  <si>
    <t xml:space="preserve">Secrets service selected and deployed with documented seal and unseal procedure for enclave operation</t>
  </si>
  <si>
    <t xml:space="preserve">Deployment manifest and unseal procedure doc</t>
  </si>
  <si>
    <t xml:space="preserve">Service deployed in staging and enclave rig; unseal executed by operator from procedure alone</t>
  </si>
  <si>
    <t xml:space="preserve">REV Section 2 PLT scope; G report</t>
  </si>
  <si>
    <t xml:space="preserve">PLT-07.1.02</t>
  </si>
  <si>
    <t xml:space="preserve">Per-service secrets access policy enforced: no secrets in repositories or environment files, with a blocking CI secrets scan</t>
  </si>
  <si>
    <t xml:space="preserve">Policy doc and CI scan config</t>
  </si>
  <si>
    <t xml:space="preserve">Seeded secret in a test commit blocks the pipeline; repo scan clean</t>
  </si>
  <si>
    <t xml:space="preserve">J.5 gate 3; TST-STD security</t>
  </si>
  <si>
    <t xml:space="preserve">PLT-07.1.03</t>
  </si>
  <si>
    <t xml:space="preserve">Signing-key management implemented for release bundles, LTI keys, and token signing: generation, storage, and rotation schedule documented and applied</t>
  </si>
  <si>
    <t xml:space="preserve">Key inventory with rotation schedule</t>
  </si>
  <si>
    <t xml:space="preserve">Every signing key has owner, storage location, and next rotation date; no unmanaged keys found</t>
  </si>
  <si>
    <t xml:space="preserve">MOD-015 bundle signing; G report</t>
  </si>
  <si>
    <t xml:space="preserve">PLT-07.1.04</t>
  </si>
  <si>
    <t xml:space="preserve">Key rotation rehearsed including the LTI signing-key mid-session chaos case with sessions surviving per policy</t>
  </si>
  <si>
    <t xml:space="preserve">Rotation rehearsal record</t>
  </si>
  <si>
    <t xml:space="preserve">Rotation completes with zero failed launches beyond the policy-stated window</t>
  </si>
  <si>
    <t xml:space="preserve">REV J.4 chaos 4</t>
  </si>
  <si>
    <t xml:space="preserve">PLT-07.1.05</t>
  </si>
  <si>
    <t xml:space="preserve">Enclave offline CA and key ceremony documented and executed on the enclave rig</t>
  </si>
  <si>
    <t xml:space="preserve">Ceremony record</t>
  </si>
  <si>
    <t xml:space="preserve">Enclave issues and validates certificates with zero egress; ceremony repeatable from the doc</t>
  </si>
  <si>
    <t xml:space="preserve">REV J.2 env 4</t>
  </si>
  <si>
    <t xml:space="preserve">PLT-07.1.06</t>
  </si>
  <si>
    <t xml:space="preserve">Exit-gate evidence bundle assembled and reviewed for the secrets management task</t>
  </si>
  <si>
    <t xml:space="preserve">PLT-08.1.01</t>
  </si>
  <si>
    <t xml:space="preserve">Feature flags and kill switches</t>
  </si>
  <si>
    <t xml:space="preserve">Flag platform and AI kill switches</t>
  </si>
  <si>
    <t xml:space="preserve">Feature-flag service and client library deployed with flags evaluable from local state so enclaves operate without external calls</t>
  </si>
  <si>
    <t xml:space="preserve">Flag service deployment and offline evaluation test</t>
  </si>
  <si>
    <t xml:space="preserve">Flag evaluation succeeds on the enclave rig with zero egress; default states served on service loss</t>
  </si>
  <si>
    <t xml:space="preserve">REV Section 2 PLT scope; MOD-015</t>
  </si>
  <si>
    <t xml:space="preserve">PLT-08.1.02</t>
  </si>
  <si>
    <t xml:space="preserve">Flag conventions published: naming, default-safe states, ownership, and expiry review cadence for stale flags</t>
  </si>
  <si>
    <t xml:space="preserve">Flag convention doc</t>
  </si>
  <si>
    <t xml:space="preserve">Conventions adopted; stale-flag report runs and lists flags past expiry</t>
  </si>
  <si>
    <t xml:space="preserve">PLT scope</t>
  </si>
  <si>
    <t xml:space="preserve">Kill switches implemented for every AI surface: learner chat, semantic grading, question generation, and adaptive sequencing, each verified by a flip test</t>
  </si>
  <si>
    <t xml:space="preserve">Kill-switch matrix with flip test logs</t>
  </si>
  <si>
    <t xml:space="preserve">Each surface disables within 60 s of flip with its defined safe fallback engaged</t>
  </si>
  <si>
    <t xml:space="preserve">J.5 gate 11; REV S AI governance</t>
  </si>
  <si>
    <t xml:space="preserve">PLT-08.1.04</t>
  </si>
  <si>
    <t xml:space="preserve">Flag and kill-switch changes recorded through the audit service with actor identity</t>
  </si>
  <si>
    <t xml:space="preserve">PLT-08.1.01, PLT-02.1.03</t>
  </si>
  <si>
    <t xml:space="preserve">Audit extract for flag changes</t>
  </si>
  <si>
    <t xml:space="preserve">Every test flip appears in the audit chain with actor and timestamp</t>
  </si>
  <si>
    <t xml:space="preserve">PLT-08.1.05</t>
  </si>
  <si>
    <t xml:space="preserve">Enclave kill-switch drill executed: all four AI surfaces disabled on the enclave rig without redeploy and re-enabled cleanly</t>
  </si>
  <si>
    <t xml:space="preserve">Enclave drill record</t>
  </si>
  <si>
    <t xml:space="preserve">Drill completes with all surfaces off then restored; learner-facing messaging correct throughout</t>
  </si>
  <si>
    <t xml:space="preserve">J.5; Scenario 11 degraded ops</t>
  </si>
  <si>
    <t xml:space="preserve">PLT-08.1.06</t>
  </si>
  <si>
    <t xml:space="preserve">Exit-gate evidence bundle assembled and reviewed for the feature flags task</t>
  </si>
  <si>
    <t xml:space="preserve">PLT-09.1.01</t>
  </si>
  <si>
    <t xml:space="preserve">Offline store-and-forward SDK</t>
  </si>
  <si>
    <t xml:space="preserve">SDK contract and build</t>
  </si>
  <si>
    <t xml:space="preserve">Store-and-forward SDK contract published: durable local queue, envelope idempotency keys, ordering rules, dual timestamps with clock-drift handling, and backoff policy</t>
  </si>
  <si>
    <t xml:space="preserve">FND-07.1.01, FND-07.1.02, PLT-05.1.02</t>
  </si>
  <si>
    <t xml:space="preserve">Contract covers all five behaviors with testable rules; published with conformance suite</t>
  </si>
  <si>
    <t xml:space="preserve">REV S.2 point 4; MOD-002</t>
  </si>
  <si>
    <t xml:space="preserve">PLT-09.1.02</t>
  </si>
  <si>
    <t xml:space="preserve">SDK implemented for the target client platforms consumed by M16, M32, M35, M37, and M38</t>
  </si>
  <si>
    <t xml:space="preserve">SDK releases passing conformance suite</t>
  </si>
  <si>
    <t xml:space="preserve">Conformance suite green on each target platform build</t>
  </si>
  <si>
    <t xml:space="preserve">REV S.2 point 4; PLT scope</t>
  </si>
  <si>
    <t xml:space="preserve">PLT-09.1.03</t>
  </si>
  <si>
    <t xml:space="preserve">Offline credential rules implemented: bounded token caching per policy and server-side rejection of stale-token replay after user removal</t>
  </si>
  <si>
    <t xml:space="preserve">PLT-09.1.01, FND-01.1.03</t>
  </si>
  <si>
    <t xml:space="preserve">Credential test log</t>
  </si>
  <si>
    <t xml:space="preserve">Removed user's cached token rejected at sync; bounds enforced on device</t>
  </si>
  <si>
    <t xml:space="preserve">REV J.4 security 6; G report</t>
  </si>
  <si>
    <t xml:space="preserve">PLT-09.1.04</t>
  </si>
  <si>
    <t xml:space="preserve">Sixty-day-offline soak test executed: queue durability, storage bounds, and successful reconciliation after extended disconnection</t>
  </si>
  <si>
    <t xml:space="preserve">Soak test report</t>
  </si>
  <si>
    <t xml:space="preserve">Zero event loss after simulated 60-day queue; storage stayed within bounds; reconcile clean</t>
  </si>
  <si>
    <t xml:space="preserve">TST M16/M32 delta; LOOP 25</t>
  </si>
  <si>
    <t xml:space="preserve">PLT-09.1.05</t>
  </si>
  <si>
    <t xml:space="preserve">Scenario 6 reconnect-burst test executed: 500 devices replay stored queues with full dedup, correct ordering resolution, and no starvation of live traffic</t>
  </si>
  <si>
    <t xml:space="preserve">PLT-09.1.02, PLT-04.1.04</t>
  </si>
  <si>
    <t xml:space="preserve">Burst test report</t>
  </si>
  <si>
    <t xml:space="preserve">All three pass conditions met; duplicate and out-of-order injections resolved correctly</t>
  </si>
  <si>
    <t xml:space="preserve">Scenario 6; REV J.4 load 2</t>
  </si>
  <si>
    <t xml:space="preserve">PLT-09.1.06</t>
  </si>
  <si>
    <t xml:space="preserve">Sync-status API implemented exposing pending backlog per learner and device, feeding the M11 data-completeness qualifier</t>
  </si>
  <si>
    <t xml:space="preserve">API output during simulated backlog</t>
  </si>
  <si>
    <t xml:space="preserve">Backlog counts accurate against seeded queues; consumed in an M11 qualifier test</t>
  </si>
  <si>
    <t xml:space="preserve">Scenario 5; REV I.3-2</t>
  </si>
  <si>
    <t xml:space="preserve">PLT-09.1.07</t>
  </si>
  <si>
    <t xml:space="preserve">SDK versioning and field-device update policy documented: supported version window and forced-upgrade rules for long-offline devices</t>
  </si>
  <si>
    <t xml:space="preserve">Version policy doc</t>
  </si>
  <si>
    <t xml:space="preserve">Policy states the version window and the behavior of an out-of-window device at sync</t>
  </si>
  <si>
    <t xml:space="preserve">LOOP 25; R-019</t>
  </si>
  <si>
    <t xml:space="preserve">PLT-09.1.08</t>
  </si>
  <si>
    <t xml:space="preserve">SDK documentation and integration guide published with a worked example for one consuming module, plus P4 training notes</t>
  </si>
  <si>
    <t xml:space="preserve">A consuming team integrates the SDK from the guide alone in a documented trial</t>
  </si>
  <si>
    <t xml:space="preserve">PLT-09.1.09</t>
  </si>
  <si>
    <t xml:space="preserve">Exit-gate evidence bundle assembled and reviewed for the store-and-forward SDK task</t>
  </si>
  <si>
    <t xml:space="preserve">PRG-01.1.01</t>
  </si>
  <si>
    <t xml:space="preserve">PRG</t>
  </si>
  <si>
    <t xml:space="preserve">P1 ATO evidence workstream</t>
  </si>
  <si>
    <t xml:space="preserve">Authority-agnostic hardening and evidence</t>
  </si>
  <si>
    <t xml:space="preserve">SBOM generated per release for every deployable by CI in a standard format and stored in the program evidence store</t>
  </si>
  <si>
    <t xml:space="preserve">PRG-01.1.05</t>
  </si>
  <si>
    <t xml:space="preserve">CI job plus stored SBOM set</t>
  </si>
  <si>
    <t xml:space="preserve">100% of release-bundle deployables carry a current SBOM; CI fails on a missing SBOM</t>
  </si>
  <si>
    <t xml:space="preserve">Review G.7; P1 evidence pipeline</t>
  </si>
  <si>
    <t xml:space="preserve">PRG-01.1.02</t>
  </si>
  <si>
    <t xml:space="preserve">Hardening baseline authored for containers, host OS, PostgreSQL, and Keycloak and enforced by automated scan in CI</t>
  </si>
  <si>
    <t xml:space="preserve">Baseline doc plus scan reports</t>
  </si>
  <si>
    <t xml:space="preserve">Scan passes on all Slice A services; deviations waived in writing</t>
  </si>
  <si>
    <t xml:space="preserve">Review G.7; LOOP 28.2 class</t>
  </si>
  <si>
    <t xml:space="preserve">PRG-01.1.03</t>
  </si>
  <si>
    <t xml:space="preserve">Audit-log completeness matrix authored: every grade, official-record, and privilege action mapped to a required audit event with gaps dispositioned</t>
  </si>
  <si>
    <t xml:space="preserve">Completeness matrix v1</t>
  </si>
  <si>
    <t xml:space="preserve">100% of listed action classes mapped; every gap has an owner and date</t>
  </si>
  <si>
    <t xml:space="preserve">MOD-013; Review G.7</t>
  </si>
  <si>
    <t xml:space="preserve">PRG-01.1.04</t>
  </si>
  <si>
    <t xml:space="preserve">Audit-log completeness verified by automated test: sampled actions from each class produce the mapped audit events in CI</t>
  </si>
  <si>
    <t xml:space="preserve">CI audit-completeness test run</t>
  </si>
  <si>
    <t xml:space="preserve">Test green across all action classes on every release</t>
  </si>
  <si>
    <t xml:space="preserve">Evidence-from-CI pipeline implemented: scan results, SBOMs, test runs, and config snapshots auto-published to the evidence store with retention rules</t>
  </si>
  <si>
    <t xml:space="preserve">Pipeline config plus populated store</t>
  </si>
  <si>
    <t xml:space="preserve">Each CI release run deposits its artifact set without manual steps</t>
  </si>
  <si>
    <t xml:space="preserve">LOOP 28.3; MOD-011</t>
  </si>
  <si>
    <t xml:space="preserve">PRG-01.1.06</t>
  </si>
  <si>
    <t xml:space="preserve">Dependency and secrets scanning gates enforced per release with a maintained waiver register</t>
  </si>
  <si>
    <t xml:space="preserve">Gate config plus waiver register</t>
  </si>
  <si>
    <t xml:space="preserve">Release blocked on unwaived critical finding; register reviewed each release</t>
  </si>
  <si>
    <t xml:space="preserve">Review G.7</t>
  </si>
  <si>
    <t xml:space="preserve">PRG-01.1.07</t>
  </si>
  <si>
    <t xml:space="preserve">Vulnerability patch-latency SLA defined and tracked including the enclave emergency-media path for critical CVEs</t>
  </si>
  <si>
    <t xml:space="preserve">SLA doc plus tracking report</t>
  </si>
  <si>
    <t xml:space="preserve">Latency measured per release; enclave emergency path referenced with its own SLA</t>
  </si>
  <si>
    <t xml:space="preserve">Scenario 13 (b); Review G.7</t>
  </si>
  <si>
    <t xml:space="preserve">PRG-01.1.08</t>
  </si>
  <si>
    <t xml:space="preserve">Evidence-store index queryable: control-topic to artifact lookup demonstrated for a sample of hardening controls</t>
  </si>
  <si>
    <t xml:space="preserve">Query demonstration record</t>
  </si>
  <si>
    <t xml:space="preserve">Sampled lookups return current artifacts for 100% of tried topics</t>
  </si>
  <si>
    <t xml:space="preserve">LOOP 28.3</t>
  </si>
  <si>
    <t xml:space="preserve">PRG-01.2.01</t>
  </si>
  <si>
    <t xml:space="preserve">Authority-specific engagement</t>
  </si>
  <si>
    <t xml:space="preserve">[DEFERRED-ATO] Authorizing authority named in writing with a signed engagement letter</t>
  </si>
  <si>
    <t xml:space="preserve">Engagement letter</t>
  </si>
  <si>
    <t xml:space="preserve">Letter signed by the named authority</t>
  </si>
  <si>
    <t xml:space="preserve">HS ATO; R-3; provisional decision: authority ignored</t>
  </si>
  <si>
    <t xml:space="preserve">PRG-01.2.02</t>
  </si>
  <si>
    <t xml:space="preserve">[DEFERRED-ATO] Control baseline selected under the national framework with a control-to-module mapping at the agreed coverage percentage</t>
  </si>
  <si>
    <t xml:space="preserve">Baseline selection memo plus mapping matrix</t>
  </si>
  <si>
    <t xml:space="preserve">Mapping coverage meets the agreed threshold; assessor has reviewed</t>
  </si>
  <si>
    <t xml:space="preserve">R-3; LOOP 28.1-28.2</t>
  </si>
  <si>
    <t xml:space="preserve">PRG-01.2.03</t>
  </si>
  <si>
    <t xml:space="preserve">[DEFERRED-ATO] System accreditation boundary documented including the per-enclave accreditation-unit decision</t>
  </si>
  <si>
    <t xml:space="preserve">Boundary document</t>
  </si>
  <si>
    <t xml:space="preserve">Boundary states whether each enclave is one accredited system; assessor acknowledgment on file</t>
  </si>
  <si>
    <t xml:space="preserve">LOOP 28.1</t>
  </si>
  <si>
    <t xml:space="preserve">PRG-01.2.04</t>
  </si>
  <si>
    <t xml:space="preserve">[DEFERRED-ATO] Assessor engagement milestones scheduled with an incremental-authorization strategy agreed</t>
  </si>
  <si>
    <t xml:space="preserve">Milestone schedule plus strategy memo</t>
  </si>
  <si>
    <t xml:space="preserve">Dated milestones exist through P5; strategy signed by assessor</t>
  </si>
  <si>
    <t xml:space="preserve">LOOP 28.5; MOD-011</t>
  </si>
  <si>
    <t xml:space="preserve">PRG-01.2.05</t>
  </si>
  <si>
    <t xml:space="preserve">[DEFERRED-ATO] AI accreditation position paper prepared covering model provenance, explainability, and AI decision logs</t>
  </si>
  <si>
    <t xml:space="preserve">Position paper</t>
  </si>
  <si>
    <t xml:space="preserve">Paper covers all three topics and is submitted to the assessor</t>
  </si>
  <si>
    <t xml:space="preserve">LOOP 28.4</t>
  </si>
  <si>
    <t xml:space="preserve">PRG-01.2.06</t>
  </si>
  <si>
    <t xml:space="preserve">Exit-gate evidence bundle assembled and reviewed for the P1 evidence-workstream task</t>
  </si>
  <si>
    <t xml:space="preserve">PRG-01.1.08, PRG-01.1.07</t>
  </si>
  <si>
    <t xml:space="preserve">All non-deferred items evidenced; deferred items listed with trigger conditions</t>
  </si>
  <si>
    <t xml:space="preserve">PRG-02.1.01</t>
  </si>
  <si>
    <t xml:space="preserve">P3 readiness measurement plan</t>
  </si>
  <si>
    <t xml:space="preserve">Definitions and instruments</t>
  </si>
  <si>
    <t xml:space="preserve">Upgrade-readiness metric numerically defined with the ground-truth qualification source identified and an access agreement signed</t>
  </si>
  <si>
    <t xml:space="preserve">Metric definition doc plus access agreement</t>
  </si>
  <si>
    <t xml:space="preserve">Metric formula stated; ground-truth source named with signed access</t>
  </si>
  <si>
    <t xml:space="preserve">Review D-P3 gap 1; LOOP 1</t>
  </si>
  <si>
    <t xml:space="preserve">PRG-02.1.02</t>
  </si>
  <si>
    <t xml:space="preserve">Evidence-level mapping completed: each readiness metric mapped to the evidence level it actually measures</t>
  </si>
  <si>
    <t xml:space="preserve">Evidence-level mapping table</t>
  </si>
  <si>
    <t xml:space="preserve">Every metric carries an evidence-level tag reviewed by the Instructional Designer</t>
  </si>
  <si>
    <t xml:space="preserve">Review D-P3 gap 6; LOOP 13</t>
  </si>
  <si>
    <t xml:space="preserve">PRG-02.1.03</t>
  </si>
  <si>
    <t xml:space="preserve">Baseline-BEFORE-rollout instruments designed: data sources, collection procedure, and quality checks dated before the first pilot cohort</t>
  </si>
  <si>
    <t xml:space="preserve">Baseline instrument design doc</t>
  </si>
  <si>
    <t xml:space="preserve">Design dated prior to any pilot exposure; QA checks defined per source</t>
  </si>
  <si>
    <t xml:space="preserve">Review D-P3 gap 2; Stage 0 plan</t>
  </si>
  <si>
    <t xml:space="preserve">PRG-02.1.04</t>
  </si>
  <si>
    <t xml:space="preserve">Cohort and comparison design documented: comparison groups, confounders, and contamination controls</t>
  </si>
  <si>
    <t xml:space="preserve">Cohort design doc</t>
  </si>
  <si>
    <t xml:space="preserve">Confounder list includes instructor, cohort composition, and site effects with controls stated</t>
  </si>
  <si>
    <t xml:space="preserve">Review D-P3 gap 3</t>
  </si>
  <si>
    <t xml:space="preserve">PRG-02.1.05</t>
  </si>
  <si>
    <t xml:space="preserve">Minimum detectable effect and statistical power computed and stated in the plan</t>
  </si>
  <si>
    <t xml:space="preserve">Power analysis memo</t>
  </si>
  <si>
    <t xml:space="preserve">MDE and power values stated with assumptions; reviewed by a second analyst</t>
  </si>
  <si>
    <t xml:space="preserve">Review D-P3 gap 4</t>
  </si>
  <si>
    <t xml:space="preserve">PRG-02.1.06</t>
  </si>
  <si>
    <t xml:space="preserve">Site-comparability prerequisites on M33 and M34 stated in the plan: baseline IDs, drift tolerance, and comparability gate</t>
  </si>
  <si>
    <t xml:space="preserve">FLD-05.2.01, PRG-02.1.04</t>
  </si>
  <si>
    <t xml:space="preserve">Plan section citing lab controls</t>
  </si>
  <si>
    <t xml:space="preserve">Plan lists the lab consistency conditions under which cross-site comparison is valid</t>
  </si>
  <si>
    <t xml:space="preserve">Scenario 14; Review D-P3 gap 7</t>
  </si>
  <si>
    <t xml:space="preserve">PRG-02.2.01</t>
  </si>
  <si>
    <t xml:space="preserve">Acceptance and execution</t>
  </si>
  <si>
    <t xml:space="preserve">Measurement and statistics ownership staffed: a named analyst role responsible for P3 execution</t>
  </si>
  <si>
    <t xml:space="preserve">Staffing record</t>
  </si>
  <si>
    <t xml:space="preserve">Named person in role before baseline capture starts</t>
  </si>
  <si>
    <t xml:space="preserve">Review D-P3 entry criteria</t>
  </si>
  <si>
    <t xml:space="preserve">PRG-02.2.02</t>
  </si>
  <si>
    <t xml:space="preserve">Acceptor sign-off placeholder established: named-acceptor field and approval workflow defined in the plan pending acceptor nomination</t>
  </si>
  <si>
    <t xml:space="preserve">Plan approval workflow section</t>
  </si>
  <si>
    <t xml:space="preserve">Workflow defines who signs and how disputes resolve; placeholder flagged in open-question register</t>
  </si>
  <si>
    <t xml:space="preserve">Review D-P3 gap 5</t>
  </si>
  <si>
    <t xml:space="preserve">P3 plan v1 assembled and issued for acceptance with metric definitions, baseline source, cohort design, confounders, and minimum detectable effect complete</t>
  </si>
  <si>
    <t xml:space="preserve">PRG-02.1.03, PRG-02.1.05, PRG-02.1.02, PRG-02.2.02</t>
  </si>
  <si>
    <t xml:space="preserve">Issued plan v1</t>
  </si>
  <si>
    <t xml:space="preserve">All five mandatory sections complete; issued before the first pilot cohort trains</t>
  </si>
  <si>
    <t xml:space="preserve">R-25 acceptance</t>
  </si>
  <si>
    <t xml:space="preserve">PRG-02.2.04</t>
  </si>
  <si>
    <t xml:space="preserve">Baseline dataset captured and quality-checked prior to platform exposure for the pilot population</t>
  </si>
  <si>
    <t xml:space="preserve">Baseline dataset QA report</t>
  </si>
  <si>
    <t xml:space="preserve">Capture dated before pilot exposure; QA checks pass; dataset in evidence store</t>
  </si>
  <si>
    <t xml:space="preserve">R-25; Review D-P3 P0 baseline window</t>
  </si>
  <si>
    <t xml:space="preserve">PRG-02.2.05</t>
  </si>
  <si>
    <t xml:space="preserve">P3 data flows implemented: M35, M38, M30, and M17 measures land in the P3 analysis mart with provenance</t>
  </si>
  <si>
    <t xml:space="preserve">FLD-09.1.07, FLD-15.2.03, ANA-02.2.08</t>
  </si>
  <si>
    <t xml:space="preserve">Flow audit query</t>
  </si>
  <si>
    <t xml:space="preserve">Pilot measures queryable in the mart with source provenance for all four feeds</t>
  </si>
  <si>
    <t xml:space="preserve">Review D-P3; critical inclusion</t>
  </si>
  <si>
    <t xml:space="preserve">PRG-02.2.06</t>
  </si>
  <si>
    <t xml:space="preserve">Exit-gate evidence bundle assembled and reviewed for the P3 plan task</t>
  </si>
  <si>
    <t xml:space="preserve">PRG-02.2.04, PRG-02.2.05</t>
  </si>
  <si>
    <t xml:space="preserve">PRG-03.1.01</t>
  </si>
  <si>
    <t xml:space="preserve">P4 train-the-trainer service</t>
  </si>
  <si>
    <t xml:space="preserve">Service design</t>
  </si>
  <si>
    <t xml:space="preserve">SME demand model drafted: hours of SME time per manual digitized, lesson authored, and item reviewed</t>
  </si>
  <si>
    <t xml:space="preserve">Demand model spreadsheet</t>
  </si>
  <si>
    <t xml:space="preserve">Rates stated per activity with source rationale; reviewed by SME Lead</t>
  </si>
  <si>
    <t xml:space="preserve">Review D-P4 gap; Loop 5 assumption</t>
  </si>
  <si>
    <t xml:space="preserve">PRG-03.1.02</t>
  </si>
  <si>
    <t xml:space="preserve">Embedded-SME staffing plan approved against the demand model including enclave access and clearance constraints</t>
  </si>
  <si>
    <t xml:space="preserve">Approved staffing plan</t>
  </si>
  <si>
    <t xml:space="preserve">Headcount covers modeled demand; enclave access constraints documented per site</t>
  </si>
  <si>
    <t xml:space="preserve">Review D-P4 gap; LOOP 25.7</t>
  </si>
  <si>
    <t xml:space="preserve">PRG-03.1.03</t>
  </si>
  <si>
    <t xml:space="preserve">Trainer curriculum authored covering platform use, authoring, review duty, and lab operations</t>
  </si>
  <si>
    <t xml:space="preserve">Curriculum pack</t>
  </si>
  <si>
    <t xml:space="preserve">Curriculum covers all four domains with exercises and assessments per module</t>
  </si>
  <si>
    <t xml:space="preserve">Review D-P4 gap: curriculum</t>
  </si>
  <si>
    <t xml:space="preserve">PRG-03.1.04</t>
  </si>
  <si>
    <t xml:space="preserve">Trainer certification defined: assessment, pass criteria, and recertification cadence</t>
  </si>
  <si>
    <t xml:space="preserve">Certification standard doc</t>
  </si>
  <si>
    <t xml:space="preserve">Binary pass criteria stated; recertification interval set</t>
  </si>
  <si>
    <t xml:space="preserve">Review D-P4; critical inclusion</t>
  </si>
  <si>
    <t xml:space="preserve">PRG-03.1.05</t>
  </si>
  <si>
    <t xml:space="preserve">Champion model defined with measurable success metrics for adoption and throughput</t>
  </si>
  <si>
    <t xml:space="preserve">Champion model doc</t>
  </si>
  <si>
    <t xml:space="preserve">Metrics numeric with collection method stated</t>
  </si>
  <si>
    <t xml:space="preserve">Review D-P4 P3 risk</t>
  </si>
  <si>
    <t xml:space="preserve">PRG-03.2.01</t>
  </si>
  <si>
    <t xml:space="preserve">Delivery and measurement</t>
  </si>
  <si>
    <t xml:space="preserve">Pilot trainer cohort certified: target number of trainers pass the certification assessment</t>
  </si>
  <si>
    <t xml:space="preserve">Certification records</t>
  </si>
  <si>
    <t xml:space="preserve">Target count certified with named records</t>
  </si>
  <si>
    <t xml:space="preserve">R-27</t>
  </si>
  <si>
    <t xml:space="preserve">PRG-03.2.02</t>
  </si>
  <si>
    <t xml:space="preserve">Per-site delivery executed at Site A before lab operations start with delivery records kept</t>
  </si>
  <si>
    <t xml:space="preserve">PRG-03.2.01, FLD-04.1.08</t>
  </si>
  <si>
    <t xml:space="preserve">Site A delivery record</t>
  </si>
  <si>
    <t xml:space="preserve">All Site A operators and instructors trained before first learner session</t>
  </si>
  <si>
    <t xml:space="preserve">Review D-P4; M33 dependency</t>
  </si>
  <si>
    <t xml:space="preserve">PRG-03.2.03</t>
  </si>
  <si>
    <t xml:space="preserve">Per-site delivery executed at Site B before lab operations start with delivery records kept</t>
  </si>
  <si>
    <t xml:space="preserve">PRG-03.2.01, FLD-07.1.04</t>
  </si>
  <si>
    <t xml:space="preserve">Site B delivery record</t>
  </si>
  <si>
    <t xml:space="preserve">All Site B operators and instructors trained before first learner session</t>
  </si>
  <si>
    <t xml:space="preserve">Review D-P4; M34 dependency</t>
  </si>
  <si>
    <t xml:space="preserve">PRG-03.2.04</t>
  </si>
  <si>
    <t xml:space="preserve">Trainer throughput measured: instructors independently authoring and reviewing at target rate against the demand model within the agreed window</t>
  </si>
  <si>
    <t xml:space="preserve">Throughput report</t>
  </si>
  <si>
    <t xml:space="preserve">Measured rate meets target within the agreed weeks-from-start window</t>
  </si>
  <si>
    <t xml:space="preserve">R-27 acceptance</t>
  </si>
  <si>
    <t xml:space="preserve">PRG-03.2.05</t>
  </si>
  <si>
    <t xml:space="preserve">Instructor adoption and satisfaction measured in pilot above the agreed threshold</t>
  </si>
  <si>
    <t xml:space="preserve">Adoption survey report</t>
  </si>
  <si>
    <t xml:space="preserve">Survey score above threshold; response rate above minimum</t>
  </si>
  <si>
    <t xml:space="preserve">PRG-03.2.06</t>
  </si>
  <si>
    <t xml:space="preserve">Exit-gate evidence bundle assembled and reviewed for the P4 service task</t>
  </si>
  <si>
    <t xml:space="preserve">PRG-03.2.04, PRG-03.2.05</t>
  </si>
  <si>
    <t xml:space="preserve">PRG-04.1.01</t>
  </si>
  <si>
    <t xml:space="preserve">P5 integration and acceptance</t>
  </si>
  <si>
    <t xml:space="preserve">Acceptance framework</t>
  </si>
  <si>
    <t xml:space="preserve">Section R acceptance criteria contractually adopted or amended-and-adopted for all 30 deliverables before expanded-scope build</t>
  </si>
  <si>
    <t xml:space="preserve">Signed adoption record</t>
  </si>
  <si>
    <t xml:space="preserve">Every deliverable carries an adopted measurable criterion; zero names-only entries remain</t>
  </si>
  <si>
    <t xml:space="preserve">Review R.1 P0 escalation; R-29</t>
  </si>
  <si>
    <t xml:space="preserve">PRG-04.1.02</t>
  </si>
  <si>
    <t xml:space="preserve">Acceptance-test suite scope defined: selected journeys and Scenarios 1-16 mapped to deployment models with pass thresholds</t>
  </si>
  <si>
    <t xml:space="preserve">Acceptance suite scope doc</t>
  </si>
  <si>
    <t xml:space="preserve">Every P0/P1 journey and scenario mapped to at least one deployment model with a binary threshold</t>
  </si>
  <si>
    <t xml:space="preserve">Review D-P5 gap; LOOP 18</t>
  </si>
  <si>
    <t xml:space="preserve">PRG-04.1.03</t>
  </si>
  <si>
    <t xml:space="preserve">Enclave-representative acceptance environment funded, built, and verified zero-egress</t>
  </si>
  <si>
    <t xml:space="preserve">Environment build record plus egress test</t>
  </si>
  <si>
    <t xml:space="preserve">Environment installs from release media only; packet capture shows zero external calls</t>
  </si>
  <si>
    <t xml:space="preserve">Review D-P5 P1; MOD-015</t>
  </si>
  <si>
    <t xml:space="preserve">PRG-04.1.04</t>
  </si>
  <si>
    <t xml:space="preserve">Accept/reject authority named with dispute process and partial-acceptance policy agreed</t>
  </si>
  <si>
    <t xml:space="preserve">Authority charter</t>
  </si>
  <si>
    <t xml:space="preserve">Named authority; dispute and partial-acceptance rules signed</t>
  </si>
  <si>
    <t xml:space="preserve">Review D-P5 gap</t>
  </si>
  <si>
    <t xml:space="preserve">PRG-04.2.01</t>
  </si>
  <si>
    <t xml:space="preserve">Execution</t>
  </si>
  <si>
    <t xml:space="preserve">Integration test campaign executed in the connected environment across cross-module journeys with defects triaged to zero open P0/P1</t>
  </si>
  <si>
    <t xml:space="preserve">Campaign report plus defect log</t>
  </si>
  <si>
    <t xml:space="preserve">All in-scope journeys executed; zero open P0/P1 defects</t>
  </si>
  <si>
    <t xml:space="preserve">R-29; LOOP 18</t>
  </si>
  <si>
    <t xml:space="preserve">PRG-04.2.02</t>
  </si>
  <si>
    <t xml:space="preserve">Integration test campaign executed in the enclave-representative environment with defects triaged to zero open P0/P1</t>
  </si>
  <si>
    <t xml:space="preserve">PRG-04.1.03, PRG-04.2.01</t>
  </si>
  <si>
    <t xml:space="preserve">All in-scope journeys executed in enclave mode; zero open P0/P1 defects</t>
  </si>
  <si>
    <t xml:space="preserve">R-29; Review D-P5 P1</t>
  </si>
  <si>
    <t xml:space="preserve">PRG-04.2.03</t>
  </si>
  <si>
    <t xml:space="preserve">Per-deliverable acceptance-criteria execution completed: each of the 30 deliverables verified against its adopted criterion with evidence filed</t>
  </si>
  <si>
    <t xml:space="preserve">PRG-04.1.01, PRG-04.2.02</t>
  </si>
  <si>
    <t xml:space="preserve">Per-deliverable verification register</t>
  </si>
  <si>
    <t xml:space="preserve">30 of 30 deliverables carry an executed verification with linked evidence</t>
  </si>
  <si>
    <t xml:space="preserve">R-29; Review R matrix</t>
  </si>
  <si>
    <t xml:space="preserve">PRG-04.2.04</t>
  </si>
  <si>
    <t xml:space="preserve">Formal acceptance event held witnessed by the acceptance authority with a signed disposition per deliverable</t>
  </si>
  <si>
    <t xml:space="preserve">PRG-04.2.03, PRG-04.1.04</t>
  </si>
  <si>
    <t xml:space="preserve">Signed disposition register</t>
  </si>
  <si>
    <t xml:space="preserve">Every deliverable dispositioned accepted, waived, or deferred with date and signature</t>
  </si>
  <si>
    <t xml:space="preserve">R-29 acceptance</t>
  </si>
  <si>
    <t xml:space="preserve">PRG-04.2.05</t>
  </si>
  <si>
    <t xml:space="preserve">Acceptance dispute log resolved: every dispute dispositioned through the agreed process</t>
  </si>
  <si>
    <t xml:space="preserve">Dispute log</t>
  </si>
  <si>
    <t xml:space="preserve">Zero open disputes at close of the acceptance event</t>
  </si>
  <si>
    <t xml:space="preserve">PRG-04.2.06</t>
  </si>
  <si>
    <t xml:space="preserve">Exit-gate evidence bundle assembled and reviewed for the P5 acceptance task</t>
  </si>
  <si>
    <t xml:space="preserve">PRG-05.1.01</t>
  </si>
  <si>
    <t xml:space="preserve">P6 final report</t>
  </si>
  <si>
    <t xml:space="preserve">Evidence collection from Stage 1</t>
  </si>
  <si>
    <t xml:space="preserve">Program evidence store live from Stage 1 with intake rules so evidence collection starts at the first slice not at program end</t>
  </si>
  <si>
    <t xml:space="preserve">Evidence store with Stage 1 artifacts</t>
  </si>
  <si>
    <t xml:space="preserve">Stage 1 exit-gate artifacts present in the store at Stage 1 exit</t>
  </si>
  <si>
    <t xml:space="preserve">Review D-P6; Loop 5 prompt rule</t>
  </si>
  <si>
    <t xml:space="preserve">PRG-05.1.02</t>
  </si>
  <si>
    <t xml:space="preserve">Evidence taxonomy and traceability rules defined: every quantitative claim class mapped to a required named artifact type</t>
  </si>
  <si>
    <t xml:space="preserve">Taxonomy doc</t>
  </si>
  <si>
    <t xml:space="preserve">Every claim class in the report template has a mapped artifact type</t>
  </si>
  <si>
    <t xml:space="preserve">R-30</t>
  </si>
  <si>
    <t xml:space="preserve">PRG-05.1.03</t>
  </si>
  <si>
    <t xml:space="preserve">Report template and report acceptance authority agreed including the residual-risk disclosure standard</t>
  </si>
  <si>
    <t xml:space="preserve">Agreed template plus authority record</t>
  </si>
  <si>
    <t xml:space="preserve">Template signed; authority named; disclosure standard stated</t>
  </si>
  <si>
    <t xml:space="preserve">Review D-P6 gap</t>
  </si>
  <si>
    <t xml:space="preserve">PRG-05.2.01</t>
  </si>
  <si>
    <t xml:space="preserve">Assembly and acceptance</t>
  </si>
  <si>
    <t xml:space="preserve">MOE results section assembled from the accepted P3 analysis with every figure traced to the P3 evidence set</t>
  </si>
  <si>
    <t xml:space="preserve">PRG-02.2.05, PRG-05.1.03</t>
  </si>
  <si>
    <t xml:space="preserve">Drafted section with trace links</t>
  </si>
  <si>
    <t xml:space="preserve">100% of figures trace to named P3 artifacts</t>
  </si>
  <si>
    <t xml:space="preserve">R-30; Review D-P6 gap</t>
  </si>
  <si>
    <t xml:space="preserve">PRG-05.2.02</t>
  </si>
  <si>
    <t xml:space="preserve">CMM level attained section assembled citing dated interoperability demonstration records only</t>
  </si>
  <si>
    <t xml:space="preserve">Drafted section with demo citations</t>
  </si>
  <si>
    <t xml:space="preserve">Every CMM claim carries a dated demonstration record reference</t>
  </si>
  <si>
    <t xml:space="preserve">LOOP 24.7; R-30</t>
  </si>
  <si>
    <t xml:space="preserve">PRG-05.2.03</t>
  </si>
  <si>
    <t xml:space="preserve">Residual-risk register dispositioned and disclosed in the report per the agreed standard</t>
  </si>
  <si>
    <t xml:space="preserve">Residual-risk section</t>
  </si>
  <si>
    <t xml:space="preserve">Every open register risk appears with a disposition</t>
  </si>
  <si>
    <t xml:space="preserve">PRG-05.2.04</t>
  </si>
  <si>
    <t xml:space="preserve">Traceability audit of the report executed: every quantitative claim traces to a named evidence artifact</t>
  </si>
  <si>
    <t xml:space="preserve">PRG-05.2.01, PRG-05.2.02</t>
  </si>
  <si>
    <t xml:space="preserve">Traceability audit report</t>
  </si>
  <si>
    <t xml:space="preserve">Zero untraced claims</t>
  </si>
  <si>
    <t xml:space="preserve">R-30 acceptance</t>
  </si>
  <si>
    <t xml:space="preserve">PRG-05.2.05</t>
  </si>
  <si>
    <t xml:space="preserve">Evidence corpus retention implemented for post-program audit per the retention standard</t>
  </si>
  <si>
    <t xml:space="preserve">Retention config plus restore test</t>
  </si>
  <si>
    <t xml:space="preserve">Corpus restorable after simulated archive cycle; retention period enforced</t>
  </si>
  <si>
    <t xml:space="preserve">Review D-P6 gap: retention</t>
  </si>
  <si>
    <t xml:space="preserve">PRG-05.2.06</t>
  </si>
  <si>
    <t xml:space="preserve">Final report accepted by the named authority with residual risks explicitly dispositioned</t>
  </si>
  <si>
    <t xml:space="preserve">PRG-05.2.04, PRG-05.2.03, PRG-04.2.04</t>
  </si>
  <si>
    <t xml:space="preserve">Signed acceptance record</t>
  </si>
  <si>
    <t xml:space="preserve">Authority signature on file with disposition annex</t>
  </si>
  <si>
    <t xml:space="preserve">PRG-05.2.07</t>
  </si>
  <si>
    <t xml:space="preserve">Exit-gate evidence bundle assembled and reviewed for the P6 report task</t>
  </si>
  <si>
    <t xml:space="preserve">PRG-06.1.01</t>
  </si>
  <si>
    <t xml:space="preserve">MOSA conformance program</t>
  </si>
  <si>
    <t xml:space="preserve">Contract and rights governance</t>
  </si>
  <si>
    <t xml:space="preserve">Contract publication audit executed per module boundary: every module boundary has a published versioned contract in the registry and the seven prose-only interfaces are closed</t>
  </si>
  <si>
    <t xml:space="preserve">Audit report against registry</t>
  </si>
  <si>
    <t xml:space="preserve">Zero module boundaries without a published contract; O.2.1 items O-F1 to O-F7 closed</t>
  </si>
  <si>
    <t xml:space="preserve">Review O.2.1; O-R1/O-R2</t>
  </si>
  <si>
    <t xml:space="preserve">PRG-06.1.02</t>
  </si>
  <si>
    <t xml:space="preserve">Third-party conformance-suite runnability check executed: an engineer outside the module team runs a module's conformance suite from published docs alone</t>
  </si>
  <si>
    <t xml:space="preserve">Runnability check report</t>
  </si>
  <si>
    <t xml:space="preserve">Suite runs green from docs alone with zero undocumented steps</t>
  </si>
  <si>
    <t xml:space="preserve">O-R3; Final Challenge Q21</t>
  </si>
  <si>
    <t xml:space="preserve">PRG-06.1.03</t>
  </si>
  <si>
    <t xml:space="preserve">Data-rights register authored per module and artifact class covering code, schemas, content, models, embeddings, test suites, and docs with recompetition blockers flagged</t>
  </si>
  <si>
    <t xml:space="preserve">Data-rights register v1</t>
  </si>
  <si>
    <t xml:space="preserve">Every module has an entry per artifact class; blockers carry owners</t>
  </si>
  <si>
    <t xml:space="preserve">O-R4</t>
  </si>
  <si>
    <t xml:space="preserve">PRG-06.1.04</t>
  </si>
  <si>
    <t xml:space="preserve">Exit-strategy documents required and delivered for proprietary components before purchase or build authorization: M35 engine, M38 AR app, XR titles, and the AI serving appliance</t>
  </si>
  <si>
    <t xml:space="preserve">Exit-strategy doc set</t>
  </si>
  <si>
    <t xml:space="preserve">All four RED-rated components carry an approved exit strategy before authorization</t>
  </si>
  <si>
    <t xml:space="preserve">O.2.4; O-R8</t>
  </si>
  <si>
    <t xml:space="preserve">PRG-06.2.01</t>
  </si>
  <si>
    <t xml:space="preserve">Standing reviews</t>
  </si>
  <si>
    <t xml:space="preserve">Vendor-lock-in register and OSS sustainability review established as standing quarterly deliverables with license-change watch</t>
  </si>
  <si>
    <t xml:space="preserve">Quarterly review records</t>
  </si>
  <si>
    <t xml:space="preserve">Two consecutive quarterly reviews delivered on schedule</t>
  </si>
  <si>
    <t xml:space="preserve">O-R7; O.2.5</t>
  </si>
  <si>
    <t xml:space="preserve">PRG-06.2.02</t>
  </si>
  <si>
    <t xml:space="preserve">LRS swap walkthrough executed against a second conformant LRS in a test rig with every break converted into a contract requirement</t>
  </si>
  <si>
    <t xml:space="preserve">Swap walkthrough report</t>
  </si>
  <si>
    <t xml:space="preserve">Break list produced; each break has a registry contract change or waiver</t>
  </si>
  <si>
    <t xml:space="preserve">O-R6; O.2.2</t>
  </si>
  <si>
    <t xml:space="preserve">PRG-06.2.03</t>
  </si>
  <si>
    <t xml:space="preserve">Local-model swap rehearsal executed in the Slice D window through the shared inference service contract</t>
  </si>
  <si>
    <t xml:space="preserve">Swap rehearsal report</t>
  </si>
  <si>
    <t xml:space="preserve">Replacement model passes the fixed evaluation set through the unchanged service contract</t>
  </si>
  <si>
    <t xml:space="preserve">O-R5; O.2.3</t>
  </si>
  <si>
    <t xml:space="preserve">PRG-06.2.04</t>
  </si>
  <si>
    <t xml:space="preserve">Module overlap-pair resolutions recorded in the registry for all eight extends/overlaps pairs</t>
  </si>
  <si>
    <t xml:space="preserve">Registry resolution records</t>
  </si>
  <si>
    <t xml:space="preserve">All eight pairs marked matured, split, or new with rationale</t>
  </si>
  <si>
    <t xml:space="preserve">O-R9</t>
  </si>
  <si>
    <t xml:space="preserve">PRG-06.2.05</t>
  </si>
  <si>
    <t xml:space="preserve">MOSA conformance matrix re-issued at every stage gate with per-module ratings</t>
  </si>
  <si>
    <t xml:space="preserve">Matrix issues per stage</t>
  </si>
  <si>
    <t xml:space="preserve">Matrix issued at each stage exit; regressions carry actions</t>
  </si>
  <si>
    <t xml:space="preserve">Review O.1</t>
  </si>
  <si>
    <t xml:space="preserve">PRG-06.2.06</t>
  </si>
  <si>
    <t xml:space="preserve">Exit-gate evidence bundle assembled and reviewed for the MOSA program task</t>
  </si>
  <si>
    <t xml:space="preserve">PRG-06.1.02, PRG-06.1.04, PRG-06.2.02</t>
  </si>
  <si>
    <t xml:space="preserve">PRG-07.1.01</t>
  </si>
  <si>
    <t xml:space="preserve">Localization program</t>
  </si>
  <si>
    <t xml:space="preserve">Decisions and i18n baseline</t>
  </si>
  <si>
    <t xml:space="preserve">Language matrix decision recorded and costed per tenant: committed languages by tier (UI, content, AI, assessment, support) with English-only phases explicitly recorded</t>
  </si>
  <si>
    <t xml:space="preserve">Signed language matrix per tenant</t>
  </si>
  <si>
    <t xml:space="preserve">Every tenant has a recorded matrix; no tier left silent</t>
  </si>
  <si>
    <t xml:space="preserve">V-D1 P0</t>
  </si>
  <si>
    <t xml:space="preserve">PRG-07.1.02</t>
  </si>
  <si>
    <t xml:space="preserve">i18n baseline mandated and implemented: externalized strings, ICU message format, Unicode-correct sort/search/truncate, and pseudo-localization build in CI before further UI code</t>
  </si>
  <si>
    <t xml:space="preserve">i18n standard doc plus CI job</t>
  </si>
  <si>
    <t xml:space="preserve">Pseudo-localization build green in CI; standard referenced by every UI module</t>
  </si>
  <si>
    <t xml:space="preserve">V-D2 P1</t>
  </si>
  <si>
    <t xml:space="preserve">PRG-07.1.03</t>
  </si>
  <si>
    <t xml:space="preserve">String-externalization audit executed across web clients: zero hardcoded user-facing strings</t>
  </si>
  <si>
    <t xml:space="preserve">Web audit report</t>
  </si>
  <si>
    <t xml:space="preserve">Pseudo-localization pass shows zero unexternalized strings on audited screens</t>
  </si>
  <si>
    <t xml:space="preserve">V-D2; critical inclusion i18n audit</t>
  </si>
  <si>
    <t xml:space="preserve">PRG-07.1.04</t>
  </si>
  <si>
    <t xml:space="preserve">String-externalization audit executed across mobile clients including M37: zero hardcoded user-facing strings</t>
  </si>
  <si>
    <t xml:space="preserve">PRG-07.1.02, FLD-12.2.01</t>
  </si>
  <si>
    <t xml:space="preserve">Mobile audit report</t>
  </si>
  <si>
    <t xml:space="preserve">V-D2</t>
  </si>
  <si>
    <t xml:space="preserve">PRG-07.1.05</t>
  </si>
  <si>
    <t xml:space="preserve">String-externalization audit executed across XR clients including M32, M35, and M38 UIs: zero hardcoded user-facing strings</t>
  </si>
  <si>
    <t xml:space="preserve">PRG-07.1.02, FLD-02.1.01</t>
  </si>
  <si>
    <t xml:space="preserve">XR audit report</t>
  </si>
  <si>
    <t xml:space="preserve">V-D2; Review V.1 field row</t>
  </si>
  <si>
    <t xml:space="preserve">PRG-07.2.01</t>
  </si>
  <si>
    <t xml:space="preserve">Script rendering and AI gates</t>
  </si>
  <si>
    <t xml:space="preserve">Indic font and script rendering tests executed for web and PDF pipelines covering complex-script shaping</t>
  </si>
  <si>
    <t xml:space="preserve">Rendering test report</t>
  </si>
  <si>
    <t xml:space="preserve">Zero shaping or corruption defects on the committed-script corpus through view and export paths</t>
  </si>
  <si>
    <t xml:space="preserve">V-D3; LOOP 31.2</t>
  </si>
  <si>
    <t xml:space="preserve">PRG-07.2.02</t>
  </si>
  <si>
    <t xml:space="preserve">Indic in-headset rendering tests executed on actual XR devices and game engines for the committed scripts</t>
  </si>
  <si>
    <t xml:space="preserve">PRG-07.2.01, FLD-05.1.02</t>
  </si>
  <si>
    <t xml:space="preserve">In-headset test report with captures</t>
  </si>
  <si>
    <t xml:space="preserve">Zero rendering defects on target headsets for the committed-script corpus</t>
  </si>
  <si>
    <t xml:space="preserve">V-D3 known failure point</t>
  </si>
  <si>
    <t xml:space="preserve">PRG-07.2.03</t>
  </si>
  <si>
    <t xml:space="preserve">Per-language AI evaluation gate wired to the AIA evaluation harness: fixed per-language datasets and thresholds required before any language is declared AI-supported</t>
  </si>
  <si>
    <t xml:space="preserve">Gate config plus per-language eval reports</t>
  </si>
  <si>
    <t xml:space="preserve">No language marked supported without a passing per-language eval on the approved local model</t>
  </si>
  <si>
    <t xml:space="preserve">V.2 required gate; HS-12; dep AIA harness</t>
  </si>
  <si>
    <t xml:space="preserve">PRG-07.2.04</t>
  </si>
  <si>
    <t xml:space="preserve">Cross-lingual retrieval benchmark executed: English corpus queried in committed languages with thresholds met or gaps dispositioned</t>
  </si>
  <si>
    <t xml:space="preserve">Retrieval and groundedness scores recorded per language pair against thresholds</t>
  </si>
  <si>
    <t xml:space="preserve">V-F2 P1</t>
  </si>
  <si>
    <t xml:space="preserve">PRG-07.3.01</t>
  </si>
  <si>
    <t xml:space="preserve">Translation workflow and currency</t>
  </si>
  <si>
    <t xml:space="preserve">Translation workflow decided and implemented per content class (human, machine-assisted with human review, or machine) integrated with the P2 review gate</t>
  </si>
  <si>
    <t xml:space="preserve">PRG-07.1.01, CNT-22.1.07, CNT-23.1.01</t>
  </si>
  <si>
    <t xml:space="preserve">Workflow doc plus P2 gate config</t>
  </si>
  <si>
    <t xml:space="preserve">Every translated artifact passes the P2 gate before publish; class-to-method table signed</t>
  </si>
  <si>
    <t xml:space="preserve">V-D5; critical inclusion P2 gate</t>
  </si>
  <si>
    <t xml:space="preserve">PRG-07.3.02</t>
  </si>
  <si>
    <t xml:space="preserve">Translated assessment items psychometrically re-validated before use in anything feeding official records</t>
  </si>
  <si>
    <t xml:space="preserve">Item re-validation records</t>
  </si>
  <si>
    <t xml:space="preserve">Zero translated items in official assessments without a re-validation record</t>
  </si>
  <si>
    <t xml:space="preserve">V-F5 P1; LOOP 31.5</t>
  </si>
  <si>
    <t xml:space="preserve">PRG-07.3.03</t>
  </si>
  <si>
    <t xml:space="preserve">Translation-currency staleness flags implemented on the variant-linkage model: a source revision flips every language variant stale with in-language learner-facing currency banners</t>
  </si>
  <si>
    <t xml:space="preserve">CNT-01.1.04, PRG-07.3.01</t>
  </si>
  <si>
    <t xml:space="preserve">Staleness cascade test log</t>
  </si>
  <si>
    <t xml:space="preserve">Stale flag set on all variants in one propagation cycle; banner renders in the learner's language</t>
  </si>
  <si>
    <t xml:space="preserve">Scenario 16 (b); V-F4</t>
  </si>
  <si>
    <t xml:space="preserve">PRG-07.3.04</t>
  </si>
  <si>
    <t xml:space="preserve">Scenario 16 bilingual supersession drill executed as the localization program acceptance test coordinated with the M25 drill</t>
  </si>
  <si>
    <t xml:space="preserve">PRG-07.3.03, CNT-18.1.08</t>
  </si>
  <si>
    <t xml:space="preserve">Stale flag, in-language banner, assessment block, exposure audit query, and re-validation clearance all pass</t>
  </si>
  <si>
    <t xml:space="preserve">PRG-07.3.05</t>
  </si>
  <si>
    <t xml:space="preserve">Translation-update latency SLA per language tier published and tracked as an operational metric</t>
  </si>
  <si>
    <t xml:space="preserve">SLA doc plus tracking dashboard</t>
  </si>
  <si>
    <t xml:space="preserve">SLA per tier published; measured latency reported per release cycle</t>
  </si>
  <si>
    <t xml:space="preserve">V-F4 rule 4</t>
  </si>
  <si>
    <t xml:space="preserve">PRG-07.3.06</t>
  </si>
  <si>
    <t xml:space="preserve">DPDP data-residency and deletion posture decided per tenant including deletion survival across federation roll-ups</t>
  </si>
  <si>
    <t xml:space="preserve">Residency decision record</t>
  </si>
  <si>
    <t xml:space="preserve">Per-tenant residency stated; federated-deletion behavior specified before hosting freeze</t>
  </si>
  <si>
    <t xml:space="preserve">V-D4 P0</t>
  </si>
  <si>
    <t xml:space="preserve">PRG-07.3.07</t>
  </si>
  <si>
    <t xml:space="preserve">Per-language end-to-end tests implemented for the top journeys in each committed language</t>
  </si>
  <si>
    <t xml:space="preserve">Per-language E2E test runs</t>
  </si>
  <si>
    <t xml:space="preserve">Top journeys green per committed language; failures dispositioned</t>
  </si>
  <si>
    <t xml:space="preserve">V-D6</t>
  </si>
  <si>
    <t xml:space="preserve">PRG-07.3.08</t>
  </si>
  <si>
    <t xml:space="preserve">Exit-gate evidence bundle assembled and reviewed for the localization program task</t>
  </si>
  <si>
    <t xml:space="preserve">PRG-07.2.03, PRG-07.3.04, PRG-07.3.06</t>
  </si>
  <si>
    <t xml:space="preserve">TST-01.1.01</t>
  </si>
  <si>
    <t xml:space="preserve">TST</t>
  </si>
  <si>
    <t xml:space="preserve">QA-FUNC</t>
  </si>
  <si>
    <t xml:space="preserve">Functional</t>
  </si>
  <si>
    <t xml:space="preserve">Main-job coverage</t>
  </si>
  <si>
    <t xml:space="preserve">Traceability matrix built mapping every plan main-jobs bullet of the module under test to at least one executed functional test case</t>
  </si>
  <si>
    <t xml:space="preserve">Traceability matrix + CI test run link</t>
  </si>
  <si>
    <t xml:space="preserve">100% of the module's main-jobs bullets have a linked passing test; zero unmapped bullets</t>
  </si>
  <si>
    <t xml:space="preserve">Loop4 TST-STD s1</t>
  </si>
  <si>
    <t xml:space="preserve">TST-01.1.02</t>
  </si>
  <si>
    <t xml:space="preserve">Negative-path suite executed covering invalid input, empty states, and boundary values for every user-facing operation of the module</t>
  </si>
  <si>
    <t xml:space="preserve">Negative-path test report</t>
  </si>
  <si>
    <t xml:space="preserve">All negative cases return the defined error response; zero unhandled exceptions in logs</t>
  </si>
  <si>
    <t xml:space="preserve">TST-01.1.03</t>
  </si>
  <si>
    <t xml:space="preserve">UAT</t>
  </si>
  <si>
    <t xml:space="preserve">Role-based behavior verified per persona (learner, teacher, supervisor, admin) on the module's primary flows</t>
  </si>
  <si>
    <t xml:space="preserve">Persona behavior matrix signed by QA Lead</t>
  </si>
  <si>
    <t xml:space="preserve">Each persona can execute only its defined functions; matrix 100% executed with zero deviations</t>
  </si>
  <si>
    <t xml:space="preserve">TST-01.2.01</t>
  </si>
  <si>
    <t xml:space="preserve">State and edge cases</t>
  </si>
  <si>
    <t xml:space="preserve">Empty-tenant and first-run behavior verified: module renders guidance with zero data and no errors</t>
  </si>
  <si>
    <t xml:space="preserve">First-run test evidence (screenshots + logs)</t>
  </si>
  <si>
    <t xml:space="preserve">Zero crashes or blank error screens on empty state; guidance content displayed</t>
  </si>
  <si>
    <t xml:space="preserve">TST-01.2.02</t>
  </si>
  <si>
    <t xml:space="preserve">QA-PERF</t>
  </si>
  <si>
    <t xml:space="preserve">Concurrent-write smoke test executed: two users acting on the same object 20 consecutive runs</t>
  </si>
  <si>
    <t xml:space="preserve">Concurrency test log</t>
  </si>
  <si>
    <t xml:space="preserve">Zero lost updates and consistent final state in 20 of 20 runs</t>
  </si>
  <si>
    <t xml:space="preserve">TST-01.2.03</t>
  </si>
  <si>
    <t xml:space="preserve">QA-AUTO</t>
  </si>
  <si>
    <t xml:space="preserve">Full regression suite executed green on the release-candidate build</t>
  </si>
  <si>
    <t xml:space="preserve">CI regression run</t>
  </si>
  <si>
    <t xml:space="preserve">100% pass; zero skipped tests without a written waiver</t>
  </si>
  <si>
    <t xml:space="preserve">TST-01.2.04</t>
  </si>
  <si>
    <t xml:space="preserve">Functional section exit-gate evidence bundle assembled and reviewed</t>
  </si>
  <si>
    <t xml:space="preserve">Section 1 evidence bundle in release folder</t>
  </si>
  <si>
    <t xml:space="preserve">Bundle contains all section-1 artifacts and is countersigned by QA Lead</t>
  </si>
  <si>
    <t xml:space="preserve">TST-02.1.01</t>
  </si>
  <si>
    <t xml:space="preserve">Contract</t>
  </si>
  <si>
    <t xml:space="preserve">Contract conformance</t>
  </si>
  <si>
    <t xml:space="preserve">OpenAPI/event-schema conformance suite run green against the contract version published in the contract registry</t>
  </si>
  <si>
    <t xml:space="preserve">Conformance suite CI run</t>
  </si>
  <si>
    <t xml:space="preserve">100% conformance assertions pass against the registered contract version</t>
  </si>
  <si>
    <t xml:space="preserve">Loop4 TST-STD s2</t>
  </si>
  <si>
    <t xml:space="preserve">TST-02.1.02</t>
  </si>
  <si>
    <t xml:space="preserve">Backward-compatibility check executed: consumer tests written against contract version N-1 pass against version N</t>
  </si>
  <si>
    <t xml:space="preserve">Compatibility test report</t>
  </si>
  <si>
    <t xml:space="preserve">Zero breaking changes detected or an approved major-version deprecation notice exists</t>
  </si>
  <si>
    <t xml:space="preserve">TST-02.1.03</t>
  </si>
  <si>
    <t xml:space="preserve">Error-response format compliance verified on every endpoint against the platform error standard</t>
  </si>
  <si>
    <t xml:space="preserve">Endpoint error-format scan report</t>
  </si>
  <si>
    <t xml:space="preserve">100% of endpoints return the standard error envelope for 4xx/5xx</t>
  </si>
  <si>
    <t xml:space="preserve">TST-02.1.04</t>
  </si>
  <si>
    <t xml:space="preserve">Event envelope conformance verified: tenant ID, correlation ID, origin-system ID, and statement UUID present on sampled emitted events</t>
  </si>
  <si>
    <t xml:space="preserve">Envelope audit query result</t>
  </si>
  <si>
    <t xml:space="preserve">100% of sampled events carry all mandatory envelope fields with valid values</t>
  </si>
  <si>
    <t xml:space="preserve">TST-02.1.05</t>
  </si>
  <si>
    <t xml:space="preserve">Contract section exit-gate evidence bundle assembled and reviewed</t>
  </si>
  <si>
    <t xml:space="preserve">Section 2 evidence bundle</t>
  </si>
  <si>
    <t xml:space="preserve">Bundle complete and countersigned by QA Lead</t>
  </si>
  <si>
    <t xml:space="preserve">TST-03.1.01</t>
  </si>
  <si>
    <t xml:space="preserve">Integration</t>
  </si>
  <si>
    <t xml:space="preserve">Real-pair exercise</t>
  </si>
  <si>
    <t xml:space="preserve">Module's real upstream and downstream pairs exercised in staging per the review Section J pair list with no mocks</t>
  </si>
  <si>
    <t xml:space="preserve">Integration run report listing pairs</t>
  </si>
  <si>
    <t xml:space="preserve">Every Section-J pair for the module executed end-to-end with expected results</t>
  </si>
  <si>
    <t xml:space="preserve">Loop4 TST-STD s3</t>
  </si>
  <si>
    <t xml:space="preserve">TST-03.1.02</t>
  </si>
  <si>
    <t xml:space="preserve">QA-SEC</t>
  </si>
  <si>
    <t xml:space="preserve">Failure behavior</t>
  </si>
  <si>
    <t xml:space="preserve">Dependency-latency injection executed: timeout and retry behavior observed under injected upstream latency</t>
  </si>
  <si>
    <t xml:space="preserve">Latency-injection test report</t>
  </si>
  <si>
    <t xml:space="preserve">Retries are bounded with backoff; no retry storm; declared timeouts honored</t>
  </si>
  <si>
    <t xml:space="preserve">TST-03.1.03</t>
  </si>
  <si>
    <t xml:space="preserve">QA-OPS</t>
  </si>
  <si>
    <t xml:space="preserve">Dependency-outage test executed: each hard dependency killed for 10 minutes during active use</t>
  </si>
  <si>
    <t xml:space="preserve">Outage drill log</t>
  </si>
  <si>
    <t xml:space="preserve">Module degrades per its declared posture and recovers without manual intervention</t>
  </si>
  <si>
    <t xml:space="preserve">TST-03.1.04</t>
  </si>
  <si>
    <t xml:space="preserve">QA-DATA</t>
  </si>
  <si>
    <t xml:space="preserve">Idempotent-consumer check executed: duplicate deliveries from upstream produce no duplicate side effects</t>
  </si>
  <si>
    <t xml:space="preserve">Duplicate-delivery test report</t>
  </si>
  <si>
    <t xml:space="preserve">Zero duplicate records or duplicate downstream actions after injected redelivery</t>
  </si>
  <si>
    <t xml:space="preserve">TST-03.1.05</t>
  </si>
  <si>
    <t xml:space="preserve">Integration section exit-gate evidence bundle assembled and reviewed</t>
  </si>
  <si>
    <t xml:space="preserve">Section 3 evidence bundle</t>
  </si>
  <si>
    <t xml:space="preserve">TST-04.1.01</t>
  </si>
  <si>
    <t xml:space="preserve">Data integrity</t>
  </si>
  <si>
    <t xml:space="preserve">Write correctness</t>
  </si>
  <si>
    <t xml:space="preserve">Idempotency test executed: duplicate submission via API and UI paths produces exactly one stored record</t>
  </si>
  <si>
    <t xml:space="preserve">Exactly one record per logical submission across 100 injected duplicates</t>
  </si>
  <si>
    <t xml:space="preserve">Loop4 TST-STD s4</t>
  </si>
  <si>
    <t xml:space="preserve">TST-04.1.02</t>
  </si>
  <si>
    <t xml:space="preserve">Tenant-attribution audit executed on all rows written during the test window</t>
  </si>
  <si>
    <t xml:space="preserve">Tenant audit SQL output</t>
  </si>
  <si>
    <t xml:space="preserve">100% of written rows carry the correct tenant ID; zero null or foreign tenant IDs</t>
  </si>
  <si>
    <t xml:space="preserve">TST-04.1.03</t>
  </si>
  <si>
    <t xml:space="preserve">Migrations</t>
  </si>
  <si>
    <t xml:space="preserve">Migration tested up AND down on a production-shaped dataset; expand-and-contract rule verified (release N code runs on schema N-1)</t>
  </si>
  <si>
    <t xml:space="preserve">Migration rehearsal log</t>
  </si>
  <si>
    <t xml:space="preserve">Up and down both complete with zero data loss; N code passes smoke on N-1 schema</t>
  </si>
  <si>
    <t xml:space="preserve">TST-04.1.04</t>
  </si>
  <si>
    <t xml:space="preserve">Retention and erasure</t>
  </si>
  <si>
    <t xml:space="preserve">Erasure drill executed: delete/anonymize request removes the module's learner PII including derived data within the declared SLA</t>
  </si>
  <si>
    <t xml:space="preserve">Erasure drill report</t>
  </si>
  <si>
    <t xml:space="preserve">Zero residual PII found by post-drill scan; SLA met</t>
  </si>
  <si>
    <t xml:space="preserve">TST-04.1.05</t>
  </si>
  <si>
    <t xml:space="preserve">Referential-integrity audit executed after the chaos/load runs of sections 3 and 6</t>
  </si>
  <si>
    <t xml:space="preserve">Integrity audit query set</t>
  </si>
  <si>
    <t xml:space="preserve">Zero orphaned or inconsistent rows detected</t>
  </si>
  <si>
    <t xml:space="preserve">TST-04.1.06</t>
  </si>
  <si>
    <t xml:space="preserve">Data-integrity section exit-gate evidence bundle assembled and reviewed</t>
  </si>
  <si>
    <t xml:space="preserve">Section 4 evidence bundle</t>
  </si>
  <si>
    <t xml:space="preserve">TST-05.1.01</t>
  </si>
  <si>
    <t xml:space="preserve">Authn and authz</t>
  </si>
  <si>
    <t xml:space="preserve">Anonymous scan executed against every module endpoint</t>
  </si>
  <si>
    <t xml:space="preserve">Scan report</t>
  </si>
  <si>
    <t xml:space="preserve">Zero protected routes return 2xx without authentication</t>
  </si>
  <si>
    <t xml:space="preserve">Loop4 TST-STD s5</t>
  </si>
  <si>
    <t xml:space="preserve">TST-05.1.02</t>
  </si>
  <si>
    <t xml:space="preserve">Authorization negative tests executed per role: each role attempts every out-of-role action</t>
  </si>
  <si>
    <t xml:space="preserve">Role negative-test matrix</t>
  </si>
  <si>
    <t xml:space="preserve">100% of out-of-role attempts denied with the standard error; zero privilege escalations</t>
  </si>
  <si>
    <t xml:space="preserve">TST-05.1.03</t>
  </si>
  <si>
    <t xml:space="preserve">Tenant-isolation negative suite (Scenario-2 class) executed: cross-tenant reads and writes attempted on every endpoint and cache</t>
  </si>
  <si>
    <t xml:space="preserve">Cross-tenant probe report</t>
  </si>
  <si>
    <t xml:space="preserve">Zero cross-tenant rows or objects returned or written including cache-served responses</t>
  </si>
  <si>
    <t xml:space="preserve">TST-05.2.01</t>
  </si>
  <si>
    <t xml:space="preserve">Hardening and scans</t>
  </si>
  <si>
    <t xml:space="preserve">Input fuzzing executed on all parsers, uploads, and deserializers of the module</t>
  </si>
  <si>
    <t xml:space="preserve">Zero crashes, hangs, or memory disclosure across the fuzz corpus</t>
  </si>
  <si>
    <t xml:space="preserve">TST-05.2.02</t>
  </si>
  <si>
    <t xml:space="preserve">Dependency vulnerability scan executed on the release artifact</t>
  </si>
  <si>
    <t xml:space="preserve">Scan output + waiver record</t>
  </si>
  <si>
    <t xml:space="preserve">Zero unwaived critical or high CVEs; all waivers signed in writing</t>
  </si>
  <si>
    <t xml:space="preserve">TST-05.2.03</t>
  </si>
  <si>
    <t xml:space="preserve">Secrets scan executed on repository and container image; runtime env dump reviewed</t>
  </si>
  <si>
    <t xml:space="preserve">Secrets scan report</t>
  </si>
  <si>
    <t xml:space="preserve">Zero secrets found in code, image layers, or logs</t>
  </si>
  <si>
    <t xml:space="preserve">TST-05.2.04</t>
  </si>
  <si>
    <t xml:space="preserve">Module-specific threat-register tests executed per the review Section G entries for this module</t>
  </si>
  <si>
    <t xml:space="preserve">Threat-test execution report</t>
  </si>
  <si>
    <t xml:space="preserve">Every Section-G threat item for the module has an executed test with pass or written risk acceptance</t>
  </si>
  <si>
    <t xml:space="preserve">TST-05.2.05</t>
  </si>
  <si>
    <t xml:space="preserve">Security section exit-gate evidence bundle assembled and reviewed</t>
  </si>
  <si>
    <t xml:space="preserve">Section 5 evidence bundle</t>
  </si>
  <si>
    <t xml:space="preserve">Bundle complete and countersigned by Security Engineer</t>
  </si>
  <si>
    <t xml:space="preserve">TST-06.1.01</t>
  </si>
  <si>
    <t xml:space="preserve">Performance</t>
  </si>
  <si>
    <t xml:space="preserve">Load and soak</t>
  </si>
  <si>
    <t xml:space="preserve">Load test executed: module meets its declared p95 latency at rated concurrency in staging</t>
  </si>
  <si>
    <t xml:space="preserve">Measured p95 at rated concurrency is at or below the published target</t>
  </si>
  <si>
    <t xml:space="preserve">Loop4 TST-STD s6</t>
  </si>
  <si>
    <t xml:space="preserve">TST-06.1.02</t>
  </si>
  <si>
    <t xml:space="preserve">Soak test executed: 8 hours at rated load with resource trending</t>
  </si>
  <si>
    <t xml:space="preserve">Soak test graphs</t>
  </si>
  <si>
    <t xml:space="preserve">No memory, connection, or file-descriptor leak; flat resource trend over 8 h</t>
  </si>
  <si>
    <t xml:space="preserve">TST-06.1.03</t>
  </si>
  <si>
    <t xml:space="preserve">2x-target-load test executed and behavior documented</t>
  </si>
  <si>
    <t xml:space="preserve">Overload test report</t>
  </si>
  <si>
    <t xml:space="preserve">Module sheds load (429/queue) without data corruption; documented degradation mode matches observed</t>
  </si>
  <si>
    <t xml:space="preserve">TST-06.1.04</t>
  </si>
  <si>
    <t xml:space="preserve">Capacity SLO published in the module runbook with the measured evidence attached</t>
  </si>
  <si>
    <t xml:space="preserve">Runbook SLO section</t>
  </si>
  <si>
    <t xml:space="preserve">SLO statement present with test-run link; reviewed by Platform Architect</t>
  </si>
  <si>
    <t xml:space="preserve">TST-06.1.05</t>
  </si>
  <si>
    <t xml:space="preserve">Performance section exit-gate evidence bundle assembled and reviewed</t>
  </si>
  <si>
    <t xml:space="preserve">Section 6 evidence bundle</t>
  </si>
  <si>
    <t xml:space="preserve">TST-07.1.01</t>
  </si>
  <si>
    <t xml:space="preserve">QA-A11Y</t>
  </si>
  <si>
    <t xml:space="preserve">Accessibility</t>
  </si>
  <si>
    <t xml:space="preserve">A11y pass</t>
  </si>
  <si>
    <t xml:space="preserve">Keyboard-only pass executed on all primary flows (UI modules)</t>
  </si>
  <si>
    <t xml:space="preserve">Keyboard walkthrough recording</t>
  </si>
  <si>
    <t xml:space="preserve">Every primary flow completable with keyboard only; zero traps</t>
  </si>
  <si>
    <t xml:space="preserve">Loop4 TST-STD s7</t>
  </si>
  <si>
    <t xml:space="preserve">TST-07.1.02</t>
  </si>
  <si>
    <t xml:space="preserve">Screen-reader pass executed on primary flows with at least one desktop and one mobile reader where applicable</t>
  </si>
  <si>
    <t xml:space="preserve">Screen-reader test log</t>
  </si>
  <si>
    <t xml:space="preserve">All primary flows operable and announced correctly; zero blocking issues</t>
  </si>
  <si>
    <t xml:space="preserve">TST-07.1.03</t>
  </si>
  <si>
    <t xml:space="preserve">Contrast audit executed on the shipped UI palette</t>
  </si>
  <si>
    <t xml:space="preserve">Contrast audit report</t>
  </si>
  <si>
    <t xml:space="preserve">All text and UI components meet WCAG contrast minimums</t>
  </si>
  <si>
    <t xml:space="preserve">TST-07.1.04</t>
  </si>
  <si>
    <t xml:space="preserve">WCAG 2.2 AA automated scan executed with manual triage of findings</t>
  </si>
  <si>
    <t xml:space="preserve">Scan report + triage sheet</t>
  </si>
  <si>
    <t xml:space="preserve">Zero critical findings open; all others triaged with owner and date</t>
  </si>
  <si>
    <t xml:space="preserve">TST-07.1.05</t>
  </si>
  <si>
    <t xml:space="preserve">Accessibility section exit-gate evidence bundle assembled and reviewed</t>
  </si>
  <si>
    <t xml:space="preserve">Section 7 evidence bundle</t>
  </si>
  <si>
    <t xml:space="preserve">Bundle complete and countersigned by Accessibility Specialist</t>
  </si>
  <si>
    <t xml:space="preserve">TST-08.1.01</t>
  </si>
  <si>
    <t xml:space="preserve">Telemetry verification</t>
  </si>
  <si>
    <t xml:space="preserve">Correlation-ID propagation verified end-to-end across the module's primary journey by trace query</t>
  </si>
  <si>
    <t xml:space="preserve">Trace screenshot + query</t>
  </si>
  <si>
    <t xml:space="preserve">One correlation ID resolves the full journey across all hops touched by the module</t>
  </si>
  <si>
    <t xml:space="preserve">Loop4 TST-STD s8</t>
  </si>
  <si>
    <t xml:space="preserve">TST-08.1.02</t>
  </si>
  <si>
    <t xml:space="preserve">Dashboards and alerts exist and were made to fire during test (alert-fire drill)</t>
  </si>
  <si>
    <t xml:space="preserve">Alert-fire drill log</t>
  </si>
  <si>
    <t xml:space="preserve">Every declared alert fired under its injected condition and reached the on-call channel</t>
  </si>
  <si>
    <t xml:space="preserve">TST-08.1.03</t>
  </si>
  <si>
    <t xml:space="preserve">Runbook walked end-to-end by an engineer who did not write it</t>
  </si>
  <si>
    <t xml:space="preserve">Walkthrough notes + fixes</t>
  </si>
  <si>
    <t xml:space="preserve">Walker completes all procedures without author help; gaps fixed and re-walked</t>
  </si>
  <si>
    <t xml:space="preserve">TST-08.1.04</t>
  </si>
  <si>
    <t xml:space="preserve">SLO defined and measured in staging for the module's primary operation</t>
  </si>
  <si>
    <t xml:space="preserve">SLO definition + measurement dashboard</t>
  </si>
  <si>
    <t xml:space="preserve">SLO documented with target, window, and a live measurement panel</t>
  </si>
  <si>
    <t xml:space="preserve">TST-08.1.05</t>
  </si>
  <si>
    <t xml:space="preserve">Log hygiene audit executed: structured logs with tenant and correlation fields, no PII beyond policy</t>
  </si>
  <si>
    <t xml:space="preserve">Log sample audit</t>
  </si>
  <si>
    <t xml:space="preserve">100% sampled log lines structured with required fields; zero policy-violating PII</t>
  </si>
  <si>
    <t xml:space="preserve">TST-08.1.06</t>
  </si>
  <si>
    <t xml:space="preserve">Observability section exit-gate evidence bundle assembled and reviewed</t>
  </si>
  <si>
    <t xml:space="preserve">Section 8 evidence bundle</t>
  </si>
  <si>
    <t xml:space="preserve">TST-09.1.01</t>
  </si>
  <si>
    <t xml:space="preserve">Recovery and rollback</t>
  </si>
  <si>
    <t xml:space="preserve">Resilience drills</t>
  </si>
  <si>
    <t xml:space="preserve">Kill test executed: service restarted mid-transaction under load</t>
  </si>
  <si>
    <t xml:space="preserve">Kill test report</t>
  </si>
  <si>
    <t xml:space="preserve">Zero data loss and zero permanently stuck state after restart</t>
  </si>
  <si>
    <t xml:space="preserve">Loop4 TST-STD s9</t>
  </si>
  <si>
    <t xml:space="preserve">TST-09.1.02</t>
  </si>
  <si>
    <t xml:space="preserve">Backup and restore of the module's store rehearsed with functional smoke on the restored copy</t>
  </si>
  <si>
    <t xml:space="preserve">Restore drill log</t>
  </si>
  <si>
    <t xml:space="preserve">Restore completes within RTO; smoke suite green on restored data</t>
  </si>
  <si>
    <t xml:space="preserve">TST-09.1.03</t>
  </si>
  <si>
    <t xml:space="preserve">Release rollback rehearsed N to N-1 on staging with data written between versions</t>
  </si>
  <si>
    <t xml:space="preserve">Rollback completes; data written under N remains readable and consistent under N-1</t>
  </si>
  <si>
    <t xml:space="preserve">TST-09.1.04</t>
  </si>
  <si>
    <t xml:space="preserve">Feature flag or kill-switch verified to disable the module cleanly in production configuration</t>
  </si>
  <si>
    <t xml:space="preserve">Kill-switch drill log</t>
  </si>
  <si>
    <t xml:space="preserve">Module disabled and re-enabled with zero residual errors in dependent modules</t>
  </si>
  <si>
    <t xml:space="preserve">TST-09.1.05</t>
  </si>
  <si>
    <t xml:space="preserve">Recovery section exit-gate evidence bundle assembled and reviewed</t>
  </si>
  <si>
    <t xml:space="preserve">Section 9 evidence bundle</t>
  </si>
  <si>
    <t xml:space="preserve">TST-10.1.01</t>
  </si>
  <si>
    <t xml:space="preserve">Deployment classes</t>
  </si>
  <si>
    <t xml:space="preserve">Class verification</t>
  </si>
  <si>
    <t xml:space="preserve">Release-bundle install executed in the enclave simulator with packet capture proving zero egress</t>
  </si>
  <si>
    <t xml:space="preserve">Install log + packet capture</t>
  </si>
  <si>
    <t xml:space="preserve">Module installs and runs from the bundle alone; zero external network calls captured</t>
  </si>
  <si>
    <t xml:space="preserve">Loop4 TST-STD s10</t>
  </si>
  <si>
    <t xml:space="preserve">TST-10.1.02</t>
  </si>
  <si>
    <t xml:space="preserve">Config parity audit executed across cloud, on-prem, and enclave deployments</t>
  </si>
  <si>
    <t xml:space="preserve">Parity diff report</t>
  </si>
  <si>
    <t xml:space="preserve">All config deltas between classes documented and approved; zero undocumented deltas</t>
  </si>
  <si>
    <t xml:space="preserve">TST-10.1.03</t>
  </si>
  <si>
    <t xml:space="preserve">Offline behavior verified for offline-capable clients of the module</t>
  </si>
  <si>
    <t xml:space="preserve">Offline test matrix</t>
  </si>
  <si>
    <t xml:space="preserve">Declared offline functions work; non-offline functions fail with clear messaging; zero data loss</t>
  </si>
  <si>
    <t xml:space="preserve">TST-10.1.04</t>
  </si>
  <si>
    <t xml:space="preserve">Upgrade-path test executed: bundle N applies over N-1 in the enclave simulator including the migration ledger</t>
  </si>
  <si>
    <t xml:space="preserve">Upgrade drill log</t>
  </si>
  <si>
    <t xml:space="preserve">Upgrade completes with checksummed ledger; smoke green post-upgrade</t>
  </si>
  <si>
    <t xml:space="preserve">Scenario 8</t>
  </si>
  <si>
    <t xml:space="preserve">TST-10.1.05</t>
  </si>
  <si>
    <t xml:space="preserve">Deployment-classes section exit-gate evidence bundle assembled and reviewed</t>
  </si>
  <si>
    <t xml:space="preserve">Section 10 evidence bundle</t>
  </si>
  <si>
    <t xml:space="preserve">TST-11.1.01</t>
  </si>
  <si>
    <t xml:space="preserve">QA-AI</t>
  </si>
  <si>
    <t xml:space="preserve">AI addendum</t>
  </si>
  <si>
    <t xml:space="preserve">AI release gates</t>
  </si>
  <si>
    <t xml:space="preserve">[AI-touched modules only] Evaluation suite run on the pinned model version with scores at or above published gates</t>
  </si>
  <si>
    <t xml:space="preserve">Eval harness run report</t>
  </si>
  <si>
    <t xml:space="preserve">All gate metrics meet or exceed published thresholds on the pinned model</t>
  </si>
  <si>
    <t xml:space="preserve">Loop4 TST-STD s11</t>
  </si>
  <si>
    <t xml:space="preserve">TST-11.1.02</t>
  </si>
  <si>
    <t xml:space="preserve">[AI-touched modules only] Run-to-run variance measured over N repeated eval runs and within declared bounds</t>
  </si>
  <si>
    <t xml:space="preserve">Variance analysis report</t>
  </si>
  <si>
    <t xml:space="preserve">Variance across runs at or below the declared bound for every gate metric</t>
  </si>
  <si>
    <t xml:space="preserve">TST-11.1.03</t>
  </si>
  <si>
    <t xml:space="preserve">[AI-touched modules only] Hosted-vs-local quality delta measured on the fixed eval set and recorded</t>
  </si>
  <si>
    <t xml:space="preserve">Delta comparison report</t>
  </si>
  <si>
    <t xml:space="preserve">Delta documented per metric; acceptance or escalation recorded in writing</t>
  </si>
  <si>
    <t xml:space="preserve">TST-11.1.04</t>
  </si>
  <si>
    <t xml:space="preserve">[AI-touched modules only] Refusal and injection suites run green including non-English (Devanagari-script) payloads</t>
  </si>
  <si>
    <t xml:space="preserve">Red-team suite report</t>
  </si>
  <si>
    <t xml:space="preserve">Zero injection successes; refusal correctness at or above gate in every committed language</t>
  </si>
  <si>
    <t xml:space="preserve">TST-11.1.05</t>
  </si>
  <si>
    <t xml:space="preserve">[AI-touched modules only] Model, prompt, and index versions verified recorded in 100% of AI-influenced outputs</t>
  </si>
  <si>
    <t xml:space="preserve">Output version audit</t>
  </si>
  <si>
    <t xml:space="preserve">100% of sampled outputs carry model+prompt+index version fields</t>
  </si>
  <si>
    <t xml:space="preserve">Scenario 10</t>
  </si>
  <si>
    <t xml:space="preserve">TST-11.1.06</t>
  </si>
  <si>
    <t xml:space="preserve">[AI-touched modules only] Human-review queue verified functioning: below-threshold outputs route to review and resolve</t>
  </si>
  <si>
    <t xml:space="preserve">Review-queue drill log</t>
  </si>
  <si>
    <t xml:space="preserve">100% of below-threshold test outputs appear in the queue and are dispositioned</t>
  </si>
  <si>
    <t xml:space="preserve">TST-11.1.07</t>
  </si>
  <si>
    <t xml:space="preserve">[AI-touched modules only] AI-addendum section exit-gate evidence bundle assembled and reviewed</t>
  </si>
  <si>
    <t xml:space="preserve">Section 11 evidence bundle</t>
  </si>
  <si>
    <t xml:space="preserve">Bundle complete and countersigned by QA Lead and AI/ML Engineer</t>
  </si>
  <si>
    <t xml:space="preserve">TST-12.1.01</t>
  </si>
  <si>
    <t xml:space="preserve">Documentation and release gate</t>
  </si>
  <si>
    <t xml:space="preserve">Docs currency</t>
  </si>
  <si>
    <t xml:space="preserve">User documentation reviewed current against shipped behavior</t>
  </si>
  <si>
    <t xml:space="preserve">Doc review record</t>
  </si>
  <si>
    <t xml:space="preserve">Zero doc-vs-behavior discrepancies open at gate</t>
  </si>
  <si>
    <t xml:space="preserve">Loop4 TST-STD s12</t>
  </si>
  <si>
    <t xml:space="preserve">TST-12.1.02</t>
  </si>
  <si>
    <t xml:space="preserve">Admin guide and operator runbook reviewed current</t>
  </si>
  <si>
    <t xml:space="preserve">Runbook matches walked procedures; admin guide covers all shipped settings</t>
  </si>
  <si>
    <t xml:space="preserve">TST-12.1.03</t>
  </si>
  <si>
    <t xml:space="preserve">API and contract documentation regenerated from the published contract version</t>
  </si>
  <si>
    <t xml:space="preserve">Generated doc link</t>
  </si>
  <si>
    <t xml:space="preserve">Docs generated from the exact registered contract version shipped</t>
  </si>
  <si>
    <t xml:space="preserve">TST-12.2.01</t>
  </si>
  <si>
    <t xml:space="preserve">Sign-off matrix</t>
  </si>
  <si>
    <t xml:space="preserve">QA sign-off recorded on a named line by the QA Lead</t>
  </si>
  <si>
    <t xml:space="preserve">Signed release-gate matrix</t>
  </si>
  <si>
    <t xml:space="preserve">Named QA Lead signature with date present</t>
  </si>
  <si>
    <t xml:space="preserve">TST-12.2.02</t>
  </si>
  <si>
    <t xml:space="preserve">Security sign-off recorded on a named line by the Security Engineer</t>
  </si>
  <si>
    <t xml:space="preserve">Named Security signature with date present</t>
  </si>
  <si>
    <t xml:space="preserve">TST-12.2.03</t>
  </si>
  <si>
    <t xml:space="preserve">Accessibility sign-off recorded on a named line by the Accessibility Specialist</t>
  </si>
  <si>
    <t xml:space="preserve">Named Accessibility signature with date present</t>
  </si>
  <si>
    <t xml:space="preserve">TST-12.2.04</t>
  </si>
  <si>
    <t xml:space="preserve">Product sign-off recorded on a named line by the Product Manager</t>
  </si>
  <si>
    <t xml:space="preserve">TST-13.1.04</t>
  </si>
  <si>
    <t xml:space="preserve">Named Product signature with date present</t>
  </si>
  <si>
    <t xml:space="preserve">TST-12.2.05</t>
  </si>
  <si>
    <t xml:space="preserve">Ops sign-off recorded on a named line by the DevSecOps Engineer</t>
  </si>
  <si>
    <t xml:space="preserve">Named Ops signature with date present</t>
  </si>
  <si>
    <t xml:space="preserve">TST-12.2.06</t>
  </si>
  <si>
    <t xml:space="preserve">Release-gate evidence bundle assembled and reviewed with the complete five-line sign-off matrix</t>
  </si>
  <si>
    <t xml:space="preserve">TST-12.2.01, TST-12.2.02, TST-12.2.03, TST-12.2.04, TST-12.2.05</t>
  </si>
  <si>
    <t xml:space="preserve">Release-gate bundle</t>
  </si>
  <si>
    <t xml:space="preserve">All five named sign-offs present; zero waived sections without written waiver attached</t>
  </si>
  <si>
    <t xml:space="preserve">TST-13.1.01</t>
  </si>
  <si>
    <t xml:space="preserve">User acceptance</t>
  </si>
  <si>
    <t xml:space="preserve">Scripted acceptance executed by a real representative user of each persona the module touches</t>
  </si>
  <si>
    <t xml:space="preserve">UAT session records</t>
  </si>
  <si>
    <t xml:space="preserve">Every touched persona completed its script with a real representative user</t>
  </si>
  <si>
    <t xml:space="preserve">Loop4 TST-STD s13</t>
  </si>
  <si>
    <t xml:space="preserve">TST-13.1.02</t>
  </si>
  <si>
    <t xml:space="preserve">UAT defects triaged with severity within 48 hours of each session</t>
  </si>
  <si>
    <t xml:space="preserve">Defect triage sheet</t>
  </si>
  <si>
    <t xml:space="preserve">100% of UAT defects carry severity, owner, and disposition within 48 h</t>
  </si>
  <si>
    <t xml:space="preserve">TST-13.1.03</t>
  </si>
  <si>
    <t xml:space="preserve">Zero open P0/P1 defects verified at the release gate</t>
  </si>
  <si>
    <t xml:space="preserve">Defect tracker snapshot</t>
  </si>
  <si>
    <t xml:space="preserve">Zero P0 and zero P1 defects open at gate time</t>
  </si>
  <si>
    <t xml:space="preserve">UAT report signed by the Product Manager and a customer representative</t>
  </si>
  <si>
    <t xml:space="preserve">Signed UAT report</t>
  </si>
  <si>
    <t xml:space="preserve">Both signatures present with date</t>
  </si>
  <si>
    <t xml:space="preserve">TST-13.1.05</t>
  </si>
  <si>
    <t xml:space="preserve">UAT section exit-gate evidence bundle assembled and reviewed</t>
  </si>
  <si>
    <t xml:space="preserve">Section 13 evidence bundle</t>
  </si>
  <si>
    <t xml:space="preserve">TST-14.1.01</t>
  </si>
  <si>
    <t xml:space="preserve">M1 login test deltas</t>
  </si>
  <si>
    <t xml:space="preserve">Template execution</t>
  </si>
  <si>
    <t xml:space="preserve">TST-STD template executed and evidence bundle linked</t>
  </si>
  <si>
    <t xml:space="preserve">Linked TST-STD evidence bundle</t>
  </si>
  <si>
    <t xml:space="preserve">All 13 sections green or waived in writing</t>
  </si>
  <si>
    <t xml:space="preserve">Loop4 TST-STD</t>
  </si>
  <si>
    <t xml:space="preserve">TST-14.2.01</t>
  </si>
  <si>
    <t xml:space="preserve">Module delta tests</t>
  </si>
  <si>
    <t xml:space="preserve">Scenario-7 chaos drill executed: Keycloak killed 45 minutes during a 200-user simulated class with active quizzes</t>
  </si>
  <si>
    <t xml:space="preserve">Chaos drill report</t>
  </si>
  <si>
    <t xml:space="preserve">Zero lost submitted answers via client replay; in-flight sessions survive to token expiry; recovery runbook executed under 15 minutes</t>
  </si>
  <si>
    <t xml:space="preserve">TST-14.2.02</t>
  </si>
  <si>
    <t xml:space="preserve">Tenant-claim negative suite executed: tokens with missing or forged tenant claims rejected by every downstream module</t>
  </si>
  <si>
    <t xml:space="preserve">Negative-token test report</t>
  </si>
  <si>
    <t xml:space="preserve">100% of missing/forged tenant-claim requests rejected across M3, M6, M10, M15 endpoints</t>
  </si>
  <si>
    <t xml:space="preserve">REV D M1 P0</t>
  </si>
  <si>
    <t xml:space="preserve">TST-14.2.03</t>
  </si>
  <si>
    <t xml:space="preserve">LTI role-mapping escalation test executed: launch-supplied roles cannot escalate privileges inside EdVidura tools</t>
  </si>
  <si>
    <t xml:space="preserve">Escalation test report</t>
  </si>
  <si>
    <t xml:space="preserve">Zero privilege escalations from manipulated launch role claims</t>
  </si>
  <si>
    <t xml:space="preserve">REV D M1 P1</t>
  </si>
  <si>
    <t xml:space="preserve">TST-14.2.04</t>
  </si>
  <si>
    <t xml:space="preserve">Revocation-latency test executed: deleted/disabled user's token measured unusable within the documented token lifetime</t>
  </si>
  <si>
    <t xml:space="preserve">Revocation timing log</t>
  </si>
  <si>
    <t xml:space="preserve">Measured revocation latency at or below documented token lifetime; result published in runbook</t>
  </si>
  <si>
    <t xml:space="preserve">TST-14.2.05</t>
  </si>
  <si>
    <t xml:space="preserve">Keycloak HA failover test executed: one node killed under active login load</t>
  </si>
  <si>
    <t xml:space="preserve">Failover drill log</t>
  </si>
  <si>
    <t xml:space="preserve">Logins continue during failover; failed-login count within error budget; zero session corruption</t>
  </si>
  <si>
    <t xml:space="preserve">TST-14.3.01</t>
  </si>
  <si>
    <t xml:space="preserve">M1 delta exit-gate evidence bundle assembled and reviewed</t>
  </si>
  <si>
    <t xml:space="preserve">TST-14.2.01, TST-14.2.05</t>
  </si>
  <si>
    <t xml:space="preserve">M1 delta evidence bundle</t>
  </si>
  <si>
    <t xml:space="preserve">Bundle contains all M1 delta artifacts and is countersigned by QA Lead</t>
  </si>
  <si>
    <t xml:space="preserve">Loop4 4b</t>
  </si>
  <si>
    <t xml:space="preserve">TST-15.1.01</t>
  </si>
  <si>
    <t xml:space="preserve">M2 records DB test deltas</t>
  </si>
  <si>
    <t xml:space="preserve">TST-15.2.01</t>
  </si>
  <si>
    <t xml:space="preserve">Scenario-8 migration kill drill executed on a production-shaped enclave dataset: migration killed midway at each step</t>
  </si>
  <si>
    <t xml:space="preserve">Migration kill drill report</t>
  </si>
  <si>
    <t xml:space="preserve">Automatic rollback to snapshot at every kill point; zero data loss; staff-executed recovery under 4 hours; next bundle applies cleanly to both states</t>
  </si>
  <si>
    <t xml:space="preserve">TST-15.2.02</t>
  </si>
  <si>
    <t xml:space="preserve">Duplicate and late-event promotion test executed: raw-to-cleaned promotion deduplicates by statement UUID</t>
  </si>
  <si>
    <t xml:space="preserve">Promotion test report</t>
  </si>
  <si>
    <t xml:space="preserve">Exactly-once records in cleaned level from injected duplicate and 7-day-late statements; zero double counts downstream</t>
  </si>
  <si>
    <t xml:space="preserve">REV D M2 P1</t>
  </si>
  <si>
    <t xml:space="preserve">TST-15.2.03</t>
  </si>
  <si>
    <t xml:space="preserve">Official-level immutability test executed: direct UPDATE/DELETE on official records rejected; corrections append-only</t>
  </si>
  <si>
    <t xml:space="preserve">Immutability test report</t>
  </si>
  <si>
    <t xml:space="preserve">Zero successful in-place mutations; amendment records append with reference to original</t>
  </si>
  <si>
    <t xml:space="preserve">TST-15.2.04</t>
  </si>
  <si>
    <t xml:space="preserve">Replica freshness contract test executed: replica lag measured under exam-day load</t>
  </si>
  <si>
    <t xml:space="preserve">Lag measurement report</t>
  </si>
  <si>
    <t xml:space="preserve">Measured lag at or below the published freshness contract; freshness stamp exposed to consumers</t>
  </si>
  <si>
    <t xml:space="preserve">REV D M2 P2</t>
  </si>
  <si>
    <t xml:space="preserve">TST-15.2.05</t>
  </si>
  <si>
    <t xml:space="preserve">DPDP erasure drill executed on the LRS: learner erasure request removes or anonymizes rows including derived data</t>
  </si>
  <si>
    <t xml:space="preserve">Zero residual learner PII found by scan within the declared SLA</t>
  </si>
  <si>
    <t xml:space="preserve">NEW: DPDP V-D4</t>
  </si>
  <si>
    <t xml:space="preserve">TST-15.3.01</t>
  </si>
  <si>
    <t xml:space="preserve">M2 delta exit-gate evidence bundle assembled and reviewed</t>
  </si>
  <si>
    <t xml:space="preserve">TST-15.2.01, TST-15.2.05</t>
  </si>
  <si>
    <t xml:space="preserve">M2 delta evidence bundle</t>
  </si>
  <si>
    <t xml:space="preserve">TST-16.1.01</t>
  </si>
  <si>
    <t xml:space="preserve">M3 learning API test deltas</t>
  </si>
  <si>
    <t xml:space="preserve">TST-16.2.01</t>
  </si>
  <si>
    <t xml:space="preserve">Duplicate-ingestion suite executed: same statement UUID submitted 10 times via API and batch paths</t>
  </si>
  <si>
    <t xml:space="preserve">Dedup test report</t>
  </si>
  <si>
    <t xml:space="preserve">Exactly one stored record per UUID; duplicate submissions acknowledged idempotently</t>
  </si>
  <si>
    <t xml:space="preserve">Scenario 1</t>
  </si>
  <si>
    <t xml:space="preserve">TST-16.2.02</t>
  </si>
  <si>
    <t xml:space="preserve">Out-of-order and late-event ingestion suite executed: events up to 7 days late with stored-vs-timestamp semantics</t>
  </si>
  <si>
    <t xml:space="preserve">Late-event test report</t>
  </si>
  <si>
    <t xml:space="preserve">Late events correctly attributed to their occurrence window; downstream aggregates recomputed; zero misattribution</t>
  </si>
  <si>
    <t xml:space="preserve">TST-16.2.03</t>
  </si>
  <si>
    <t xml:space="preserve">Outbox crash-recovery test executed: M3 worker killed mid-drain and restarted</t>
  </si>
  <si>
    <t xml:space="preserve">Crash-recovery test log</t>
  </si>
  <si>
    <t xml:space="preserve">Zero lost and zero duplicate events after restart; outbox drains to empty</t>
  </si>
  <si>
    <t xml:space="preserve">TST-16.2.04</t>
  </si>
  <si>
    <t xml:space="preserve">Admission-control test executed at 2x rated load against the published capacity SLO</t>
  </si>
  <si>
    <t xml:space="preserve">429 with Retry-After under overload; bounded queue; SLO (300 statements/sec p95 under 500 ms) verified at rated load; zero corruption</t>
  </si>
  <si>
    <t xml:space="preserve">TST-16.2.05</t>
  </si>
  <si>
    <t xml:space="preserve">Contract version-compatibility test executed: v(N-1) tool clients pass against vN event schema</t>
  </si>
  <si>
    <t xml:space="preserve">Compatibility suite run</t>
  </si>
  <si>
    <t xml:space="preserve">Zero breaking changes for prior-version producers/consumers</t>
  </si>
  <si>
    <t xml:space="preserve">REV D M3 P1</t>
  </si>
  <si>
    <t xml:space="preserve">TST-16.3.01</t>
  </si>
  <si>
    <t xml:space="preserve">M3 delta exit-gate evidence bundle assembled and reviewed</t>
  </si>
  <si>
    <t xml:space="preserve">TST-16.2.01, TST-16.2.05</t>
  </si>
  <si>
    <t xml:space="preserve">M3 delta evidence bundle</t>
  </si>
  <si>
    <t xml:space="preserve">TST-17.1.01</t>
  </si>
  <si>
    <t xml:space="preserve">M4 router bus test deltas</t>
  </si>
  <si>
    <t xml:space="preserve">TST-17.2.01</t>
  </si>
  <si>
    <t xml:space="preserve">Bus-outage replay test executed: event transport down 30 minutes during active signal traffic</t>
  </si>
  <si>
    <t xml:space="preserve">Bus outage drill report</t>
  </si>
  <si>
    <t xml:space="preserve">All signals queued and replayed after recovery with zero loss and zero duplicates visible to consumers</t>
  </si>
  <si>
    <t xml:space="preserve">REV D M4 P1</t>
  </si>
  <si>
    <t xml:space="preserve">TST-17.2.02</t>
  </si>
  <si>
    <t xml:space="preserve">Gateway config-rollback drill executed: a bad route change deployed and rolled back</t>
  </si>
  <si>
    <t xml:space="preserve">Canary detects the bad route; rollback completes under 5 minutes; zero residual routing errors</t>
  </si>
  <si>
    <t xml:space="preserve">REV D M4 P2</t>
  </si>
  <si>
    <t xml:space="preserve">TST-17.2.03</t>
  </si>
  <si>
    <t xml:space="preserve">Gateway failover test executed: one gateway instance killed under rated load</t>
  </si>
  <si>
    <t xml:space="preserve">p95 latency stays within SLO; 5xx count within error budget during failover</t>
  </si>
  <si>
    <t xml:space="preserve">TST-17.2.04</t>
  </si>
  <si>
    <t xml:space="preserve">Envelope provenance-field conformance test executed on all bus-published events</t>
  </si>
  <si>
    <t xml:space="preserve">Envelope audit report</t>
  </si>
  <si>
    <t xml:space="preserve">100% of events carry tenant ID, correlation ID, origin-system ID, and statement UUID (federation-ready provenance)</t>
  </si>
  <si>
    <t xml:space="preserve">Scenario 12</t>
  </si>
  <si>
    <t xml:space="preserve">TST-17.3.01</t>
  </si>
  <si>
    <t xml:space="preserve">M4 delta exit-gate evidence bundle assembled and reviewed</t>
  </si>
  <si>
    <t xml:space="preserve">TST-17.2.01, TST-17.2.04</t>
  </si>
  <si>
    <t xml:space="preserve">M4 delta evidence bundle</t>
  </si>
  <si>
    <t xml:space="preserve">TST-18.1.01</t>
  </si>
  <si>
    <t xml:space="preserve">M5 course site test deltas</t>
  </si>
  <si>
    <t xml:space="preserve">TST-18.2.01</t>
  </si>
  <si>
    <t xml:space="preserve">LMS upgrade canary suite executed: Moodle point-upgrade applied in staging with full M7 launch and grade-passback regression</t>
  </si>
  <si>
    <t xml:space="preserve">Canary suite report</t>
  </si>
  <si>
    <t xml:space="preserve">All launches and passbacks green post-upgrade before production apply</t>
  </si>
  <si>
    <t xml:space="preserve">REV D M5 P2</t>
  </si>
  <si>
    <t xml:space="preserve">TST-18.2.02</t>
  </si>
  <si>
    <t xml:space="preserve">Two-tenant pilot test executed: branding, roster sync, and category isolation verified across two tenants</t>
  </si>
  <si>
    <t xml:space="preserve">Zero cross-tenant visibility of courses, users, or branding assets</t>
  </si>
  <si>
    <t xml:space="preserve">REV D M5 P1</t>
  </si>
  <si>
    <t xml:space="preserve">TST-18.2.03</t>
  </si>
  <si>
    <t xml:space="preserve">Course-copy cross-tenant test executed: copied course does not carry tool links or content across tenant boundaries</t>
  </si>
  <si>
    <t xml:space="preserve">Zero duplicated tool registrations or content references across tenants after copy</t>
  </si>
  <si>
    <t xml:space="preserve">TST-18.2.04</t>
  </si>
  <si>
    <t xml:space="preserve">LMS backup-restore drill executed: database plus files restored and verified by launch test</t>
  </si>
  <si>
    <t xml:space="preserve">Restored instance passes launch, enrol, and gradebook smoke within RTO</t>
  </si>
  <si>
    <t xml:space="preserve">TST-18.3.01</t>
  </si>
  <si>
    <t xml:space="preserve">M5 delta exit-gate evidence bundle assembled and reviewed</t>
  </si>
  <si>
    <t xml:space="preserve">TST-18.2.01, TST-18.2.04</t>
  </si>
  <si>
    <t xml:space="preserve">M5 delta evidence bundle</t>
  </si>
  <si>
    <t xml:space="preserve">TST-19.1.01</t>
  </si>
  <si>
    <t xml:space="preserve">M6 reports base test deltas</t>
  </si>
  <si>
    <t xml:space="preserve">TST-19.2.01</t>
  </si>
  <si>
    <t xml:space="preserve">Write-path negative test executed: BI credentials attempt reads and writes against the live write database</t>
  </si>
  <si>
    <t xml:space="preserve">Negative connection test report</t>
  </si>
  <si>
    <t xml:space="preserve">BI service account provably cannot reach the write path (connection refused at DB grant level)</t>
  </si>
  <si>
    <t xml:space="preserve">PLAN Rule 4</t>
  </si>
  <si>
    <t xml:space="preserve">TST-19.2.02</t>
  </si>
  <si>
    <t xml:space="preserve">Scenario-2 cross-tenant probe executed per report: tenant filter deliberately stripped at SQL layer</t>
  </si>
  <si>
    <t xml:space="preserve">TST-19.1.01, ANA-03.1.01</t>
  </si>
  <si>
    <t xml:space="preserve">RLS returns zero foreign-tenant rows on 100% of reports with the filter stripped</t>
  </si>
  <si>
    <t xml:space="preserve">TST-19.2.03</t>
  </si>
  <si>
    <t xml:space="preserve">Freshness-indicator test executed: replica lag injected beyond contract</t>
  </si>
  <si>
    <t xml:space="preserve">Freshness drill log</t>
  </si>
  <si>
    <t xml:space="preserve">Every report shows a data-as-of stamp; freshness-breach alert fires at threshold</t>
  </si>
  <si>
    <t xml:space="preserve">TST-19.2.04</t>
  </si>
  <si>
    <t xml:space="preserve">Report accuracy reconciliation executed: report numbers checked against independent SQL on fixture data</t>
  </si>
  <si>
    <t xml:space="preserve">Zero discrepancies between report output and hand-computed fixture results</t>
  </si>
  <si>
    <t xml:space="preserve">Loop3 ANA-08</t>
  </si>
  <si>
    <t xml:space="preserve">TST-19.3.01</t>
  </si>
  <si>
    <t xml:space="preserve">M6 delta exit-gate evidence bundle assembled and reviewed</t>
  </si>
  <si>
    <t xml:space="preserve">TST-19.2.01, TST-19.2.04</t>
  </si>
  <si>
    <t xml:space="preserve">M6 delta evidence bundle</t>
  </si>
  <si>
    <t xml:space="preserve">TST-20.1.01</t>
  </si>
  <si>
    <t xml:space="preserve">M7 course connector test deltas</t>
  </si>
  <si>
    <t xml:space="preserve">TST-20.2.01</t>
  </si>
  <si>
    <t xml:space="preserve">1EdTech LTI 1.3 conformance run executed per supported LMS: Moodle, Canvas, and Open edX including AGS and NRPS</t>
  </si>
  <si>
    <t xml:space="preserve">1EdTech conformance certificates per LMS</t>
  </si>
  <si>
    <t xml:space="preserve">Conformance suite green on all three LMSs with the maintained LTI library; certification record filed</t>
  </si>
  <si>
    <t xml:space="preserve">Loop4 4b M7</t>
  </si>
  <si>
    <t xml:space="preserve">TST-20.2.02</t>
  </si>
  <si>
    <t xml:space="preserve">Launch-replay attack test executed: replayed id_tokens, nonce reuse, deployment-ID confusion, and JWKS cache-poisoning attempts</t>
  </si>
  <si>
    <t xml:space="preserve">Attack test report</t>
  </si>
  <si>
    <t xml:space="preserve">100% of replay and confusion attacks rejected; zero forged launches succeed</t>
  </si>
  <si>
    <t xml:space="preserve">REV D M7 P0</t>
  </si>
  <si>
    <t xml:space="preserve">TST-20.2.03</t>
  </si>
  <si>
    <t xml:space="preserve">Grade-passback reconciliation drill executed: 100 submissions with 10/50/100% injected AGS failure rates</t>
  </si>
  <si>
    <t xml:space="preserve">Reconciliation drill report</t>
  </si>
  <si>
    <t xml:space="preserve">All failures visible in dead-letter panel within 5 minutes; all grades reconciled to gradebook within 24 hours with zero manual entry</t>
  </si>
  <si>
    <t xml:space="preserve">Scenario 3</t>
  </si>
  <si>
    <t xml:space="preserve">TST-20.2.04</t>
  </si>
  <si>
    <t xml:space="preserve">Passback idempotency test executed: duplicate AGS retries after timeout for the same (lineitem, user, attempt)</t>
  </si>
  <si>
    <t xml:space="preserve">Exactly one gradebook line per attempt across all injected retries</t>
  </si>
  <si>
    <t xml:space="preserve">TST-20.2.05</t>
  </si>
  <si>
    <t xml:space="preserve">Cookie and iframe compatibility matrix executed: Safari/ITP and managed-browser launches across the LMS matrix</t>
  </si>
  <si>
    <t xml:space="preserve">Browser matrix report</t>
  </si>
  <si>
    <t xml:space="preserve">Launch success on 100% of the declared browser/LMS matrix or documented fallback shown to user</t>
  </si>
  <si>
    <t xml:space="preserve">REV D M7 P1</t>
  </si>
  <si>
    <t xml:space="preserve">TST-20.3.01</t>
  </si>
  <si>
    <t xml:space="preserve">M7 delta exit-gate evidence bundle assembled and reviewed</t>
  </si>
  <si>
    <t xml:space="preserve">TST-20.2.01, TST-20.2.05</t>
  </si>
  <si>
    <t xml:space="preserve">M7 delta evidence bundle</t>
  </si>
  <si>
    <t xml:space="preserve">TST-21.1.01</t>
  </si>
  <si>
    <t xml:space="preserve">M8 quiz grading test deltas</t>
  </si>
  <si>
    <t xml:space="preserve">TST-21.2.01</t>
  </si>
  <si>
    <t xml:space="preserve">Scenario-1 burst test executed: 10000 scripted submissions in 5 minutes with 5% client retries and 2% forced M7 timeouts</t>
  </si>
  <si>
    <t xml:space="preserve">Zero duplicate grades; zero lost scores; reconciliation report empty; p95 submit acknowledgement under 2 seconds</t>
  </si>
  <si>
    <t xml:space="preserve">TST-21.2.02</t>
  </si>
  <si>
    <t xml:space="preserve">Grading-saga partial-failure suite executed: faults injected at each step (local commit, xAPI emit, grade passback)</t>
  </si>
  <si>
    <t xml:space="preserve">Fault-injection suite report</t>
  </si>
  <si>
    <t xml:space="preserve">Every partial state converges to consistency via outbox/reconciliation; audit chain complete for every attempt</t>
  </si>
  <si>
    <t xml:space="preserve">TST-21.2.03</t>
  </si>
  <si>
    <t xml:space="preserve">Submission idempotency test executed: duplicate attempt UUIDs submitted across API and UI</t>
  </si>
  <si>
    <t xml:space="preserve">Idempotency report</t>
  </si>
  <si>
    <t xml:space="preserve">Exactly one attempt record and one grade per attempt UUID</t>
  </si>
  <si>
    <t xml:space="preserve">TST-21.2.04</t>
  </si>
  <si>
    <t xml:space="preserve">Client durable-buffer test executed: quiz answers persist in browser storage through a 45-minute auth outage and replay</t>
  </si>
  <si>
    <t xml:space="preserve">Buffer replay test log</t>
  </si>
  <si>
    <t xml:space="preserve">Zero lost submitted answers after identity recovery; replay is idempotent</t>
  </si>
  <si>
    <t xml:space="preserve">TST-21.2.05</t>
  </si>
  <si>
    <t xml:space="preserve">Attempt audit-record test executed: every attempt links submission hash, statement ID, and passback attempts with LMS responses</t>
  </si>
  <si>
    <t xml:space="preserve">Audit chain query results</t>
  </si>
  <si>
    <t xml:space="preserve">100% of test attempts reconstructable from the audit record alone</t>
  </si>
  <si>
    <t xml:space="preserve">TST-21.3.01</t>
  </si>
  <si>
    <t xml:space="preserve">M8 delta exit-gate evidence bundle assembled and reviewed</t>
  </si>
  <si>
    <t xml:space="preserve">TST-21.2.01, TST-21.2.05</t>
  </si>
  <si>
    <t xml:space="preserve">M8 delta evidence bundle</t>
  </si>
  <si>
    <t xml:space="preserve">TST-22.1.01</t>
  </si>
  <si>
    <t xml:space="preserve">M9 eBook test deltas</t>
  </si>
  <si>
    <t xml:space="preserve">TST-22.2.01</t>
  </si>
  <si>
    <t xml:space="preserve">Conversion-fidelity test executed on the reference manual: tables, figures, warnings, and cautions verified preserved</t>
  </si>
  <si>
    <t xml:space="preserve">Sampled human review sheet</t>
  </si>
  <si>
    <t xml:space="preserve">100% of warnings/cautions preserved; table/figure fidelity at or above the agreed sampling threshold</t>
  </si>
  <si>
    <t xml:space="preserve">REV D M9 P1</t>
  </si>
  <si>
    <t xml:space="preserve">TST-22.2.02</t>
  </si>
  <si>
    <t xml:space="preserve">Malicious-upload fuzzing executed against the conversion worker with crafted PDFs</t>
  </si>
  <si>
    <t xml:space="preserve">Zero code execution or sandbox escapes; malformed files quarantined</t>
  </si>
  <si>
    <t xml:space="preserve">TST-22.2.03</t>
  </si>
  <si>
    <t xml:space="preserve">Reading-heartbeat load test executed at the modeled event volume through M3</t>
  </si>
  <si>
    <t xml:space="preserve">M3 ingest and reader p95 within SLO at modeled heartbeat volume</t>
  </si>
  <si>
    <t xml:space="preserve">REV D M9 P2</t>
  </si>
  <si>
    <t xml:space="preserve">TST-22.2.04</t>
  </si>
  <si>
    <t xml:space="preserve">Indic-script rendering test executed: Devanagari sample content through conversion pipeline and reader</t>
  </si>
  <si>
    <t xml:space="preserve">Script rendering evidence</t>
  </si>
  <si>
    <t xml:space="preserve">Zero glyph corruption or shaping errors in converted and rendered Devanagari content</t>
  </si>
  <si>
    <t xml:space="preserve">NEW: V-D3</t>
  </si>
  <si>
    <t xml:space="preserve">TST-22.2.05</t>
  </si>
  <si>
    <t xml:space="preserve">Screen-reader pass executed specifically on converted manual content including tables and warnings</t>
  </si>
  <si>
    <t xml:space="preserve">Screen-reader session log</t>
  </si>
  <si>
    <t xml:space="preserve">Converted structures announced correctly; zero blocking issues on reference manual</t>
  </si>
  <si>
    <t xml:space="preserve">TST-22.3.01</t>
  </si>
  <si>
    <t xml:space="preserve">M9 delta exit-gate evidence bundle assembled and reviewed</t>
  </si>
  <si>
    <t xml:space="preserve">TST-22.2.01, TST-22.2.05</t>
  </si>
  <si>
    <t xml:space="preserve">M9 delta evidence bundle</t>
  </si>
  <si>
    <t xml:space="preserve">TST-23.1.01</t>
  </si>
  <si>
    <t xml:space="preserve">M10 dashboards test deltas</t>
  </si>
  <si>
    <t xml:space="preserve">TST-23.2.01</t>
  </si>
  <si>
    <t xml:space="preserve">Multi-tenant cache fuzz test executed: Redis keys fuzzed across tenants under concurrent load</t>
  </si>
  <si>
    <t xml:space="preserve">Cache fuzz report</t>
  </si>
  <si>
    <t xml:space="preserve">Zero wrong-tenant dashboard renders; all cache keys verified tenant-prefixed</t>
  </si>
  <si>
    <t xml:space="preserve">REV D M10 P1</t>
  </si>
  <si>
    <t xml:space="preserve">TST-23.2.02</t>
  </si>
  <si>
    <t xml:space="preserve">Redis flush-rebuild drill executed: cache flushed under active teacher load</t>
  </si>
  <si>
    <t xml:space="preserve">Flush drill log</t>
  </si>
  <si>
    <t xml:space="preserve">Rebuild path serves correct data within the declared window; zero stale-forever entries</t>
  </si>
  <si>
    <t xml:space="preserve">TST-23.2.03</t>
  </si>
  <si>
    <t xml:space="preserve">Aggregate-consistency test executed: dashboard numbers compared with M6 mart export on fixtures</t>
  </si>
  <si>
    <t xml:space="preserve">Consistency worksheet</t>
  </si>
  <si>
    <t xml:space="preserve">Zero divergence between dashboard aggregates and mart exports on fixture data</t>
  </si>
  <si>
    <t xml:space="preserve">REV D M10 P2</t>
  </si>
  <si>
    <t xml:space="preserve">TST-23.2.04</t>
  </si>
  <si>
    <t xml:space="preserve">Undelivered-grades panel test executed: injected passback failures surface in the teacher view</t>
  </si>
  <si>
    <t xml:space="preserve">Panel test evidence</t>
  </si>
  <si>
    <t xml:space="preserve">100% of injected undelivered grades visible to the teacher within 5 minutes</t>
  </si>
  <si>
    <t xml:space="preserve">TST-23.3.01</t>
  </si>
  <si>
    <t xml:space="preserve">M10 delta exit-gate evidence bundle assembled and reviewed</t>
  </si>
  <si>
    <t xml:space="preserve">TST-23.2.01, TST-23.2.04</t>
  </si>
  <si>
    <t xml:space="preserve">M10 delta evidence bundle</t>
  </si>
  <si>
    <t xml:space="preserve">TST-24.1.01</t>
  </si>
  <si>
    <t xml:space="preserve">M11 at-risk test deltas</t>
  </si>
  <si>
    <t xml:space="preserve">TST-24.2.01</t>
  </si>
  <si>
    <t xml:space="preserve">Scenario-5 sync-watermark false-positive suite executed: synthetic learner with 7 days of device-queued events</t>
  </si>
  <si>
    <t xml:space="preserve">No red flag (or low-confidence only) before sync; full retraction propagated to Redis, M10, and M13 within one scoring cycle after sync</t>
  </si>
  <si>
    <t xml:space="preserve">TST-24.2.02</t>
  </si>
  <si>
    <t xml:space="preserve">Signal schema conformance test executed: every risk signal carries confidence and data-completeness fields</t>
  </si>
  <si>
    <t xml:space="preserve">Schema audit results</t>
  </si>
  <si>
    <t xml:space="preserve">100% of emitted signals carry valid confidence and completeness values</t>
  </si>
  <si>
    <t xml:space="preserve">TST-24.2.03</t>
  </si>
  <si>
    <t xml:space="preserve">Teacher dismiss-and-appeal workflow test executed: one-click dismiss recorded as labeled feedback</t>
  </si>
  <si>
    <t xml:space="preserve">Workflow test log</t>
  </si>
  <si>
    <t xml:space="preserve">Dismiss action removes the flag, notifies M13, and stores a labeled feedback record</t>
  </si>
  <si>
    <t xml:space="preserve">TST-24.2.04</t>
  </si>
  <si>
    <t xml:space="preserve">Precision/recall evaluation executed on labeled pilot outcomes with a bias check on low-connectivity cohorts</t>
  </si>
  <si>
    <t xml:space="preserve">Evaluation report</t>
  </si>
  <si>
    <t xml:space="preserve">Precision and recall at or above agreed floors; no statistically significant penalty for low-connectivity cohorts</t>
  </si>
  <si>
    <t xml:space="preserve">REV D M11 P1</t>
  </si>
  <si>
    <t xml:space="preserve">TST-24.2.05</t>
  </si>
  <si>
    <t xml:space="preserve">Redis-loss degradation test executed: risk state store lost while M13 consumes signals</t>
  </si>
  <si>
    <t xml:space="preserve">Degradation test log</t>
  </si>
  <si>
    <t xml:space="preserve">Consumers see explicit stale/unavailable state; zero silently frozen risk scores</t>
  </si>
  <si>
    <t xml:space="preserve">TST-24.3.01</t>
  </si>
  <si>
    <t xml:space="preserve">M11 delta exit-gate evidence bundle assembled and reviewed</t>
  </si>
  <si>
    <t xml:space="preserve">TST-24.2.01, TST-24.2.05</t>
  </si>
  <si>
    <t xml:space="preserve">M11 delta evidence bundle</t>
  </si>
  <si>
    <t xml:space="preserve">TST-25.1.01</t>
  </si>
  <si>
    <t xml:space="preserve">M12 skill tests deltas</t>
  </si>
  <si>
    <t xml:space="preserve">TST-25.2.01</t>
  </si>
  <si>
    <t xml:space="preserve">Evidence-chain write rejection test executed: official-record writes lacking statement IDs, item version, rubric version, model+prompt version, or named approver</t>
  </si>
  <si>
    <t xml:space="preserve">Rejection test report</t>
  </si>
  <si>
    <t xml:space="preserve">100% of incomplete evidence-chain writes rejected by M3 at contract level</t>
  </si>
  <si>
    <t xml:space="preserve">TST-25.2.02</t>
  </si>
  <si>
    <t xml:space="preserve">Official-record evidence-chain audit walk executed: record reconstructed after simulated 2 years and a grading-model upgrade</t>
  </si>
  <si>
    <t xml:space="preserve">Audit walk report</t>
  </si>
  <si>
    <t xml:space="preserve">Complete evidence bundle reproduced from the record alone by an independent auditor</t>
  </si>
  <si>
    <t xml:space="preserve">TST-25.2.03</t>
  </si>
  <si>
    <t xml:space="preserve">Revocation drill executed: revocation record issued against a test official record</t>
  </si>
  <si>
    <t xml:space="preserve">Revocation drill log</t>
  </si>
  <si>
    <t xml:space="preserve">Revocation propagates to M14 and M10 within one processing cycle; original remains readable and marked superseded</t>
  </si>
  <si>
    <t xml:space="preserve">TST-25.2.04</t>
  </si>
  <si>
    <t xml:space="preserve">Appeal workflow test executed: dispute filed, evidence bundle auto-assembled, SME re-review, outcome recorded</t>
  </si>
  <si>
    <t xml:space="preserve">Appeal case record</t>
  </si>
  <si>
    <t xml:space="preserve">Full appeal completes in-product with outcome and rationale stored</t>
  </si>
  <si>
    <t xml:space="preserve">TST-25.2.05</t>
  </si>
  <si>
    <t xml:space="preserve">M19 reference conformance test executed: every official record references an M19 competency ID plus framework version</t>
  </si>
  <si>
    <t xml:space="preserve">Conformance query output</t>
  </si>
  <si>
    <t xml:space="preserve">Zero records written with informal skill tags; 100% carry M19 ID and version</t>
  </si>
  <si>
    <t xml:space="preserve">REV D M19 P0</t>
  </si>
  <si>
    <t xml:space="preserve">TST-25.3.01</t>
  </si>
  <si>
    <t xml:space="preserve">M12 delta exit-gate evidence bundle assembled and reviewed</t>
  </si>
  <si>
    <t xml:space="preserve">TST-25.2.01, TST-25.2.05</t>
  </si>
  <si>
    <t xml:space="preserve">M12 delta evidence bundle</t>
  </si>
  <si>
    <t xml:space="preserve">TST-26.1.01</t>
  </si>
  <si>
    <t xml:space="preserve">M13 adaptive test deltas</t>
  </si>
  <si>
    <t xml:space="preserve">TST-26.2.01</t>
  </si>
  <si>
    <t xml:space="preserve">Mandatory-activity invariant test executed: generated paths checked against required-content rules</t>
  </si>
  <si>
    <t xml:space="preserve">Invariant suite run</t>
  </si>
  <si>
    <t xml:space="preserve">Zero generated paths drop a mandatory activity across the fixture cohort</t>
  </si>
  <si>
    <t xml:space="preserve">REV D M28 gaps</t>
  </si>
  <si>
    <t xml:space="preserve">TST-26.2.02</t>
  </si>
  <si>
    <t xml:space="preserve">Path-change bound test executed: mid-session path changes limited to the declared policy maximum with instructor override</t>
  </si>
  <si>
    <t xml:space="preserve">Bound test report</t>
  </si>
  <si>
    <t xml:space="preserve">No learner path changes more than the policy maximum per session; override works and is audited</t>
  </si>
  <si>
    <t xml:space="preserve">REV D M13 P1</t>
  </si>
  <si>
    <t xml:space="preserve">TST-26.2.03</t>
  </si>
  <si>
    <t xml:space="preserve">Signal-degradation test executed: M11 signals absent, stale, or retracted during sequencing</t>
  </si>
  <si>
    <t xml:space="preserve">Sequencing falls back deterministically; retractions revert path changes up to the declared depth</t>
  </si>
  <si>
    <t xml:space="preserve">TST-26.2.04</t>
  </si>
  <si>
    <t xml:space="preserve">Decision-explainability check executed: sequencing decisions reproduced from logged inputs</t>
  </si>
  <si>
    <t xml:space="preserve">Replay comparison report</t>
  </si>
  <si>
    <t xml:space="preserve">100% of sampled decisions reproducible with a human-readable rationale</t>
  </si>
  <si>
    <t xml:space="preserve">TST-26.3.01</t>
  </si>
  <si>
    <t xml:space="preserve">M13 delta exit-gate evidence bundle assembled and reviewed</t>
  </si>
  <si>
    <t xml:space="preserve">TST-26.2.01, TST-26.2.04</t>
  </si>
  <si>
    <t xml:space="preserve">M13 delta evidence bundle</t>
  </si>
  <si>
    <t xml:space="preserve">TST-27.1.01</t>
  </si>
  <si>
    <t xml:space="preserve">M14 gap training deltas</t>
  </si>
  <si>
    <t xml:space="preserve">TST-27.2.01</t>
  </si>
  <si>
    <t xml:space="preserve">Ontology-consistency test executed: gap computation runs only on shared M19 vocabulary</t>
  </si>
  <si>
    <t xml:space="preserve">Build fails on any vocabulary mismatch between required and held skill sets</t>
  </si>
  <si>
    <t xml:space="preserve">REV D M14 P1</t>
  </si>
  <si>
    <t xml:space="preserve">TST-27.2.02</t>
  </si>
  <si>
    <t xml:space="preserve">Revocation-recompute test executed: official record revoked while a gap plan exists</t>
  </si>
  <si>
    <t xml:space="preserve">Recompute test log</t>
  </si>
  <si>
    <t xml:space="preserve">Gap plan recomputed within one processing cycle of the revocation event</t>
  </si>
  <si>
    <t xml:space="preserve">TST-27.2.03</t>
  </si>
  <si>
    <t xml:space="preserve">No-content dead-end test executed: gap computed for a skill with no available content</t>
  </si>
  <si>
    <t xml:space="preserve">Dead-end test evidence</t>
  </si>
  <si>
    <t xml:space="preserve">Supervisor notification raised; zero silent dead-ends</t>
  </si>
  <si>
    <t xml:space="preserve">REV D M14 P2</t>
  </si>
  <si>
    <t xml:space="preserve">TST-27.2.04</t>
  </si>
  <si>
    <t xml:space="preserve">Gap-accuracy validation executed against hand-computed fixture gap sets</t>
  </si>
  <si>
    <t xml:space="preserve">Accuracy worksheet</t>
  </si>
  <si>
    <t xml:space="preserve">Zero discrepancies between computed and hand-computed gaps on fixtures</t>
  </si>
  <si>
    <t xml:space="preserve">TST-27.3.01</t>
  </si>
  <si>
    <t xml:space="preserve">M14 delta exit-gate evidence bundle assembled and reviewed</t>
  </si>
  <si>
    <t xml:space="preserve">TST-27.2.01, TST-27.2.04</t>
  </si>
  <si>
    <t xml:space="preserve">M14 delta evidence bundle</t>
  </si>
  <si>
    <t xml:space="preserve">TST-28.1.01</t>
  </si>
  <si>
    <t xml:space="preserve">M15 expert chatbot deltas</t>
  </si>
  <si>
    <t xml:space="preserve">TST-28.2.01</t>
  </si>
  <si>
    <t xml:space="preserve">Groundedness and citation-correctness evaluation executed on the fixed manual corpus on pinned hosted AND local models</t>
  </si>
  <si>
    <t xml:space="preserve">TST-28.1.01, PLT-01.1.01</t>
  </si>
  <si>
    <t xml:space="preserve">Eval harness report</t>
  </si>
  <si>
    <t xml:space="preserve">Groundedness and citation scores at or above published gates on both configurations</t>
  </si>
  <si>
    <t xml:space="preserve">Loop4 4b M15</t>
  </si>
  <si>
    <t xml:space="preserve">TST-28.2.02</t>
  </si>
  <si>
    <t xml:space="preserve">Scenario-4 stale-manual drill executed: test manual revised; time-to-non-retrievable measured on connected and enclave stacks</t>
  </si>
  <si>
    <t xml:space="preserve">Supersession drill report</t>
  </si>
  <si>
    <t xml:space="preserve">Tombstone blocks retrieval immediately on manifest application; citations show revision; audit lists every session that touched the old revision</t>
  </si>
  <si>
    <t xml:space="preserve">Scenario 4</t>
  </si>
  <si>
    <t xml:space="preserve">TST-28.2.03</t>
  </si>
  <si>
    <t xml:space="preserve">Injection suite executed: 50+ seeded attack documents across two tenants on hosted and exact quantized enclave models</t>
  </si>
  <si>
    <t xml:space="preserve">Injection benchmark report</t>
  </si>
  <si>
    <t xml:space="preserve">Zero cross-ACL leakage and zero instruction-following on both model configurations</t>
  </si>
  <si>
    <t xml:space="preserve">TST-28.2.04</t>
  </si>
  <si>
    <t xml:space="preserve">Cross-tenant retrieval negative suite executed against per-tenant indexes and per-query ACL filters</t>
  </si>
  <si>
    <t xml:space="preserve">Adversarial retrieval report</t>
  </si>
  <si>
    <t xml:space="preserve">Zero foreign-tenant chunks retrieved across the adversarial query corpus</t>
  </si>
  <si>
    <t xml:space="preserve">REV D M15 P0</t>
  </si>
  <si>
    <t xml:space="preserve">TST-28.2.05</t>
  </si>
  <si>
    <t xml:space="preserve">Refusal-correctness evaluation executed on the unanswerable question set</t>
  </si>
  <si>
    <t xml:space="preserve">Refusal eval report</t>
  </si>
  <si>
    <t xml:space="preserve">Refusal rate on unanswerable set at or above gate; zero confident fabrications in sample review</t>
  </si>
  <si>
    <t xml:space="preserve">TST-28.3.01</t>
  </si>
  <si>
    <t xml:space="preserve">M15 delta exit-gate evidence bundle assembled and reviewed</t>
  </si>
  <si>
    <t xml:space="preserve">TST-28.2.01, TST-28.2.05</t>
  </si>
  <si>
    <t xml:space="preserve">M15 delta evidence bundle</t>
  </si>
  <si>
    <t xml:space="preserve">TST-29.1.01</t>
  </si>
  <si>
    <t xml:space="preserve">M16 simulator store deltas</t>
  </si>
  <si>
    <t xml:space="preserve">TST-29.2.01</t>
  </si>
  <si>
    <t xml:space="preserve">60-day-offline reconnect test executed: device syncs stored events after a simulated 60-day offline period including credential re-enrollment</t>
  </si>
  <si>
    <t xml:space="preserve">Reconnect test report</t>
  </si>
  <si>
    <t xml:space="preserve">Zero lost and zero duplicate events; device re-authenticates via the defined re-enrollment path</t>
  </si>
  <si>
    <t xml:space="preserve">TST-29.2.02</t>
  </si>
  <si>
    <t xml:space="preserve">Scenario-6 sync-burst test executed: 500 virtual clients with 200 events each, 30% mid-batch disconnects, 5% clock skew of ±48 hours</t>
  </si>
  <si>
    <t xml:space="preserve">Zero lost and zero duplicate statements in M2; all devices show synced in fleet telemetry; weekly aggregates recomputed correctly</t>
  </si>
  <si>
    <t xml:space="preserve">TST-29.2.03</t>
  </si>
  <si>
    <t xml:space="preserve">Package signature-verification test executed: unsigned and tampered simulator packages presented for install</t>
  </si>
  <si>
    <t xml:space="preserve">Signing test report</t>
  </si>
  <si>
    <t xml:space="preserve">100% of unsigned/tampered packages blocked with a logged event</t>
  </si>
  <si>
    <t xml:space="preserve">REV D M16 P1</t>
  </si>
  <si>
    <t xml:space="preserve">TST-29.2.04</t>
  </si>
  <si>
    <t xml:space="preserve">Deactivated-user upload test executed: revoked user's device uploads queued events post-revocation</t>
  </si>
  <si>
    <t xml:space="preserve">Revoked-upload test log</t>
  </si>
  <si>
    <t xml:space="preserve">Upload rejected and flagged for review; zero official-adjacent records written for revoked users</t>
  </si>
  <si>
    <t xml:space="preserve">REV D M16 P2</t>
  </si>
  <si>
    <t xml:space="preserve">TST-29.3.01</t>
  </si>
  <si>
    <t xml:space="preserve">M16 delta exit-gate evidence bundle assembled and reviewed</t>
  </si>
  <si>
    <t xml:space="preserve">TST-29.2.01, TST-29.2.04</t>
  </si>
  <si>
    <t xml:space="preserve">M16 delta evidence bundle</t>
  </si>
  <si>
    <t xml:space="preserve">TST-30.1.01</t>
  </si>
  <si>
    <t xml:space="preserve">M17 ELRR test deltas</t>
  </si>
  <si>
    <t xml:space="preserve">TST-30.2.01</t>
  </si>
  <si>
    <t xml:space="preserve">Conflicting-assertion ingestion test executed: two simulated command LRSs roll up conflicting official records for one matched learner</t>
  </si>
  <si>
    <t xml:space="preserve">Federation conformance report</t>
  </si>
  <si>
    <t xml:space="preserve">Conflict auto-flagged not auto-resolved; both provenances displayed; adjudication workflow produces a signed resolution</t>
  </si>
  <si>
    <t xml:space="preserve">TST-30.2.02</t>
  </si>
  <si>
    <t xml:space="preserve">Provenance query test executed: arbitrary ELRR records traced to origin LRS, transfer batch, and transformations</t>
  </si>
  <si>
    <t xml:space="preserve">Provenance query results</t>
  </si>
  <si>
    <t xml:space="preserve">100% of sampled records resolve full provenance in a single query</t>
  </si>
  <si>
    <t xml:space="preserve">TST-30.2.03</t>
  </si>
  <si>
    <t xml:space="preserve">Learner match-collision drill executed: colliding identities routed to human adjudication with merge and unmerge</t>
  </si>
  <si>
    <t xml:space="preserve">Match drill log</t>
  </si>
  <si>
    <t xml:space="preserve">Zero automatic merges on collision; merge and unmerge both complete with full audit trail</t>
  </si>
  <si>
    <t xml:space="preserve">TST-30.2.04</t>
  </si>
  <si>
    <t xml:space="preserve">Revocation-propagation SLA test executed including one simulated air-gap media hop</t>
  </si>
  <si>
    <t xml:space="preserve">Propagation timing report</t>
  </si>
  <si>
    <t xml:space="preserve">Revocation reflected at the ELRR and downstream gap views within the declared SLA per boundary class</t>
  </si>
  <si>
    <t xml:space="preserve">TST-30.2.05</t>
  </si>
  <si>
    <t xml:space="preserve">Ingestion reconciliation test executed: origin-vs-destination counts and checksums compared after transfer drills</t>
  </si>
  <si>
    <t xml:space="preserve">Reconciliation report</t>
  </si>
  <si>
    <t xml:space="preserve">Zero unaccounted records; duplicate batches deduplicated idempotently</t>
  </si>
  <si>
    <t xml:space="preserve">TST-30.3.01</t>
  </si>
  <si>
    <t xml:space="preserve">M17 delta exit-gate evidence bundle assembled and reviewed</t>
  </si>
  <si>
    <t xml:space="preserve">TST-30.2.01, TST-30.2.05</t>
  </si>
  <si>
    <t xml:space="preserve">M17 delta evidence bundle</t>
  </si>
  <si>
    <t xml:space="preserve">TST-31.1.01</t>
  </si>
  <si>
    <t xml:space="preserve">M18 ECC test deltas</t>
  </si>
  <si>
    <t xml:space="preserve">TST-31.2.01</t>
  </si>
  <si>
    <t xml:space="preserve">Publish-gate metadata test executed: publish attempts with incomplete mandatory metadata</t>
  </si>
  <si>
    <t xml:space="preserve">Publish-gate test report</t>
  </si>
  <si>
    <t xml:space="preserve">100% of incomplete publishes blocked; zero warn-and-proceed paths</t>
  </si>
  <si>
    <t xml:space="preserve">REV D M18 AC</t>
  </si>
  <si>
    <t xml:space="preserve">TST-31.2.02</t>
  </si>
  <si>
    <t xml:space="preserve">Catalogue search-precision benchmark executed per supported language on the fixture query set</t>
  </si>
  <si>
    <t xml:space="preserve">Search benchmark report</t>
  </si>
  <si>
    <t xml:space="preserve">Precision at or above the agreed target for each committed language tier</t>
  </si>
  <si>
    <t xml:space="preserve">TST-31.2.03</t>
  </si>
  <si>
    <t xml:space="preserve">Lineage-field conformance audit executed: every catalogue entry carries source-manual revision lineage</t>
  </si>
  <si>
    <t xml:space="preserve">Lineage audit query</t>
  </si>
  <si>
    <t xml:space="preserve">100% of entries carry valid lineage fields enabling Scenario-4 blast-radius computation</t>
  </si>
  <si>
    <t xml:space="preserve">TST-31.2.04</t>
  </si>
  <si>
    <t xml:space="preserve">Duplicate-publication test executed: the same activity published twice from M22</t>
  </si>
  <si>
    <t xml:space="preserve">Dedup test log</t>
  </si>
  <si>
    <t xml:space="preserve">Single catalogue entry results; duplicate flagged to the publisher</t>
  </si>
  <si>
    <t xml:space="preserve">REV D M18 gaps</t>
  </si>
  <si>
    <t xml:space="preserve">TST-31.3.01</t>
  </si>
  <si>
    <t xml:space="preserve">M18 delta exit-gate evidence bundle assembled and reviewed</t>
  </si>
  <si>
    <t xml:space="preserve">TST-31.2.01, TST-31.2.04</t>
  </si>
  <si>
    <t xml:space="preserve">M18 delta evidence bundle</t>
  </si>
  <si>
    <t xml:space="preserve">TST-32.1.01</t>
  </si>
  <si>
    <t xml:space="preserve">M19 registry test deltas</t>
  </si>
  <si>
    <t xml:space="preserve">TST-32.2.01</t>
  </si>
  <si>
    <t xml:space="preserve">Framework version-migration test executed: framework v2 loaded while historical official records reference v1</t>
  </si>
  <si>
    <t xml:space="preserve">Version-migration test report</t>
  </si>
  <si>
    <t xml:space="preserve">Historical records still resolve to their original v1 definitions after upgrade; zero broken references</t>
  </si>
  <si>
    <t xml:space="preserve">Loop4 4b M19</t>
  </si>
  <si>
    <t xml:space="preserve">TST-32.2.02</t>
  </si>
  <si>
    <t xml:space="preserve">Third-party framework-load test executed (MOSA): external engineer loads a real competency framework from published docs alone</t>
  </si>
  <si>
    <t xml:space="preserve">Third-party load session record</t>
  </si>
  <si>
    <t xml:space="preserve">Framework loaded successfully with zero assistance from the module team</t>
  </si>
  <si>
    <t xml:space="preserve">REV D M19 AC</t>
  </si>
  <si>
    <t xml:space="preserve">TST-32.2.03</t>
  </si>
  <si>
    <t xml:space="preserve">Language-neutrality test executed: assessments in Hindi and English assert against the same competency ID</t>
  </si>
  <si>
    <t xml:space="preserve">Neutrality test report</t>
  </si>
  <si>
    <t xml:space="preserve">Both language paths resolve to one language-neutral competency with localized labels</t>
  </si>
  <si>
    <t xml:space="preserve">NEW: V-F5</t>
  </si>
  <si>
    <t xml:space="preserve">TST-32.2.04</t>
  </si>
  <si>
    <t xml:space="preserve">Consumer contract-conformance suite executed for M12, M14, M29, and M36 registry clients</t>
  </si>
  <si>
    <t xml:space="preserve">Consumer suite CI run</t>
  </si>
  <si>
    <t xml:space="preserve">All four consumer clients pass the registry contract suite</t>
  </si>
  <si>
    <t xml:space="preserve">REV D M19 gaps</t>
  </si>
  <si>
    <t xml:space="preserve">TST-32.2.05</t>
  </si>
  <si>
    <t xml:space="preserve">Deprecation-behavior test executed: deprecated competency used in a new record write</t>
  </si>
  <si>
    <t xml:space="preserve">Deprecation test log</t>
  </si>
  <si>
    <t xml:space="preserve">New writes against deprecated competencies blocked; historical records remain readable</t>
  </si>
  <si>
    <t xml:space="preserve">TST-32.3.01</t>
  </si>
  <si>
    <t xml:space="preserve">M19 delta exit-gate evidence bundle assembled and reviewed</t>
  </si>
  <si>
    <t xml:space="preserve">TST-32.2.01, TST-32.2.05</t>
  </si>
  <si>
    <t xml:space="preserve">M19 delta evidence bundle</t>
  </si>
  <si>
    <t xml:space="preserve">TST-33.1.01</t>
  </si>
  <si>
    <t xml:space="preserve">M20 learner profile deltas</t>
  </si>
  <si>
    <t xml:space="preserve">TST-33.2.01</t>
  </si>
  <si>
    <t xml:space="preserve">DPDP erasure drill executed on profiles: erasure request removes or anonymizes profile including inferred fields (risk scores, preferences)</t>
  </si>
  <si>
    <t xml:space="preserve">Zero residual profile PII including derived fields within the declared SLA</t>
  </si>
  <si>
    <t xml:space="preserve">TST-33.2.02</t>
  </si>
  <si>
    <t xml:space="preserve">Shadow-copy negative test executed: profile stores pointers to ELRR records rather than duplicated history</t>
  </si>
  <si>
    <t xml:space="preserve">Boundary audit query</t>
  </si>
  <si>
    <t xml:space="preserve">Zero duplicated ELRR history rows found in the profile store</t>
  </si>
  <si>
    <t xml:space="preserve">REV D M20 boundary</t>
  </si>
  <si>
    <t xml:space="preserve">TST-33.2.03</t>
  </si>
  <si>
    <t xml:space="preserve">Profile-exchange demonstration executed with one named external system via the published TLA contract</t>
  </si>
  <si>
    <t xml:space="preserve">Exchange demo record</t>
  </si>
  <si>
    <t xml:space="preserve">Profile exchanged with zero manual re-entry; dated and witnessed (CMM L3 evidence event)</t>
  </si>
  <si>
    <t xml:space="preserve">REV D M20 AC</t>
  </si>
  <si>
    <t xml:space="preserve">TST-33.2.04</t>
  </si>
  <si>
    <t xml:space="preserve">PII-classification audit executed: every profile field carries an approved classification</t>
  </si>
  <si>
    <t xml:space="preserve">Classification audit sheet</t>
  </si>
  <si>
    <t xml:space="preserve">100% of fields classified; zero unclassified inferred-data fields</t>
  </si>
  <si>
    <t xml:space="preserve">REV D M20 P2</t>
  </si>
  <si>
    <t xml:space="preserve">TST-33.3.01</t>
  </si>
  <si>
    <t xml:space="preserve">M20 delta exit-gate evidence bundle assembled and reviewed</t>
  </si>
  <si>
    <t xml:space="preserve">TST-33.2.01, TST-33.2.04</t>
  </si>
  <si>
    <t xml:space="preserve">M20 delta evidence bundle</t>
  </si>
  <si>
    <t xml:space="preserve">TST-34.1.01</t>
  </si>
  <si>
    <t xml:space="preserve">M21 CMM program deltas</t>
  </si>
  <si>
    <t xml:space="preserve">TST-STD template executed and evidence bundle linked (applicable sections; software sections waived in writing)</t>
  </si>
  <si>
    <t xml:space="preserve">TST-34.2.01</t>
  </si>
  <si>
    <t xml:space="preserve">CMM L2 side-channel audit executed: demonstration workload verified to flow 100% through M3 with zero side-channel writes</t>
  </si>
  <si>
    <t xml:space="preserve">Audit query results</t>
  </si>
  <si>
    <t xml:space="preserve">Zero learning-event writes bypassing M3 during the demonstration window</t>
  </si>
  <si>
    <t xml:space="preserve">REV D M21 AC</t>
  </si>
  <si>
    <t xml:space="preserve">TST-34.2.02</t>
  </si>
  <si>
    <t xml:space="preserve">Independent-deployment test executed: each claimed microservice deployed and contract-tested standalone</t>
  </si>
  <si>
    <t xml:space="preserve">Standalone deploy CI runs</t>
  </si>
  <si>
    <t xml:space="preserve">Every claimed service deploys and passes its contract suite in isolation</t>
  </si>
  <si>
    <t xml:space="preserve">REV D M21 gaps</t>
  </si>
  <si>
    <t xml:space="preserve">TST-34.2.03</t>
  </si>
  <si>
    <t xml:space="preserve">CMM L3 interoperability demonstration executed with a named external system, dated and third-party witnessed</t>
  </si>
  <si>
    <t xml:space="preserve">TST-34.1.01, TST-33.2.03</t>
  </si>
  <si>
    <t xml:space="preserve">Witnessed demonstration record</t>
  </si>
  <si>
    <t xml:space="preserve">Dated demonstration record signed by the external witness</t>
  </si>
  <si>
    <t xml:space="preserve">TST-34.2.04</t>
  </si>
  <si>
    <t xml:space="preserve">Level-claim evidence audit executed: every claimed CMM level cites dated demonstration records</t>
  </si>
  <si>
    <t xml:space="preserve">Evidence pack review</t>
  </si>
  <si>
    <t xml:space="preserve">Zero level claims without a citable dated demonstration</t>
  </si>
  <si>
    <t xml:space="preserve">REV D M21 P1</t>
  </si>
  <si>
    <t xml:space="preserve">TST-34.3.01</t>
  </si>
  <si>
    <t xml:space="preserve">M21 delta exit-gate evidence bundle assembled and reviewed</t>
  </si>
  <si>
    <t xml:space="preserve">TST-34.2.01, TST-34.2.04</t>
  </si>
  <si>
    <t xml:space="preserve">M21 delta evidence bundle</t>
  </si>
  <si>
    <t xml:space="preserve">TST-35.1.01</t>
  </si>
  <si>
    <t xml:space="preserve">M22 DCT authoring deltas</t>
  </si>
  <si>
    <t xml:space="preserve">TST-35.2.01</t>
  </si>
  <si>
    <t xml:space="preserve">Publish-gate enforcement test executed: three negative cases (missing metadata, failed accessibility check, absent P2 sign-off)</t>
  </si>
  <si>
    <t xml:space="preserve">Publish demonstrably blocked (not warned) in all three negative cases</t>
  </si>
  <si>
    <t xml:space="preserve">REV D M22 AC</t>
  </si>
  <si>
    <t xml:space="preserve">TST-35.2.02</t>
  </si>
  <si>
    <t xml:space="preserve">Journey-16 end-to-end test executed: author lesson linked to an M19 competency, pass P2, publish to ECC, learner launch — connected and enclave</t>
  </si>
  <si>
    <t xml:space="preserve">E2E run evidence</t>
  </si>
  <si>
    <t xml:space="preserve">Full journey completes in both deployment modes with 100% mandatory metadata</t>
  </si>
  <si>
    <t xml:space="preserve">TST-35.2.03</t>
  </si>
  <si>
    <t xml:space="preserve">Publish-version rollback test executed: published lesson revised while learners are in-flight</t>
  </si>
  <si>
    <t xml:space="preserve">Rollback test log</t>
  </si>
  <si>
    <t xml:space="preserve">In-flight learner state uncorrupted; prior version retrievable</t>
  </si>
  <si>
    <t xml:space="preserve">REV D M22 gaps</t>
  </si>
  <si>
    <t xml:space="preserve">TST-35.2.04</t>
  </si>
  <si>
    <t xml:space="preserve">Variant-linkage test executed: a translation created as a linked derivative with master ID and source-revision pointer</t>
  </si>
  <si>
    <t xml:space="preserve">Variant record audit</t>
  </si>
  <si>
    <t xml:space="preserve">Zero translations creatable as independent documents; lineage fields mandatory</t>
  </si>
  <si>
    <t xml:space="preserve">TST-35.3.01</t>
  </si>
  <si>
    <t xml:space="preserve">M22 delta exit-gate evidence bundle assembled and reviewed</t>
  </si>
  <si>
    <t xml:space="preserve">TST-35.2.01, TST-35.2.04</t>
  </si>
  <si>
    <t xml:space="preserve">M22 delta evidence bundle</t>
  </si>
  <si>
    <t xml:space="preserve">TST-36.1.01</t>
  </si>
  <si>
    <t xml:space="preserve">M23 authoring chatbot deltas</t>
  </si>
  <si>
    <t xml:space="preserve">TST-STD template executed and evidence bundle linked (AI addendum mandatory)</t>
  </si>
  <si>
    <t xml:space="preserve">TST-36.2.01</t>
  </si>
  <si>
    <t xml:space="preserve">Draft-only enforcement test executed: AI-drafted content attempted to publish without a P2 review record</t>
  </si>
  <si>
    <t xml:space="preserve">Enforcement test report</t>
  </si>
  <si>
    <t xml:space="preserve">100% of AI-drafted publishes without P2 records blocked</t>
  </si>
  <si>
    <t xml:space="preserve">REV D M23 P1</t>
  </si>
  <si>
    <t xml:space="preserve">TST-36.2.02</t>
  </si>
  <si>
    <t xml:space="preserve">Suggestion-provenance test executed: AI-drafted items audited for provenance metadata</t>
  </si>
  <si>
    <t xml:space="preserve">Provenance audit</t>
  </si>
  <si>
    <t xml:space="preserve">100% of AI-drafted items carry source and model provenance</t>
  </si>
  <si>
    <t xml:space="preserve">REV D M23 gaps</t>
  </si>
  <si>
    <t xml:space="preserve">TST-36.2.03</t>
  </si>
  <si>
    <t xml:space="preserve">Author-acceptance benchmark executed on the enclave-approved local model against the fixed authoring task set</t>
  </si>
  <si>
    <t xml:space="preserve">TST-36.1.01, PLT-01.1.01</t>
  </si>
  <si>
    <t xml:space="preserve">Author acceptance rate at or above the agreed threshold on the local model</t>
  </si>
  <si>
    <t xml:space="preserve">REV D M23 AC</t>
  </si>
  <si>
    <t xml:space="preserve">TST-36.2.04</t>
  </si>
  <si>
    <t xml:space="preserve">Injection suite executed on the authoring corpus (Scenario-9 subset)</t>
  </si>
  <si>
    <t xml:space="preserve">Zero instruction-following and zero cross-corpus leakage</t>
  </si>
  <si>
    <t xml:space="preserve">TST-36.3.01</t>
  </si>
  <si>
    <t xml:space="preserve">M23 delta exit-gate evidence bundle assembled and reviewed</t>
  </si>
  <si>
    <t xml:space="preserve">TST-36.2.01, TST-36.2.04</t>
  </si>
  <si>
    <t xml:space="preserve">M23 delta evidence bundle</t>
  </si>
  <si>
    <t xml:space="preserve">TST-37.1.01</t>
  </si>
  <si>
    <t xml:space="preserve">M24 digitization deltas</t>
  </si>
  <si>
    <t xml:space="preserve">TST-37.2.01</t>
  </si>
  <si>
    <t xml:space="preserve">Per-script OCR quality-gate test executed: measured accuracy per script (Latin, Devanagari, plus committed scripts) on reference pages</t>
  </si>
  <si>
    <t xml:space="preserve">Per-script OCR accuracy report</t>
  </si>
  <si>
    <t xml:space="preserve">Accuracy at or above the per-script gate for every committed script; failures block pipeline</t>
  </si>
  <si>
    <t xml:space="preserve">Loop4 4b M24</t>
  </si>
  <si>
    <t xml:space="preserve">TST-37.2.02</t>
  </si>
  <si>
    <t xml:space="preserve">Warnings-and-cautions preservation audit executed on the reference manual with sampled human verification</t>
  </si>
  <si>
    <t xml:space="preserve">Preservation audit sheet</t>
  </si>
  <si>
    <t xml:space="preserve">100% of warnings/cautions preserved through structure extraction</t>
  </si>
  <si>
    <t xml:space="preserve">REV D M24 P1</t>
  </si>
  <si>
    <t xml:space="preserve">TST-37.2.03</t>
  </si>
  <si>
    <t xml:space="preserve">Accessibility stage-gate test executed: pipeline behavior on failed WCAG checks</t>
  </si>
  <si>
    <t xml:space="preserve">Gate test log</t>
  </si>
  <si>
    <t xml:space="preserve">Pipeline blocks (not warns) on failed accessibility checks</t>
  </si>
  <si>
    <t xml:space="preserve">REV D M24 gaps</t>
  </si>
  <si>
    <t xml:space="preserve">TST-37.2.04</t>
  </si>
  <si>
    <t xml:space="preserve">Lineage-stamping test executed: every produced eBook carries source-manual revision lineage</t>
  </si>
  <si>
    <t xml:space="preserve">100% of outputs carry valid revision lineage to the source manual</t>
  </si>
  <si>
    <t xml:space="preserve">TST-37.2.05</t>
  </si>
  <si>
    <t xml:space="preserve">Throughput baseline recorded: cost and pages-per-day measured on the reference manual run</t>
  </si>
  <si>
    <t xml:space="preserve">Throughput baseline memo</t>
  </si>
  <si>
    <t xml:space="preserve">Measured cost/throughput published as the production-planning baseline</t>
  </si>
  <si>
    <t xml:space="preserve">REV D M24 AC</t>
  </si>
  <si>
    <t xml:space="preserve">TST-37.3.01</t>
  </si>
  <si>
    <t xml:space="preserve">M24 delta exit-gate evidence bundle assembled and reviewed</t>
  </si>
  <si>
    <t xml:space="preserve">TST-37.2.01, TST-37.2.05</t>
  </si>
  <si>
    <t xml:space="preserve">M24 delta evidence bundle</t>
  </si>
  <si>
    <t xml:space="preserve">TST-38.1.01</t>
  </si>
  <si>
    <t xml:space="preserve">M25 TO connection deltas</t>
  </si>
  <si>
    <t xml:space="preserve">TST-38.2.01</t>
  </si>
  <si>
    <t xml:space="preserve">Revision-propagation SLA test executed: injected test revision; 100% of affected artifacts flagged within detection SLA and superseded chunks non-retrievable within supersession SLA, connected and via simulated enclave media</t>
  </si>
  <si>
    <t xml:space="preserve">Propagation drill report</t>
  </si>
  <si>
    <t xml:space="preserve">Both SLAs met with an auditable trail in both deployment modes</t>
  </si>
  <si>
    <t xml:space="preserve">TST-38.2.02</t>
  </si>
  <si>
    <t xml:space="preserve">Scenario-16 bilingual supersession drill executed: English source revised with a linked Hindi variant live</t>
  </si>
  <si>
    <t xml:space="preserve">TST-38.1.01, TST-35.2.04</t>
  </si>
  <si>
    <t xml:space="preserve">Hindi variant flagged stale within one cycle; in-language learner warning shown; stale-linked quiz items blocked from official assessments; audit query returns exact exposed learner and record lists</t>
  </si>
  <si>
    <t xml:space="preserve">TST-38.2.03</t>
  </si>
  <si>
    <t xml:space="preserve">Blast-radius accuracy test executed: computed affected-artifact set compared with the ground-truth fixture set</t>
  </si>
  <si>
    <t xml:space="preserve">Blast-radius comparison</t>
  </si>
  <si>
    <t xml:space="preserve">Computed set equals ground truth with zero misses</t>
  </si>
  <si>
    <t xml:space="preserve">TST-38.2.04</t>
  </si>
  <si>
    <t xml:space="preserve">Prolonged-disconnection drill executed: simulated 6-month enclave gap</t>
  </si>
  <si>
    <t xml:space="preserve">Disconnection drill log</t>
  </si>
  <si>
    <t xml:space="preserve">Unverifiable-currency content visibly labeled to learners after the threshold</t>
  </si>
  <si>
    <t xml:space="preserve">Scenario 13</t>
  </si>
  <si>
    <t xml:space="preserve">TST-38.3.01</t>
  </si>
  <si>
    <t xml:space="preserve">M25 delta exit-gate evidence bundle assembled and reviewed</t>
  </si>
  <si>
    <t xml:space="preserve">TST-38.2.01, TST-38.2.04</t>
  </si>
  <si>
    <t xml:space="preserve">M25 delta evidence bundle</t>
  </si>
  <si>
    <t xml:space="preserve">TST-39.1.01</t>
  </si>
  <si>
    <t xml:space="preserve">M26 learner chatbot deltas</t>
  </si>
  <si>
    <t xml:space="preserve">TST-39.2.01</t>
  </si>
  <si>
    <t xml:space="preserve">Per-language evaluation executed: groundedness, citation correctness, refusal, and hallucination gates on the enclave local model on target GPU hardware for every committed language</t>
  </si>
  <si>
    <t xml:space="preserve">TST-39.1.01, PLT-01.1.01</t>
  </si>
  <si>
    <t xml:space="preserve">Per-language eval report</t>
  </si>
  <si>
    <t xml:space="preserve">All gates met per committed language on the pinned local model on target hardware</t>
  </si>
  <si>
    <t xml:space="preserve">NEW: V-F1</t>
  </si>
  <si>
    <t xml:space="preserve">TST-39.2.02</t>
  </si>
  <si>
    <t xml:space="preserve">Hosted-vs-local delta measured on the fixed eval set and accepted by the customer in writing</t>
  </si>
  <si>
    <t xml:space="preserve">Signed delta acceptance</t>
  </si>
  <si>
    <t xml:space="preserve">Written customer acceptance of the measured delta on file (Slice D exit evidence)</t>
  </si>
  <si>
    <t xml:space="preserve">REV T Stage3</t>
  </si>
  <si>
    <t xml:space="preserve">TST-39.2.03</t>
  </si>
  <si>
    <t xml:space="preserve">Scenario-4 supersession-compliance test executed in the enclave: superseded content non-retrievable after an M25 event</t>
  </si>
  <si>
    <t xml:space="preserve">TST-39.1.01, TST-38.2.01</t>
  </si>
  <si>
    <t xml:space="preserve">Enclave supersession test log</t>
  </si>
  <si>
    <t xml:space="preserve">Zero superseded chunks retrievable post-manifest; currency banner displayed</t>
  </si>
  <si>
    <t xml:space="preserve">TST-39.2.04</t>
  </si>
  <si>
    <t xml:space="preserve">Injection suite including Devanagari-script payloads executed on the exact quantized enclave model</t>
  </si>
  <si>
    <t xml:space="preserve">Zero injection successes in any committed language on the shipped model</t>
  </si>
  <si>
    <t xml:space="preserve">TST-39.2.05</t>
  </si>
  <si>
    <t xml:space="preserve">Scenario-11 saturation soak executed: exam-day workload (chat plus grading plus walkthrough) at 1.5x rated concurrency for 2 hours on the target GPU appliance</t>
  </si>
  <si>
    <t xml:space="preserve">Saturation soak report</t>
  </si>
  <si>
    <t xml:space="preserve">Priority classes preserved (zero grading jobs lost); chat degrades to retrieval-only with ETAs; no OOM; capacity alerts fired; full recovery without restart</t>
  </si>
  <si>
    <t xml:space="preserve">Scenario 11</t>
  </si>
  <si>
    <t xml:space="preserve">TST-39.3.01</t>
  </si>
  <si>
    <t xml:space="preserve">M26 delta exit-gate evidence bundle assembled and reviewed</t>
  </si>
  <si>
    <t xml:space="preserve">TST-39.2.01, TST-39.2.05</t>
  </si>
  <si>
    <t xml:space="preserve">M26 delta evidence bundle</t>
  </si>
  <si>
    <t xml:space="preserve">TST-40.1.01</t>
  </si>
  <si>
    <t xml:space="preserve">M27 AI assessment deltas</t>
  </si>
  <si>
    <t xml:space="preserve">TST-40.2.01</t>
  </si>
  <si>
    <t xml:space="preserve">Grading-agreement evaluation executed: local-model grading vs SME consensus on the fixed answer corpus including second-language and adversarial answers</t>
  </si>
  <si>
    <t xml:space="preserve">TST-40.1.01, PLT-01.1.01</t>
  </si>
  <si>
    <t xml:space="preserve">Agreement eval report</t>
  </si>
  <si>
    <t xml:space="preserve">Agreement at or above the agreed threshold on every corpus segment</t>
  </si>
  <si>
    <t xml:space="preserve">REV D M27 AC</t>
  </si>
  <si>
    <t xml:space="preserve">TST-40.2.02</t>
  </si>
  <si>
    <t xml:space="preserve">Run-to-run variance test executed: N repeated grading runs on the quantized enclave model</t>
  </si>
  <si>
    <t xml:space="preserve">Variance report</t>
  </si>
  <si>
    <t xml:space="preserve">Variance at or below the declared bound for every rubric class</t>
  </si>
  <si>
    <t xml:space="preserve">REV D M27 gaps</t>
  </si>
  <si>
    <t xml:space="preserve">TST-40.2.03</t>
  </si>
  <si>
    <t xml:space="preserve">Version-pinning conformance audit executed on AI-influenced grades</t>
  </si>
  <si>
    <t xml:space="preserve">Grade version audit</t>
  </si>
  <si>
    <t xml:space="preserve">100% of AI-influenced grades carry model, prompt, and rubric versions</t>
  </si>
  <si>
    <t xml:space="preserve">TST-40.2.04</t>
  </si>
  <si>
    <t xml:space="preserve">Human-review routing test executed: below-confidence grades and deterministic fallback verified</t>
  </si>
  <si>
    <t xml:space="preserve">100% of below-threshold grades route to the review queue; fallback produces deterministic scores</t>
  </si>
  <si>
    <t xml:space="preserve">REV D M27 P0</t>
  </si>
  <si>
    <t xml:space="preserve">TST-40.2.05</t>
  </si>
  <si>
    <t xml:space="preserve">Grading-fairness evaluation executed: Hinglish and code-switched answers vs bilingual human raters</t>
  </si>
  <si>
    <t xml:space="preserve">Fairness eval report</t>
  </si>
  <si>
    <t xml:space="preserve">No statistically significant penalty for vernacular or mixed-script correct answers</t>
  </si>
  <si>
    <t xml:space="preserve">NEW: V-F3</t>
  </si>
  <si>
    <t xml:space="preserve">TST-40.3.01</t>
  </si>
  <si>
    <t xml:space="preserve">M27 delta exit-gate evidence bundle assembled and reviewed</t>
  </si>
  <si>
    <t xml:space="preserve">TST-40.2.01, TST-40.2.05</t>
  </si>
  <si>
    <t xml:space="preserve">M27 delta evidence bundle</t>
  </si>
  <si>
    <t xml:space="preserve">TST-41.1.01</t>
  </si>
  <si>
    <t xml:space="preserve">M28 PLE core deltas</t>
  </si>
  <si>
    <t xml:space="preserve">TST-41.2.01</t>
  </si>
  <si>
    <t xml:space="preserve">Sequencing-reproducibility test executed: decisions replayed from logged inputs (events, competency state, catalogue metadata)</t>
  </si>
  <si>
    <t xml:space="preserve">100% of sampled decisions reproducible with human-readable rationale</t>
  </si>
  <si>
    <t xml:space="preserve">REV D M28 AC</t>
  </si>
  <si>
    <t xml:space="preserve">TST-41.2.02</t>
  </si>
  <si>
    <t xml:space="preserve">Mandatory-activity invariant suite executed across the pilot cohort fixture</t>
  </si>
  <si>
    <t xml:space="preserve">Zero learner paths drop a mandatory activity</t>
  </si>
  <si>
    <t xml:space="preserve">TST-41.2.03</t>
  </si>
  <si>
    <t xml:space="preserve">Instructor-override test executed: override applied, honored, and audited</t>
  </si>
  <si>
    <t xml:space="preserve">Override takes effect within one cycle and appears in the audit trail</t>
  </si>
  <si>
    <t xml:space="preserve">TST-41.2.04</t>
  </si>
  <si>
    <t xml:space="preserve">Endless-remediation bound test executed: remediation loops driven by synthetic failing learners</t>
  </si>
  <si>
    <t xml:space="preserve">Remediation loops capped at the policy limit with escalation to a human</t>
  </si>
  <si>
    <t xml:space="preserve">TST-41.2.05</t>
  </si>
  <si>
    <t xml:space="preserve">Federated-skew check executed: sequencing quality evaluated on enclave-population fixtures vs connected-site tuning data</t>
  </si>
  <si>
    <t xml:space="preserve">Skew analysis report</t>
  </si>
  <si>
    <t xml:space="preserve">Quality delta documented and within the accepted bound or remediation filed</t>
  </si>
  <si>
    <t xml:space="preserve">TST-41.3.01</t>
  </si>
  <si>
    <t xml:space="preserve">M28 delta exit-gate evidence bundle assembled and reviewed</t>
  </si>
  <si>
    <t xml:space="preserve">TST-41.2.01, TST-41.2.05</t>
  </si>
  <si>
    <t xml:space="preserve">M28 delta evidence bundle</t>
  </si>
  <si>
    <t xml:space="preserve">TST-42.1.01</t>
  </si>
  <si>
    <t xml:space="preserve">M29 competency tool deltas</t>
  </si>
  <si>
    <t xml:space="preserve">TST-42.2.01</t>
  </si>
  <si>
    <t xml:space="preserve">Official-record evidence-chain audit walk executed on an M19-referenced record after a model upgrade and simulated 2-year gap</t>
  </si>
  <si>
    <t xml:space="preserve">TST-42.1.01, TST-32.2.01</t>
  </si>
  <si>
    <t xml:space="preserve">Complete evidence bundle reproduced by an independent assessor from the record alone</t>
  </si>
  <si>
    <t xml:space="preserve">TST-42.2.02</t>
  </si>
  <si>
    <t xml:space="preserve">Revocation drill executed: revocation propagated to a simulated enclave within the declared SLA</t>
  </si>
  <si>
    <t xml:space="preserve">Propagation drill log</t>
  </si>
  <si>
    <t xml:space="preserve">Revocation reflected in enclave and downstream views within SLA; record marked revocation-pending during transfer</t>
  </si>
  <si>
    <t xml:space="preserve">TST-42.2.03</t>
  </si>
  <si>
    <t xml:space="preserve">Evidence-model conformance test executed: records distinguish evidence levels; insufficient evidence rejected</t>
  </si>
  <si>
    <t xml:space="preserve">Conformance test report</t>
  </si>
  <si>
    <t xml:space="preserve">Zero official records writable from evidence below the declared sufficiency level</t>
  </si>
  <si>
    <t xml:space="preserve">REV D M29 gaps</t>
  </si>
  <si>
    <t xml:space="preserve">TST-42.2.04</t>
  </si>
  <si>
    <t xml:space="preserve">M35-evidence admissibility test executed: walkthrough evidence below confidence threshold offered as record basis</t>
  </si>
  <si>
    <t xml:space="preserve">Admissibility test log</t>
  </si>
  <si>
    <t xml:space="preserve">Below-threshold walkthrough evidence cannot back an official record; routed to human review</t>
  </si>
  <si>
    <t xml:space="preserve">Scenario 15</t>
  </si>
  <si>
    <t xml:space="preserve">TST-42.3.01</t>
  </si>
  <si>
    <t xml:space="preserve">M29 delta exit-gate evidence bundle assembled and reviewed</t>
  </si>
  <si>
    <t xml:space="preserve">TST-42.2.01, TST-42.2.04</t>
  </si>
  <si>
    <t xml:space="preserve">M29 delta evidence bundle</t>
  </si>
  <si>
    <t xml:space="preserve">TST-43.1.01</t>
  </si>
  <si>
    <t xml:space="preserve">M30 analytics suite deltas</t>
  </si>
  <si>
    <t xml:space="preserve">TST-43.2.01</t>
  </si>
  <si>
    <t xml:space="preserve">Dashboard accuracy reconciliation executed: every shipped dashboard reconciled against independent SQL on fixture data</t>
  </si>
  <si>
    <t xml:space="preserve">Reconciliation worksheets per dashboard</t>
  </si>
  <si>
    <t xml:space="preserve">Zero discrepancies on 100% of shipped dashboards before sign-off</t>
  </si>
  <si>
    <t xml:space="preserve">TST-43.2.02</t>
  </si>
  <si>
    <t xml:space="preserve">Cross-tenant BI penetration test executed: stripped-filter RLS probes plus cache and embedding probes across all dashboards and both tenant and command dimensions</t>
  </si>
  <si>
    <t xml:space="preserve">TST-43.1.01, ANA-03.1.01</t>
  </si>
  <si>
    <t xml:space="preserve">Zero foreign rows returned on 100% of probes; BI query audit log captured every probe</t>
  </si>
  <si>
    <t xml:space="preserve">TST-43.2.03</t>
  </si>
  <si>
    <t xml:space="preserve">Embedded-dashboard load test executed: 500 concurrent teacher sessions on a 2000-learner class</t>
  </si>
  <si>
    <t xml:space="preserve">p95 dashboard load at or below 2 seconds at the stated concurrency</t>
  </si>
  <si>
    <t xml:space="preserve">Loop3 ANA-06</t>
  </si>
  <si>
    <t xml:space="preserve">TST-43.2.04</t>
  </si>
  <si>
    <t xml:space="preserve">Data-as-of disclosure test executed: staleness injected into federated views</t>
  </si>
  <si>
    <t xml:space="preserve">Staleness drill log</t>
  </si>
  <si>
    <t xml:space="preserve">Every federated view displays a data-as-of stamp; staleness indicator and ops alert trigger at threshold</t>
  </si>
  <si>
    <t xml:space="preserve">TST-43.2.05</t>
  </si>
  <si>
    <t xml:space="preserve">Enclave BI zero-egress test executed: Metabase egress captured during full dashboard use</t>
  </si>
  <si>
    <t xml:space="preserve">Packet capture report</t>
  </si>
  <si>
    <t xml:space="preserve">Zero external calls (fonts, tiles, update pings) from the BI layer in the enclave</t>
  </si>
  <si>
    <t xml:space="preserve">Loop3 ANA-01</t>
  </si>
  <si>
    <t xml:space="preserve">TST-43.3.01</t>
  </si>
  <si>
    <t xml:space="preserve">M30 delta exit-gate evidence bundle assembled and reviewed</t>
  </si>
  <si>
    <t xml:space="preserve">TST-43.2.01, TST-43.2.05</t>
  </si>
  <si>
    <t xml:space="preserve">M30 delta evidence bundle</t>
  </si>
  <si>
    <t xml:space="preserve">TST-44.1.01</t>
  </si>
  <si>
    <t xml:space="preserve">M31 pipeline test deltas</t>
  </si>
  <si>
    <t xml:space="preserve">TST-44.2.01</t>
  </si>
  <si>
    <t xml:space="preserve">Corrupt-batch test executed: manifest integrity failure injected at the receiving boundary</t>
  </si>
  <si>
    <t xml:space="preserve">Corrupt-batch drill report</t>
  </si>
  <si>
    <t xml:space="preserve">Batch quarantined and alarmed; zero partial application</t>
  </si>
  <si>
    <t xml:space="preserve">TST-44.2.02</t>
  </si>
  <si>
    <t xml:space="preserve">Duplicate and out-of-order batch tests executed against ELRR ingestion</t>
  </si>
  <si>
    <t xml:space="preserve">Batch ordering test report</t>
  </si>
  <si>
    <t xml:space="preserve">Duplicates deduplicated idempotently; out-of-order batches applied correctly or held with alarm</t>
  </si>
  <si>
    <t xml:space="preserve">TST-44.2.03</t>
  </si>
  <si>
    <t xml:space="preserve">Reconciliation-accuracy drill executed: origin-vs-destination counts and checksums across a transfer campaign including one air-gap media hop</t>
  </si>
  <si>
    <t xml:space="preserve">Zero unaccounted records; report matches injected ground truth exactly</t>
  </si>
  <si>
    <t xml:space="preserve">TST-44.2.04</t>
  </si>
  <si>
    <t xml:space="preserve">Wrong-destination test executed: batch addressed to the wrong ELRR presented at the receiver</t>
  </si>
  <si>
    <t xml:space="preserve">Rejection test log</t>
  </si>
  <si>
    <t xml:space="preserve">Mis-addressed batch rejected and alarmed; zero records ingested</t>
  </si>
  <si>
    <t xml:space="preserve">REV D M31 gaps</t>
  </si>
  <si>
    <t xml:space="preserve">TST-44.2.05</t>
  </si>
  <si>
    <t xml:space="preserve">Replay-protection test executed: previously applied media batch re-presented</t>
  </si>
  <si>
    <t xml:space="preserve">Replay test log</t>
  </si>
  <si>
    <t xml:space="preserve">Replayed batch rejected with audit entry; zero duplicate ingestion</t>
  </si>
  <si>
    <t xml:space="preserve">TST-44.3.01</t>
  </si>
  <si>
    <t xml:space="preserve">M31 delta exit-gate evidence bundle assembled and reviewed</t>
  </si>
  <si>
    <t xml:space="preserve">TST-44.2.01, TST-44.2.05</t>
  </si>
  <si>
    <t xml:space="preserve">M31 delta evidence bundle</t>
  </si>
  <si>
    <t xml:space="preserve">TST-45.1.01</t>
  </si>
  <si>
    <t xml:space="preserve">M32 XR store deltas</t>
  </si>
  <si>
    <t xml:space="preserve">TST-45.2.01</t>
  </si>
  <si>
    <t xml:space="preserve">60-day-offline reconnect test executed on Android AND Windows including offline license behavior</t>
  </si>
  <si>
    <t xml:space="preserve">Platform reconnect reports</t>
  </si>
  <si>
    <t xml:space="preserve">Zero lost and zero duplicate events on both platforms; licensed content remains usable offline per policy</t>
  </si>
  <si>
    <t xml:space="preserve">TST-45.2.02</t>
  </si>
  <si>
    <t xml:space="preserve">Fleet sync-burst participation test executed (Scenario-6 run) with device clock-skew correction verified</t>
  </si>
  <si>
    <t xml:space="preserve">TST-45.1.01, TST-29.2.02</t>
  </si>
  <si>
    <t xml:space="preserve">Fleet burst report</t>
  </si>
  <si>
    <t xml:space="preserve">Client backoff honored; skewed timestamps corrected against server receipt time; zero misattributed events</t>
  </si>
  <si>
    <t xml:space="preserve">TST-45.2.03</t>
  </si>
  <si>
    <t xml:space="preserve">Package-signing chain test executed: tampered packages presented on both platforms; in-lab cache install verified</t>
  </si>
  <si>
    <t xml:space="preserve">Signing chain test report</t>
  </si>
  <si>
    <t xml:space="preserve">100% tampered packages blocked; multi-GB title installs from the in-lab cache with signature verification</t>
  </si>
  <si>
    <t xml:space="preserve">REV D M32 P1</t>
  </si>
  <si>
    <t xml:space="preserve">TST-45.2.04</t>
  </si>
  <si>
    <t xml:space="preserve">Indic-script on-device rendering test executed: Devanagari UI and content on target headsets and Windows clients</t>
  </si>
  <si>
    <t xml:space="preserve">Device rendering evidence</t>
  </si>
  <si>
    <t xml:space="preserve">Zero glyph corruption or shaping failures on target devices</t>
  </si>
  <si>
    <t xml:space="preserve">TST-45.3.01</t>
  </si>
  <si>
    <t xml:space="preserve">M32 delta exit-gate evidence bundle assembled and reviewed</t>
  </si>
  <si>
    <t xml:space="preserve">TST-45.2.01, TST-45.2.04</t>
  </si>
  <si>
    <t xml:space="preserve">M32 delta evidence bundle</t>
  </si>
  <si>
    <t xml:space="preserve">TST-46.1.01</t>
  </si>
  <si>
    <t xml:space="preserve">M33 lab Site A deltas</t>
  </si>
  <si>
    <t xml:space="preserve">TST-STD template executed and evidence bundle linked (applicable sections; pure-software sections waived in writing)</t>
  </si>
  <si>
    <t xml:space="preserve">TST-46.2.01</t>
  </si>
  <si>
    <t xml:space="preserve">Site-acceptance checklist executed: N devices enrolled and imaged from the reference image; one full-occupancy session with every headset streaming</t>
  </si>
  <si>
    <t xml:space="preserve">Signed site-acceptance checklist</t>
  </si>
  <si>
    <t xml:space="preserve">All checklist lines pass; full-occupancy session sustained with zero event loss</t>
  </si>
  <si>
    <t xml:space="preserve">REV D M33 AC</t>
  </si>
  <si>
    <t xml:space="preserve">TST-46.2.02</t>
  </si>
  <si>
    <t xml:space="preserve">Imaging-restore drill executed: 10 headsets re-imaged from the reference image</t>
  </si>
  <si>
    <t xml:space="preserve">Restore drill timing log</t>
  </si>
  <si>
    <t xml:space="preserve">Re-image completed within the target time with all devices re-enrolled</t>
  </si>
  <si>
    <t xml:space="preserve">TST-46.2.03</t>
  </si>
  <si>
    <t xml:space="preserve">Scenario-14 divergence audit executed: three headsets deliberately patched off-baseline</t>
  </si>
  <si>
    <t xml:space="preserve">Divergence drill report</t>
  </si>
  <si>
    <t xml:space="preserve">Drift alert within one inventory cycle; events from divergent devices carry divergent config stamps; dashboards flag non-comparable; waiver workflow records the exception</t>
  </si>
  <si>
    <t xml:space="preserve">Scenario 14</t>
  </si>
  <si>
    <t xml:space="preserve">TST-46.2.04</t>
  </si>
  <si>
    <t xml:space="preserve">Scenario-13 update-failure drill executed: each bundle segment corrupted in turn at the enclave boundary</t>
  </si>
  <si>
    <t xml:space="preserve">Update-failure drill report</t>
  </si>
  <si>
    <t xml:space="preserve">Uncorrupted segments apply per precedence order; staleness banners activate at threshold; emergency-patch path exercised within its SLA</t>
  </si>
  <si>
    <t xml:space="preserve">TST-46.2.05</t>
  </si>
  <si>
    <t xml:space="preserve">Edge-server offline test executed: WAN cut with 30 headsets mid-session</t>
  </si>
  <si>
    <t xml:space="preserve">Offline session test log</t>
  </si>
  <si>
    <t xml:space="preserve">Sessions continue on edge services; zero event loss after reconnection</t>
  </si>
  <si>
    <t xml:space="preserve">REV D M33 gaps</t>
  </si>
  <si>
    <t xml:space="preserve">TST-46.3.01</t>
  </si>
  <si>
    <t xml:space="preserve">M33 delta exit-gate evidence bundle assembled and reviewed</t>
  </si>
  <si>
    <t xml:space="preserve">TST-46.2.01, TST-46.2.05</t>
  </si>
  <si>
    <t xml:space="preserve">M33 delta evidence bundle</t>
  </si>
  <si>
    <t xml:space="preserve">Bundle complete and countersigned by QA Lead (Site B gate input)</t>
  </si>
  <si>
    <t xml:space="preserve">TST-47.1.01</t>
  </si>
  <si>
    <t xml:space="preserve">M34 lab Site B deltas</t>
  </si>
  <si>
    <t xml:space="preserve">TST-13.1.05, TST-46.3.01</t>
  </si>
  <si>
    <t xml:space="preserve">TST-47.2.01</t>
  </si>
  <si>
    <t xml:space="preserve">Replication test executed: Site B passes the identical Site A acceptance checklist from the reference image</t>
  </si>
  <si>
    <t xml:space="preserve">Signed Site B checklist</t>
  </si>
  <si>
    <t xml:space="preserve">Zero site-specific engineering changes; all waivers logged and approved</t>
  </si>
  <si>
    <t xml:space="preserve">REV D M34 AC</t>
  </si>
  <si>
    <t xml:space="preserve">TST-47.2.02</t>
  </si>
  <si>
    <t xml:space="preserve">Cross-site drift report executed: firmware, content, and patch levels compared between sites</t>
  </si>
  <si>
    <t xml:space="preserve">Scheduled drift report</t>
  </si>
  <si>
    <t xml:space="preserve">Both sites within declared tolerance on every baseline dimension</t>
  </si>
  <si>
    <t xml:space="preserve">TST-47.2.03</t>
  </si>
  <si>
    <t xml:space="preserve">Comparability-gate test executed: analytics comparison attempted across mismatched baseline IDs</t>
  </si>
  <si>
    <t xml:space="preserve">Gate test evidence</t>
  </si>
  <si>
    <t xml:space="preserve">Cross-site comparison flagged or refused when baseline IDs mismatch</t>
  </si>
  <si>
    <t xml:space="preserve">TST-47.2.04</t>
  </si>
  <si>
    <t xml:space="preserve">Divergence-waiver workflow test executed: approved divergence recorded and visible as site status</t>
  </si>
  <si>
    <t xml:space="preserve">Waiver record</t>
  </si>
  <si>
    <t xml:space="preserve">Waiver stored with approver identity and appears in site status views</t>
  </si>
  <si>
    <t xml:space="preserve">TST-47.3.01</t>
  </si>
  <si>
    <t xml:space="preserve">M34 delta exit-gate evidence bundle assembled and reviewed</t>
  </si>
  <si>
    <t xml:space="preserve">TST-47.2.01, TST-47.2.04</t>
  </si>
  <si>
    <t xml:space="preserve">M34 delta evidence bundle</t>
  </si>
  <si>
    <t xml:space="preserve">TST-48.1.01</t>
  </si>
  <si>
    <t xml:space="preserve">M35 walkthrough deltas</t>
  </si>
  <si>
    <t xml:space="preserve">TST-48.2.01</t>
  </si>
  <si>
    <t xml:space="preserve">Capture-fidelity evaluation executed: missed-action and phantom-action rates measured against blinded SME ground truth on reference procedures</t>
  </si>
  <si>
    <t xml:space="preserve">Fidelity eval report</t>
  </si>
  <si>
    <t xml:space="preserve">Missed and phantom rates at or below declared thresholds; scoring agreement with blinded SME evaluation at or above threshold</t>
  </si>
  <si>
    <t xml:space="preserve">Loop4 4b M35</t>
  </si>
  <si>
    <t xml:space="preserve">TST-48.2.02</t>
  </si>
  <si>
    <t xml:space="preserve">Scenario-15 evidence-challenge drill executed: scripted walkthrough with injected tracking dropout at step 7</t>
  </si>
  <si>
    <t xml:space="preserve">Challenge drill report</t>
  </si>
  <si>
    <t xml:space="preserve">Step auto-flagged low-confidence and routed to review (never auto-failed); raw bundle replays the session; supervisor override issues an amending record; competency record and MOE aggregates corrected within one cycle</t>
  </si>
  <si>
    <t xml:space="preserve">TST-48.2.03</t>
  </si>
  <si>
    <t xml:space="preserve">Tamper-evidence verification executed: hash-chained capture logs checked and a tampered bundle presented</t>
  </si>
  <si>
    <t xml:space="preserve">Hash chain test report</t>
  </si>
  <si>
    <t xml:space="preserve">Chain verifies on genuine bundles; tampered bundle detected and rejected</t>
  </si>
  <si>
    <t xml:space="preserve">TST-48.2.04</t>
  </si>
  <si>
    <t xml:space="preserve">Action-stream volume test executed: full-occupancy lab session streams through M3 within the capacity model</t>
  </si>
  <si>
    <t xml:space="preserve">Zero event loss at full occupancy; M3 p95 within SLO at walkthrough event density</t>
  </si>
  <si>
    <t xml:space="preserve">REV D M35 P1</t>
  </si>
  <si>
    <t xml:space="preserve">TST-48.2.05</t>
  </si>
  <si>
    <t xml:space="preserve">Raw-capture retention test executed: bundle retrieved and replayed at the end of the simulated retention period</t>
  </si>
  <si>
    <t xml:space="preserve">Retention test log</t>
  </si>
  <si>
    <t xml:space="preserve">Bundle retrievable and replayable for the full credential-linked retention period</t>
  </si>
  <si>
    <t xml:space="preserve">TST-48.3.01</t>
  </si>
  <si>
    <t xml:space="preserve">M35 delta exit-gate evidence bundle assembled and reviewed</t>
  </si>
  <si>
    <t xml:space="preserve">TST-48.2.01, TST-48.2.05</t>
  </si>
  <si>
    <t xml:space="preserve">M35 delta evidence bundle</t>
  </si>
  <si>
    <t xml:space="preserve">TST-49.1.01</t>
  </si>
  <si>
    <t xml:space="preserve">M36 difference training deltas</t>
  </si>
  <si>
    <t xml:space="preserve">TST-49.2.01</t>
  </si>
  <si>
    <t xml:space="preserve">Wrong-variant certification block test executed: learner's assigned variant deliberately mismatched with the assessed variant</t>
  </si>
  <si>
    <t xml:space="preserve">Block test report</t>
  </si>
  <si>
    <t xml:space="preserve">Certification demonstrably blocked on variant mismatch with a logged reason</t>
  </si>
  <si>
    <t xml:space="preserve">REV D M36 P1</t>
  </si>
  <si>
    <t xml:space="preserve">TST-49.2.02</t>
  </si>
  <si>
    <t xml:space="preserve">Delta-curriculum SME validation executed on the reference variant pair</t>
  </si>
  <si>
    <t xml:space="preserve">SME validation sheet</t>
  </si>
  <si>
    <t xml:space="preserve">Generated delta curriculum approved by SME review with zero missing delta items</t>
  </si>
  <si>
    <t xml:space="preserve">REV D M36 AC</t>
  </si>
  <si>
    <t xml:space="preserve">TST-49.2.03</t>
  </si>
  <si>
    <t xml:space="preserve">Engine-reuse contract test executed: M36 consumes the M14 gap API with no duplicated gap logic</t>
  </si>
  <si>
    <t xml:space="preserve">Contract test run</t>
  </si>
  <si>
    <t xml:space="preserve">M36 passes using only the published M14 API; static scan finds zero duplicated gap computation</t>
  </si>
  <si>
    <t xml:space="preserve">REV D M36 split</t>
  </si>
  <si>
    <t xml:space="preserve">TST-49.2.04</t>
  </si>
  <si>
    <t xml:space="preserve">Variant-model conformance test executed against M19 equipment-variant definitions</t>
  </si>
  <si>
    <t xml:space="preserve">TST-49.1.01, TST-32.2.04</t>
  </si>
  <si>
    <t xml:space="preserve">All variant references resolve to M19 variant model entries; zero local variant definitions</t>
  </si>
  <si>
    <t xml:space="preserve">REV D M36 gaps</t>
  </si>
  <si>
    <t xml:space="preserve">TST-49.3.01</t>
  </si>
  <si>
    <t xml:space="preserve">M36 delta exit-gate evidence bundle assembled and reviewed</t>
  </si>
  <si>
    <t xml:space="preserve">TST-49.2.01, TST-49.2.04</t>
  </si>
  <si>
    <t xml:space="preserve">M36 delta evidence bundle</t>
  </si>
  <si>
    <t xml:space="preserve">TST-50.1.01</t>
  </si>
  <si>
    <t xml:space="preserve">M37 microlearning deltas</t>
  </si>
  <si>
    <t xml:space="preserve">TST-50.2.01</t>
  </si>
  <si>
    <t xml:space="preserve">7-day-offline reconciliation test executed: sessions completed across 7 offline days then reconnected</t>
  </si>
  <si>
    <t xml:space="preserve">Reconciliation test report</t>
  </si>
  <si>
    <t xml:space="preserve">All events sync exactly-once (dedup audit); spacing schedule recomputes deterministically</t>
  </si>
  <si>
    <t xml:space="preserve">TST-50.2.02</t>
  </si>
  <si>
    <t xml:space="preserve">Offline-conflict test executed: server-side state advanced while the device was offline</t>
  </si>
  <si>
    <t xml:space="preserve">Conflict test log</t>
  </si>
  <si>
    <t xml:space="preserve">Declared conflict rules applied; zero corrupted streak or spacing state</t>
  </si>
  <si>
    <t xml:space="preserve">REV D M37 P2</t>
  </si>
  <si>
    <t xml:space="preserve">TST-50.2.03</t>
  </si>
  <si>
    <t xml:space="preserve">Low-end device and Indic-locale end-to-end test executed on the reference low-end Android device in one Indic-script locale</t>
  </si>
  <si>
    <t xml:space="preserve">Device E2E report</t>
  </si>
  <si>
    <t xml:space="preserve">Full journey passes on low-end hardware with correct Indic rendering</t>
  </si>
  <si>
    <t xml:space="preserve">REV D M37 AC</t>
  </si>
  <si>
    <t xml:space="preserve">TST-50.2.04</t>
  </si>
  <si>
    <t xml:space="preserve">On-device data-protection test executed: local store encryption and device-loss wipe verified</t>
  </si>
  <si>
    <t xml:space="preserve">Protection test report</t>
  </si>
  <si>
    <t xml:space="preserve">Local data encrypted at rest; remote/policy wipe removes all learner data</t>
  </si>
  <si>
    <t xml:space="preserve">REV D M37 gaps</t>
  </si>
  <si>
    <t xml:space="preserve">TST-50.3.01</t>
  </si>
  <si>
    <t xml:space="preserve">M37 delta exit-gate evidence bundle assembled and reviewed</t>
  </si>
  <si>
    <t xml:space="preserve">TST-50.2.01, TST-50.2.04</t>
  </si>
  <si>
    <t xml:space="preserve">M37 delta evidence bundle</t>
  </si>
  <si>
    <t xml:space="preserve">TST-51.1.01</t>
  </si>
  <si>
    <t xml:space="preserve">M38 MOE AR deltas</t>
  </si>
  <si>
    <t xml:space="preserve">TST-51.2.01</t>
  </si>
  <si>
    <t xml:space="preserve">Inter-rater reliability pilot executed: M38 observations vs expert observers on the reference task set</t>
  </si>
  <si>
    <t xml:space="preserve">Reliability analysis report</t>
  </si>
  <si>
    <t xml:space="preserve">Inter-rater reliability at or above the agreed threshold</t>
  </si>
  <si>
    <t xml:space="preserve">REV D M38 AC</t>
  </si>
  <si>
    <t xml:space="preserve">TST-51.2.02</t>
  </si>
  <si>
    <t xml:space="preserve">Observation-provenance conformance audit executed: observer identity, instrument version, and context on every record</t>
  </si>
  <si>
    <t xml:space="preserve">100% of observations carry full provenance into M30 dashboards</t>
  </si>
  <si>
    <t xml:space="preserve">TST-51.2.03</t>
  </si>
  <si>
    <t xml:space="preserve">Instrument-validity check executed: AR-captured measures compared against the paper/tablet pilot baseline</t>
  </si>
  <si>
    <t xml:space="preserve">Validity comparison report</t>
  </si>
  <si>
    <t xml:space="preserve">AR instrument agrees with the piloted baseline instrument within the agreed bound</t>
  </si>
  <si>
    <t xml:space="preserve">REV D M38 gaps</t>
  </si>
  <si>
    <t xml:space="preserve">TST-51.2.04</t>
  </si>
  <si>
    <t xml:space="preserve">Operational-context recording approval verified: site authority sign-off obtained before any operational capture</t>
  </si>
  <si>
    <t xml:space="preserve">Signed site approval</t>
  </si>
  <si>
    <t xml:space="preserve">Written site-authority approval on file predating all operational recordings</t>
  </si>
  <si>
    <t xml:space="preserve">REV D M38 P2</t>
  </si>
  <si>
    <t xml:space="preserve">TST-51.3.01</t>
  </si>
  <si>
    <t xml:space="preserve">M38 delta exit-gate evidence bundle assembled and reviewed</t>
  </si>
  <si>
    <t xml:space="preserve">TST-51.2.01, TST-51.2.04</t>
  </si>
  <si>
    <t xml:space="preserve">M38 delta evidence bundle</t>
  </si>
  <si>
    <t xml:space="preserve">FLD-90.1.01</t>
  </si>
  <si>
    <t xml:space="preserve">M33 India reference-site design artefact and electrical resilience</t>
  </si>
  <si>
    <t xml:space="preserve">Reference design artefact</t>
  </si>
  <si>
    <t xml:space="preserve">Lab Reference Design registered as a controlled version-numbered artefact with a named design owner, a change-control route, and an explicit statement that it is the template for every subsequent Indian site rather than the build record of one site</t>
  </si>
  <si>
    <t xml:space="preserve">Controlled document record in the design register with version, owner and change route</t>
  </si>
  <si>
    <t xml:space="preserve">Artefact carries version number, named owner, change route and template statement; no site-specific identity appears in the design clauses</t>
  </si>
  <si>
    <t xml:space="preserve">AUDIT Loop 6 - India re-basing</t>
  </si>
  <si>
    <t xml:space="preserve">FLD-90.1.02</t>
  </si>
  <si>
    <t xml:space="preserve">Reference design validation report published mapping every reference-site acceptance result back to the design clause it proves, with clauses that no acceptance result covers listed as unproven</t>
  </si>
  <si>
    <t xml:space="preserve">FLD-06.1.01, FLD-90.1.01</t>
  </si>
  <si>
    <t xml:space="preserve">Validation report with clause-to-result traceability matrix</t>
  </si>
  <si>
    <t xml:space="preserve">Every design clause has either a linked acceptance result or an explicit unproven entry; zero clauses unmapped</t>
  </si>
  <si>
    <t xml:space="preserve">FLD-90.1.03</t>
  </si>
  <si>
    <t xml:space="preserve">Reference design frozen at version 1.0 under change control with the freeze approved in writing and the route for a site to request a divergence waiver named</t>
  </si>
  <si>
    <t xml:space="preserve">FLD-06.2.03, FLD-90.1.02</t>
  </si>
  <si>
    <t xml:space="preserve">Signed freeze record and waiver-route definition in the design register</t>
  </si>
  <si>
    <t xml:space="preserve">Freeze record carries approver and date; waiver route names the deciding role and the evidence a waiver must carry</t>
  </si>
  <si>
    <t xml:space="preserve">FLD-90.2.01</t>
  </si>
  <si>
    <t xml:space="preserve">Power and electrical resilience</t>
  </si>
  <si>
    <t xml:space="preserve">UPS capacity calculated for the full lab load including headset charging carts, edge server, network, lighting and HVAC controls, from measured worst-case draw, with declared autonomy minutes and design headroom</t>
  </si>
  <si>
    <t xml:space="preserve">Load calculation sheet with measured draw readings and UPS sizing result</t>
  </si>
  <si>
    <t xml:space="preserve">Calculation uses measured not nameplate draw; declared autonomy and headroom stated; sheet reviewed by a qualified electrical engineer</t>
  </si>
  <si>
    <t xml:space="preserve">FLD-90.2.02</t>
  </si>
  <si>
    <t xml:space="preserve">Generator or alternate-supply cutover proven at full lab load with measured transfer time and evidence that an in-progress XR session, the edge server and the telemetry queue survive the transfer without data loss</t>
  </si>
  <si>
    <t xml:space="preserve">Cutover test report with transfer-time measurement and session-continuity evidence</t>
  </si>
  <si>
    <t xml:space="preserve">Transfer completed inside the UPS autonomy window; zero lost sessions and zero lost telemetry records across three consecutive cutovers</t>
  </si>
  <si>
    <t xml:space="preserve">FLD-90.2.03</t>
  </si>
  <si>
    <t xml:space="preserve">Voltage stabilisation provision specified and installed on the lab feed, with input and output voltage logged across a monitored two-week window showing supply excursions clamped inside equipment tolerance</t>
  </si>
  <si>
    <t xml:space="preserve">Two-week voltage log and stabiliser specification sheet</t>
  </si>
  <si>
    <t xml:space="preserve">Log shows zero output excursions beyond the manufacturer-declared tolerance of the edge server and charging equipment</t>
  </si>
  <si>
    <t xml:space="preserve">FLD-90.2.04</t>
  </si>
  <si>
    <t xml:space="preserve">Earth resistance and neutral-to-earth voltage measured against the equipment manufacturers' stated tolerance, with remediation completed and re-measured wherever a reading is out of tolerance</t>
  </si>
  <si>
    <t xml:space="preserve">Earthing measurement record before and after remediation</t>
  </si>
  <si>
    <t xml:space="preserve">All final readings inside manufacturer tolerance; every out-of-tolerance initial reading has a matching remediation and re-measurement entry</t>
  </si>
  <si>
    <t xml:space="preserve">FLD-90.2.05</t>
  </si>
  <si>
    <t xml:space="preserve">Electrical safety certification obtained from a licensed contractor for the lab circuit covering residual-current protection, phase load balance and cable sizing, and filed in the site pack</t>
  </si>
  <si>
    <t xml:space="preserve">Signed contractor certificate filed in the site evidence pack</t>
  </si>
  <si>
    <t xml:space="preserve">Certificate covers all three scopes, is dated, and is referenced by the commissioning checklist</t>
  </si>
  <si>
    <t xml:space="preserve">FLD-90.2.06</t>
  </si>
  <si>
    <t xml:space="preserve">Power-event resilience drill executed with mains failure simulated during a live multi-headset session and automated recovery of the edge server, session state and telemetry queue verified against a documented recovery-time target</t>
  </si>
  <si>
    <t xml:space="preserve">Drill report with timestamps, recovery-time measurement and post-drill data reconciliation</t>
  </si>
  <si>
    <t xml:space="preserve">Recovery completes inside the documented target; post-drill reconciliation shows zero lost or duplicated learner records</t>
  </si>
  <si>
    <t xml:space="preserve">FLD-90.2.07</t>
  </si>
  <si>
    <t xml:space="preserve">Exit-gate evidence bundle assembled and reviewed for the M33 India reference-site design artefact and electrical resilience task</t>
  </si>
  <si>
    <t xml:space="preserve">Assembled evidence bundle with reviewer sign-off</t>
  </si>
  <si>
    <t xml:space="preserve">Bundle contains every artefact named by the task's items; reviewer named and dated; open items listed with owners</t>
  </si>
  <si>
    <t xml:space="preserve">FLD-91.1.01</t>
  </si>
  <si>
    <t xml:space="preserve">M33 India reference-site environmental control, hygiene and play-area safety</t>
  </si>
  <si>
    <t xml:space="preserve">Thermal, humidity and dust control</t>
  </si>
  <si>
    <t xml:space="preserve">Thermal load calculated for the lab covering charging headsets, edge server, occupants at design occupancy, lighting and solar gain, with HVAC capacity sized from the calculation and the working retained</t>
  </si>
  <si>
    <t xml:space="preserve">Thermal load calculation sheet and HVAC sizing decision</t>
  </si>
  <si>
    <t xml:space="preserve">Calculation states every heat source with its assumption; HVAC capacity selected is greater than or equal to the calculated peak load</t>
  </si>
  <si>
    <t xml:space="preserve">FLD-91.1.02</t>
  </si>
  <si>
    <t xml:space="preserve">HVAC performance proven by a continuous seventy-two-hour temperature log taken at design occupancy showing the rack zone and the charging-cart zone held inside the manufacturer-declared operating range</t>
  </si>
  <si>
    <t xml:space="preserve">Seventy-two-hour temperature log per monitored zone</t>
  </si>
  <si>
    <t xml:space="preserve">Zero readings outside the declared operating range in either zone across the full window</t>
  </si>
  <si>
    <t xml:space="preserve">FLD-91.1.03</t>
  </si>
  <si>
    <t xml:space="preserve">Humidity control provision specified and proven by a monitored log across the worst local season showing relative humidity held inside headset-optic and edge-server tolerance with zero condensation events recorded</t>
  </si>
  <si>
    <t xml:space="preserve">Seasonal humidity log and condensation inspection records</t>
  </si>
  <si>
    <t xml:space="preserve">All readings inside declared tolerance; condensation inspection record shows zero events; excursions if any have a logged corrective action</t>
  </si>
  <si>
    <t xml:space="preserve">FLD-91.1.04</t>
  </si>
  <si>
    <t xml:space="preserve">Dust ingress protection implemented for the edge server and network enclosures with a defined filter inspection and replacement interval, and the first two scheduled inspections completed and logged</t>
  </si>
  <si>
    <t xml:space="preserve">Enclosure specification, inspection schedule and two completed inspection logs</t>
  </si>
  <si>
    <t xml:space="preserve">Protection method documented; interval defined in the operator runbook; two dated inspection records present</t>
  </si>
  <si>
    <t xml:space="preserve">FLD-91.2.01</t>
  </si>
  <si>
    <t xml:space="preserve">Hygiene and play-area safety</t>
  </si>
  <si>
    <t xml:space="preserve">Headset hygiene and sanitation protocol published covering per-user face-interface handling, approved cleaning agent, contact time, drying interval and the rejection rule for damaged interfaces, signed off by the site safety owner</t>
  </si>
  <si>
    <t xml:space="preserve">Signed hygiene protocol document in the site pack</t>
  </si>
  <si>
    <t xml:space="preserve">Protocol states agent, contact time, drying interval and rejection rule; signed by the named site safety owner with a date</t>
  </si>
  <si>
    <t xml:space="preserve">FLD-91.2.02</t>
  </si>
  <si>
    <t xml:space="preserve">Hygiene protocol compliance verified by an unannounced audit of two consecutive full-occupancy sessions checking sanitation-log completeness and observed contact time</t>
  </si>
  <si>
    <t xml:space="preserve">Audit report with per-session observation record</t>
  </si>
  <si>
    <t xml:space="preserve">Both audited sessions show complete sanitation logs and observed contact time at or above the protocol minimum; any failure has a corrective action with an owner</t>
  </si>
  <si>
    <t xml:space="preserve">FLD-91.2.03</t>
  </si>
  <si>
    <t xml:space="preserve">Play-area envelope per station measured against the headset manufacturer's minimum guardian area at full simultaneous occupancy, with the measured floor plan recorded and any station short of the minimum removed or re-sited</t>
  </si>
  <si>
    <t xml:space="preserve">Measured floor plan with per-station envelope dimensions</t>
  </si>
  <si>
    <t xml:space="preserve">Every retained station meets or exceeds the manufacturer minimum; removed or re-sited stations recorded with the reason</t>
  </si>
  <si>
    <t xml:space="preserve">FLD-91.2.04</t>
  </si>
  <si>
    <t xml:space="preserve">Play-area flooring specified and installed to a non-slip low-static standard with cable runs removed from walkways, evidenced by a slip-resistance measurement or a supplier conformance certificate</t>
  </si>
  <si>
    <t xml:space="preserve">Flooring specification, installation photographs and slip-resistance evidence</t>
  </si>
  <si>
    <t xml:space="preserve">Slip-resistance evidence present for the installed surface; walkway inspection records zero trip hazards from cabling</t>
  </si>
  <si>
    <t xml:space="preserve">FLD-91.2.05</t>
  </si>
  <si>
    <t xml:space="preserve">Lighting levels measured at every station against the tracking requirement of the deployed headsets with direct-glare and reflective sources remediated and post-remediation readings recorded</t>
  </si>
  <si>
    <t xml:space="preserve">Per-station lux readings before and after remediation</t>
  </si>
  <si>
    <t xml:space="preserve">All final per-station readings inside the headset tracking requirement; every remediated source has a before and after reading</t>
  </si>
  <si>
    <t xml:space="preserve">FLD-91.2.06</t>
  </si>
  <si>
    <t xml:space="preserve">Exit-gate evidence bundle assembled and reviewed for the M33 India reference-site environmental control, hygiene and play-area safety task</t>
  </si>
  <si>
    <t xml:space="preserve">FLD-92.1.01</t>
  </si>
  <si>
    <t xml:space="preserve">M33 India reference-site asset control, tamper protection and connectivity</t>
  </si>
  <si>
    <t xml:space="preserve">Physical security and asset control</t>
  </si>
  <si>
    <t xml:space="preserve">Lab asset register established recording every headset, controller, charging cart, edge server and network device by serial number, tamper-evident asset tag identifier, purchase reference, warranty expiry and assigned custodian</t>
  </si>
  <si>
    <t xml:space="preserve">Populated asset register with tag identifiers and custodian assignments</t>
  </si>
  <si>
    <t xml:space="preserve">Every physical asset in the lab appears exactly once with all seven attributes populated; register reconciles to the delivered bill of materials</t>
  </si>
  <si>
    <t xml:space="preserve">FLD-92.1.02</t>
  </si>
  <si>
    <t xml:space="preserve">Physical asset reconciliation procedure executed once end to end against the register with every discrepancy raised, investigated and closed to a stated outcome</t>
  </si>
  <si>
    <t xml:space="preserve">Completed reconciliation report with discrepancy dispositions</t>
  </si>
  <si>
    <t xml:space="preserve">Reconciliation covers one hundred percent of registered assets; zero discrepancies left open at report close</t>
  </si>
  <si>
    <t xml:space="preserve">FLD-92.1.03</t>
  </si>
  <si>
    <t xml:space="preserve">Theft and tamper controls installed and demonstrated in a walkthrough covering lockable device storage, cart immobilisation, access-controlled lab entry and an out-of-hours movement alert</t>
  </si>
  <si>
    <t xml:space="preserve">Walkthrough report with per-control demonstration evidence</t>
  </si>
  <si>
    <t xml:space="preserve">Each of the four controls demonstrated working; out-of-hours alert triggered and received during the walkthrough</t>
  </si>
  <si>
    <t xml:space="preserve">FLD-92.1.04</t>
  </si>
  <si>
    <t xml:space="preserve">Device check-out and check-in control operational so no headset leaves the lab without a logged custodian, proven by reconciling one week of session logs against the movement log</t>
  </si>
  <si>
    <t xml:space="preserve">One-week movement log reconciled against session logs</t>
  </si>
  <si>
    <t xml:space="preserve">Zero unexplained device absences across the reconciled week; every movement has a named custodian and a return entry or an open custody record</t>
  </si>
  <si>
    <t xml:space="preserve">FLD-92.1.05</t>
  </si>
  <si>
    <t xml:space="preserve">Insurance cover placed for the lab asset base against fire, theft and accidental damage with the sum insured reconciled to the asset register and the claim-notification procedure recorded in the operator runbook</t>
  </si>
  <si>
    <t xml:space="preserve">Policy schedule reference and runbook claim-notification section</t>
  </si>
  <si>
    <t xml:space="preserve">Sum insured is greater than or equal to the register's declared replacement value; claim procedure states the notification window and the responsible role</t>
  </si>
  <si>
    <t xml:space="preserve">FLD-92.2.01</t>
  </si>
  <si>
    <t xml:space="preserve">Campus connectivity and offline-first</t>
  </si>
  <si>
    <t xml:space="preserve">Campus bandwidth and reliability baseline measured across a two-week window at the reference site recording sustained throughput, jitter, packet loss and outage duration and frequency by hour of day</t>
  </si>
  <si>
    <t xml:space="preserve">Two-week connectivity measurement dataset and summary</t>
  </si>
  <si>
    <t xml:space="preserve">Dataset covers every hour of the window; summary states worst-hour throughput and the longest observed outage</t>
  </si>
  <si>
    <t xml:space="preserve">FLD-92.2.02</t>
  </si>
  <si>
    <t xml:space="preserve">Offline-first fallback proven at the reference site with the wide-area link severed for a full working day while sessions are started, completed and assessed locally, and every queued record reconciled on reconnect</t>
  </si>
  <si>
    <t xml:space="preserve">FLD-06.1.04, FLD-92.2.01</t>
  </si>
  <si>
    <t xml:space="preserve">Offline-day drill report with pre and post reconciliation counts</t>
  </si>
  <si>
    <t xml:space="preserve">Zero sessions blocked during the offline day; post-reconnect record count matches the offline-produced count with zero duplicates and zero losses</t>
  </si>
  <si>
    <t xml:space="preserve">FLD-92.2.03</t>
  </si>
  <si>
    <t xml:space="preserve">Local content pre-stage proven by completing a full simulator and content refresh from the edge cache over the campus link inside the declared maintenance window, with the measured duration recorded against the sizing assumption</t>
  </si>
  <si>
    <t xml:space="preserve">FLD-01.1.03, FLD-92.2.01</t>
  </si>
  <si>
    <t xml:space="preserve">Pre-stage run log with measured duration and payload size</t>
  </si>
  <si>
    <t xml:space="preserve">Refresh completes inside the declared window; measured duration recorded against the assumption and the assumption corrected if exceeded</t>
  </si>
  <si>
    <t xml:space="preserve">FLD-92.2.04</t>
  </si>
  <si>
    <t xml:space="preserve">Exit-gate evidence bundle assembled and reviewed for the M33 India reference-site asset control, tamper protection and connectivity task</t>
  </si>
  <si>
    <t xml:space="preserve">FLD-93.1.01</t>
  </si>
  <si>
    <t xml:space="preserve">M34 India replication-site scope, gate and divergence control</t>
  </si>
  <si>
    <t xml:space="preserve">Replication-only scope and gate</t>
  </si>
  <si>
    <t xml:space="preserve">Replication-site scope statement approved restricting the second Indian site to replication of the frozen reference design, placing new engineering explicitly out of scope and routing any exception as a logged waiver</t>
  </si>
  <si>
    <t xml:space="preserve">Approved scope statement in the site pack</t>
  </si>
  <si>
    <t xml:space="preserve">Scope statement names the frozen reference version it replicates; out-of-scope list includes new engineering; waiver route referenced</t>
  </si>
  <si>
    <t xml:space="preserve">FLD-93.1.02</t>
  </si>
  <si>
    <t xml:space="preserve">Replication start gate enforced so no replication-site procurement, installation or acceptance activity begins before the reference-site validation gate is recorded as passed, with the gate check evidenced in the change record</t>
  </si>
  <si>
    <t xml:space="preserve">FLD-06.2.03, FLD-93.1.01</t>
  </si>
  <si>
    <t xml:space="preserve">Gate check entry in the change record with the reference-gate evidence reference</t>
  </si>
  <si>
    <t xml:space="preserve">No replication activity has a start date earlier than the recorded reference-gate pass date; gate check entry present and approved</t>
  </si>
  <si>
    <t xml:space="preserve">FLD-93.1.03</t>
  </si>
  <si>
    <t xml:space="preserve">Replication-site survey completed on the Site Deployment Kit survey template and gap-checked line by line against the reference site's as-surveyed conditions, with each gap classified as tolerable, remediable or waiver-requiring</t>
  </si>
  <si>
    <t xml:space="preserve">FLD-94.1.01, FLD-93.1.01</t>
  </si>
  <si>
    <t xml:space="preserve">Completed survey with line-by-line gap classification</t>
  </si>
  <si>
    <t xml:space="preserve">Every survey line has a classification; no line left unclassified; waiver-requiring lines each carry a raised waiver reference</t>
  </si>
  <si>
    <t xml:space="preserve">FLD-93.1.04</t>
  </si>
  <si>
    <t xml:space="preserve">India site-condition deltas for the replication site quantified against the reference site's measured baselines for supply quality, ambient temperature and humidity band, dust exposure and campus bandwidth, with the resulting provisioning changes approved as waivers</t>
  </si>
  <si>
    <t xml:space="preserve">FLD-93.1.03, FLD-90.2.03, FLD-91.1.03, FLD-92.2.01</t>
  </si>
  <si>
    <t xml:space="preserve">Delta analysis with measured values for both sites and approved waivers</t>
  </si>
  <si>
    <t xml:space="preserve">Each of the four condition classes has a measured value for both sites; every delta beyond tolerance has an approved waiver with an approver and date</t>
  </si>
  <si>
    <t xml:space="preserve">FLD-93.1.05</t>
  </si>
  <si>
    <t xml:space="preserve">Replication site built to the identical bill-of-materials revision as the frozen reference with every substitution recorded as a waiver carrying the reason, the qualification evidence and the approver</t>
  </si>
  <si>
    <t xml:space="preserve">FLD-94.2.01, FLD-93.1.04</t>
  </si>
  <si>
    <t xml:space="preserve">As-built bill of materials with substitution waiver register</t>
  </si>
  <si>
    <t xml:space="preserve">As-built lines match the frozen revision except where a waiver exists; every substitution waiver carries reason, qualification evidence and approver</t>
  </si>
  <si>
    <t xml:space="preserve">FLD-93.2.01</t>
  </si>
  <si>
    <t xml:space="preserve">Divergence control and comparability</t>
  </si>
  <si>
    <t xml:space="preserve">Divergence register live for the replication site listing every approved deviation with reason, risk, remediation or expiry date and owner, and reviewed at a stated cadence</t>
  </si>
  <si>
    <t xml:space="preserve">Divergence register with review meeting records</t>
  </si>
  <si>
    <t xml:space="preserve">Every approved deviation appears with all five attributes; at least two cadence reviews recorded with attendees and decisions</t>
  </si>
  <si>
    <t xml:space="preserve">FLD-93.2.02</t>
  </si>
  <si>
    <t xml:space="preserve">Automated reference-versus-replication configuration diff running on schedule and reporting device firmware, image version, content version, edge patch level and network policy differences against a declared tolerance</t>
  </si>
  <si>
    <t xml:space="preserve">FLD-05.2.01, FLD-93.1.05</t>
  </si>
  <si>
    <t xml:space="preserve">Scheduled diff report output across consecutive cycles</t>
  </si>
  <si>
    <t xml:space="preserve">Diff runs on schedule without manual trigger; all five attribute classes reported; differences beyond tolerance raise an alert</t>
  </si>
  <si>
    <t xml:space="preserve">FLD-93.2.03</t>
  </si>
  <si>
    <t xml:space="preserve">Deliberate-divergence drill executed at the replication site with a defined number of devices patched off-baseline, detection achieved inside one inventory cycle and closure routed through the divergence register rather than an ad-hoc fix</t>
  </si>
  <si>
    <t xml:space="preserve">Drill report with detection timestamps and register entries</t>
  </si>
  <si>
    <t xml:space="preserve">Every deliberately diverged device detected inside one inventory cycle; every closure has a divergence register entry; zero undocumented fixes</t>
  </si>
  <si>
    <t xml:space="preserve">FLD-93.2.04</t>
  </si>
  <si>
    <t xml:space="preserve">Config-stamped comparability proven by querying telemetry from both Indian sites by baseline identifier, with the analytics comparison refusing cross-site aggregation where baseline identifiers differ beyond tolerance</t>
  </si>
  <si>
    <t xml:space="preserve">FLD-05.2.03, FLD-93.2.02</t>
  </si>
  <si>
    <t xml:space="preserve">Query output and negative-test result for out-of-tolerance aggregation</t>
  </si>
  <si>
    <t xml:space="preserve">Cross-site query returns baseline-stamped results; the out-of-tolerance aggregation attempt is refused with an explanatory message</t>
  </si>
  <si>
    <t xml:space="preserve">FLD-93.2.05</t>
  </si>
  <si>
    <t xml:space="preserve">Replication effort and elapsed-time actuals captured against the Site Deployment Kit's planned effort per runbook step so the kit's estimates are corrected from field data before a third site is scoped</t>
  </si>
  <si>
    <t xml:space="preserve">FLD-94.2.03, FLD-93.1.05</t>
  </si>
  <si>
    <t xml:space="preserve">Actual-versus-planned effort table and the resulting kit revision</t>
  </si>
  <si>
    <t xml:space="preserve">Every runbook step has an actual duration and crew size recorded; kit revision issued where variance exceeds the declared threshold</t>
  </si>
  <si>
    <t xml:space="preserve">FLD-93.2.06</t>
  </si>
  <si>
    <t xml:space="preserve">Exit-gate evidence bundle assembled and reviewed for the M34 India replication-site scope, gate and divergence control task</t>
  </si>
  <si>
    <t xml:space="preserve">FLD-94.1.01</t>
  </si>
  <si>
    <t xml:space="preserve">Site Deployment Kit survey instrument and core artefacts</t>
  </si>
  <si>
    <t xml:space="preserve">Site survey instrument</t>
  </si>
  <si>
    <t xml:space="preserve">Site survey template published as a fillable instrument with mandatory fields covering room dimensions and ceiling height, play-area envelope per station, floor and wall finishes, lighting, power feed and phase balance, earthing, HVAC capacity, humidity and dust exposure, network drop and campus bandwidth, physical access control, goods-inward and lift access, and safety egress</t>
  </si>
  <si>
    <t xml:space="preserve">Published survey template with mandatory-field marking</t>
  </si>
  <si>
    <t xml:space="preserve">Template covers all thirteen named domains; every field marked mandatory or optional; template version-linked to the frozen reference design</t>
  </si>
  <si>
    <t xml:space="preserve">FLD-94.1.02</t>
  </si>
  <si>
    <t xml:space="preserve">Survey scoring rule published converting a completed survey into a site-readiness verdict of ready, ready-with-remediation or not-viable, with the threshold for each verdict stated per domain</t>
  </si>
  <si>
    <t xml:space="preserve">Scoring rule document with per-domain thresholds</t>
  </si>
  <si>
    <t xml:space="preserve">Every survey domain maps to a scored contribution; the three verdicts have non-overlapping stated thresholds</t>
  </si>
  <si>
    <t xml:space="preserve">FLD-94.1.03</t>
  </si>
  <si>
    <t xml:space="preserve">Survey instrument validated by two independent surveyors surveying the same room, with captured values and resulting verdicts reconciled and variance held inside a declared tolerance</t>
  </si>
  <si>
    <t xml:space="preserve">Two independent completed surveys and a reconciliation report</t>
  </si>
  <si>
    <t xml:space="preserve">Both surveyors reach the same verdict; per-field numeric variance inside the declared tolerance; ambiguous fields reworded in the next template revision</t>
  </si>
  <si>
    <t xml:space="preserve">FLD-94.2.01</t>
  </si>
  <si>
    <t xml:space="preserve">Bill of materials, runbook and acceptance pack</t>
  </si>
  <si>
    <t xml:space="preserve">Bill of materials published for a standard Indian lab of declared learner capacity, itemised with quantity, specification, spares ratio and the role each line plays in the reference design, and version-linked to the frozen reference</t>
  </si>
  <si>
    <t xml:space="preserve">Published bill of materials with reference-design version link</t>
  </si>
  <si>
    <t xml:space="preserve">Every line states quantity, specification, spares ratio and design role; the document names the reference-design version it implements</t>
  </si>
  <si>
    <t xml:space="preserve">FLD-94.2.02</t>
  </si>
  <si>
    <t xml:space="preserve">India sourcing note attached to every bill-of-materials line recording domestic availability, whether import is required, an indicative lead-time band, in-India warranty availability and service-centre presence, with all cost figures marked PROVISIONAL</t>
  </si>
  <si>
    <t xml:space="preserve">Sourcing annex to the bill of materials</t>
  </si>
  <si>
    <t xml:space="preserve">Every line has all five sourcing attributes populated; every cost cell carries the PROVISIONAL prefix; no vendor named</t>
  </si>
  <si>
    <t xml:space="preserve">FLD-94.2.03</t>
  </si>
  <si>
    <t xml:space="preserve">Installation runbook published as a sequenced role-attributed procedure from goods-inward through electrical, network, imaging, content pre-stage and first-session smoke test, stating estimated crew size and duration per step</t>
  </si>
  <si>
    <t xml:space="preserve">Published installation runbook with per-step effort estimates</t>
  </si>
  <si>
    <t xml:space="preserve">Every step names the performing role, its predecessor, estimated crew size and duration; the sequence ends at a passed smoke test</t>
  </si>
  <si>
    <t xml:space="preserve">FLD-94.2.04</t>
  </si>
  <si>
    <t xml:space="preserve">Installation runbook proven by an installer who did not author it completing a full site build from the runbook alone, with every point of ambiguity logged and folded into the next revision</t>
  </si>
  <si>
    <t xml:space="preserve">Independent-installer run log with ambiguity list and issued revision</t>
  </si>
  <si>
    <t xml:space="preserve">Build completed without author intervention; every logged ambiguity closed in an issued runbook revision</t>
  </si>
  <si>
    <t xml:space="preserve">FLD-94.2.05</t>
  </si>
  <si>
    <t xml:space="preserve">Commissioning and acceptance checklist published with binary pass or fail items covering electrical certification, environmental logs, network and offline behaviour, fleet enrolment and imaging, hygiene protocol, play-area safety and asset register completeness</t>
  </si>
  <si>
    <t xml:space="preserve">FLD-06.1.01, FLD-94.2.03</t>
  </si>
  <si>
    <t xml:space="preserve">Published commissioning and acceptance checklist</t>
  </si>
  <si>
    <t xml:space="preserve">Every item is binary with no subjective wording; all seven domains represented; each item names the evidence that satisfies it</t>
  </si>
  <si>
    <t xml:space="preserve">FLD-94.2.06</t>
  </si>
  <si>
    <t xml:space="preserve">Handover pack template published defining exactly what the customer receives at acceptance including as-built design, asset register, certificates and logs, operator runbook, escalation matrix, spares list, warranty and maintenance terms and training records</t>
  </si>
  <si>
    <t xml:space="preserve">Published handover pack template with contents manifest</t>
  </si>
  <si>
    <t xml:space="preserve">Template lists all eight contents with the owning role that produces each; acceptance cannot be recorded with a missing content item</t>
  </si>
  <si>
    <t xml:space="preserve">FLD-94.2.07</t>
  </si>
  <si>
    <t xml:space="preserve">Exit-gate evidence bundle assembled and reviewed for the Site Deployment Kit survey instrument and core artefacts task</t>
  </si>
  <si>
    <t xml:space="preserve">FLD-95.1.01</t>
  </si>
  <si>
    <t xml:space="preserve">Site Deployment Kit deployment-context variants and India logistics</t>
  </si>
  <si>
    <t xml:space="preserve">Deployment-context variants</t>
  </si>
  <si>
    <t xml:space="preserve">Four Indian deployment contexts defined as formal kit variants covering enterprise or industrial training centre, ITI or polytechnic or skilling institute, university or college campus, and secure or disconnected enterprise site, each with a scope statement naming what changes from the base kit and what must not</t>
  </si>
  <si>
    <t xml:space="preserve">FLD-94.1.01, FLD-94.2.05</t>
  </si>
  <si>
    <t xml:space="preserve">Variant definition document with per-variant scope statements</t>
  </si>
  <si>
    <t xml:space="preserve">All four variants defined; each states its permitted deltas and its immutable base elements; no variant redefines the frozen reference design</t>
  </si>
  <si>
    <t xml:space="preserve">FLD-95.1.02</t>
  </si>
  <si>
    <t xml:space="preserve">Enterprise or industrial training-centre variant survey and acceptance nuances published covering shop-floor adjacency effects of vibration, particulate and noise, plant shift patterns constraining installation windows, contractor safety induction and permit-to-work, and integration with the plant's existing training records</t>
  </si>
  <si>
    <t xml:space="preserve">Variant annex with survey delta fields and acceptance delta items</t>
  </si>
  <si>
    <t xml:space="preserve">Annex adds survey fields for all four named conditions and acceptance items for each; base checklist items unchanged</t>
  </si>
  <si>
    <t xml:space="preserve">FLD-95.1.03</t>
  </si>
  <si>
    <t xml:space="preserve">ITI or polytechnic or skilling-institute variant survey and acceptance nuances published covering high learner-to-device ratios and batch scheduling, constrained power and older building fabric, limited on-site technical staffing driving a simplified operator runbook, and regional-language operating instructions as an acceptance item</t>
  </si>
  <si>
    <t xml:space="preserve">Annex adds a device-ratio and batch-schedule survey field, a building-age and supply-capacity field, a simplified runbook deliverable and a language acceptance item</t>
  </si>
  <si>
    <t xml:space="preserve">FLD-95.1.04</t>
  </si>
  <si>
    <t xml:space="preserve">University or college campus variant survey and acceptance nuances published covering shared and timetabled room ownership, campus network policy and segment-approval lead time, academic-calendar installation windows, and student-identity integration for session attribution</t>
  </si>
  <si>
    <t xml:space="preserve">Annex captures room ownership and timetable constraints, network approval lead time, calendar window and the identity source used for attribution</t>
  </si>
  <si>
    <t xml:space="preserve">FLD-95.1.05</t>
  </si>
  <si>
    <t xml:space="preserve">Secure or disconnected enterprise site variant survey and acceptance nuances published covering zero-egress operation, media-based content and update transfer, installer escort and clearance rules, prohibition of recording devices, and acceptance achieved with no cloud dependency</t>
  </si>
  <si>
    <t xml:space="preserve">Annex states the media transfer procedure, the escort and clearance prerequisites and an acceptance path that passes with all external network paths disabled</t>
  </si>
  <si>
    <t xml:space="preserve">FLD-95.1.06</t>
  </si>
  <si>
    <t xml:space="preserve">Variant acceptance checklists expressed as base-plus-delta rather than separate documents so a change to a base item propagates to all four variants, with the delta item count per variant recorded</t>
  </si>
  <si>
    <t xml:space="preserve">FLD-95.1.05, FLD-94.2.05</t>
  </si>
  <si>
    <t xml:space="preserve">Variant checklist structure with recorded delta counts</t>
  </si>
  <si>
    <t xml:space="preserve">Each variant checklist references the base checklist version and lists only its deltas; a base item change is shown propagating to all four variants</t>
  </si>
  <si>
    <t xml:space="preserve">FLD-95.2.01</t>
  </si>
  <si>
    <t xml:space="preserve">Import, tax and logistics</t>
  </si>
  <si>
    <t xml:space="preserve">Customs clearance procedure published per imported bill-of-materials line recording tariff classification, the applicable import-duty basis, the required import documentation and the clearance lead-time band, with all duty and cost figures marked PROVISIONAL pending confirmation by a licensed customs broker</t>
  </si>
  <si>
    <t xml:space="preserve">Customs procedure annex with per-line classification and lead-time bands</t>
  </si>
  <si>
    <t xml:space="preserve">Every imported line has a classification, documentation list and lead-time band; every duty and cost cell carries the PROVISIONAL prefix; no broker named</t>
  </si>
  <si>
    <t xml:space="preserve">FLD-95.2.02</t>
  </si>
  <si>
    <t xml:space="preserve">Customs-delay contingency defined for a headset or accelerator consignment held at clearance, stating the re-sequenced installation activities, the spares draw-down option and the customer-notification trigger</t>
  </si>
  <si>
    <t xml:space="preserve">FLD-95.2.01, FLD-94.2.03</t>
  </si>
  <si>
    <t xml:space="preserve">Contingency procedure with re-sequenced runbook path</t>
  </si>
  <si>
    <t xml:space="preserve">Contingency names the runbook steps that may proceed without the held consignment, the draw-down limit and the elapsed-day trigger for customer notification</t>
  </si>
  <si>
    <t xml:space="preserve">FLD-95.2.03</t>
  </si>
  <si>
    <t xml:space="preserve">Goods and services tax treatment recorded per deployment model covering hardware supply, installation service and maintenance contract, with place-of-supply determination for interstate movement, marked PROVISIONAL until reviewed by a qualified tax adviser</t>
  </si>
  <si>
    <t xml:space="preserve">Tax treatment note per deployment model with place-of-supply determinations</t>
  </si>
  <si>
    <t xml:space="preserve">All three supply types addressed for each deployment model; place-of-supply rule stated for interstate cases; note carries the PROVISIONAL prefix until the review is recorded</t>
  </si>
  <si>
    <t xml:space="preserve">FLD-95.2.04</t>
  </si>
  <si>
    <t xml:space="preserve">Interstate hardware movement procedure published covering transit documentation thresholds, delivery paperwork, transit insurance, shock and humidity protection for headsets and servers in transit, and damage-on-arrival inspection and claim steps</t>
  </si>
  <si>
    <t xml:space="preserve">Logistics procedure with packaging specification and claim steps</t>
  </si>
  <si>
    <t xml:space="preserve">Procedure states the documentation required per consignment, the packaging specification for each device class and the claim window and evidence</t>
  </si>
  <si>
    <t xml:space="preserve">FLD-95.2.05</t>
  </si>
  <si>
    <t xml:space="preserve">Goods-inward inspection protocol published and proven at one site with the consignment reconciled to the bill of materials, serial numbers captured into the asset register and damaged or missing items raised inside the carrier's claim window</t>
  </si>
  <si>
    <t xml:space="preserve">FLD-95.2.04, FLD-92.1.01</t>
  </si>
  <si>
    <t xml:space="preserve">Goods-inward inspection record for one consignment</t>
  </si>
  <si>
    <t xml:space="preserve">Every delivered item reconciled and serialised into the register; any shortfall or damage raised with a dated claim reference inside the window</t>
  </si>
  <si>
    <t xml:space="preserve">FLD-95.2.06</t>
  </si>
  <si>
    <t xml:space="preserve">End-of-life and electronic-waste disposal procedure published covering authorised recycler selection criteria, data sanitisation of headsets and edge storage before disposal, battery handling, disposal certificate retention and the customer's producer-responsibility obligations</t>
  </si>
  <si>
    <t xml:space="preserve">Disposal procedure with sanitisation steps and certificate retention rule</t>
  </si>
  <si>
    <t xml:space="preserve">Procedure states the sanitisation method and verification per storage class, the battery handling rule, the certificate retention period and the customer obligation summary</t>
  </si>
  <si>
    <t xml:space="preserve">FLD-95.2.07</t>
  </si>
  <si>
    <t xml:space="preserve">Exit-gate evidence bundle assembled and reviewed for the Site Deployment Kit deployment-context variants and India logistics task</t>
  </si>
  <si>
    <t xml:space="preserve">FLD-96.1.01</t>
  </si>
  <si>
    <t xml:space="preserve">Site Deployment Kit sustainment, vendor onboarding and technician enablement</t>
  </si>
  <si>
    <t xml:space="preserve">Maintenance contract and spares</t>
  </si>
  <si>
    <t xml:space="preserve">Annual maintenance contract scope published defining preventive-visit frequency, the task list per visit, corrective-maintenance inclusions and exclusions, covered consumables and the escalation matrix</t>
  </si>
  <si>
    <t xml:space="preserve">Published maintenance scope document</t>
  </si>
  <si>
    <t xml:space="preserve">Scope states visit frequency, per-visit task list, explicit exclusions and a three-level escalation matrix with response roles</t>
  </si>
  <si>
    <t xml:space="preserve">FLD-96.1.02</t>
  </si>
  <si>
    <t xml:space="preserve">Mean-time-to-repair commitments published per failure class covering headset, controller, charging cart, edge server, network and display, with response and restoration targets differentiated between metropolitan and non-metropolitan site locations</t>
  </si>
  <si>
    <t xml:space="preserve">Commitment table by failure class and location band</t>
  </si>
  <si>
    <t xml:space="preserve">Every failure class has a response and a restoration target for both location bands; the measurement start event is defined for each</t>
  </si>
  <si>
    <t xml:space="preserve">FLD-96.1.03</t>
  </si>
  <si>
    <t xml:space="preserve">Spares holding model published per site deriving on-site spare quantities per device class from the mean-time-to-repair commitment, the assumed failure rate marked PROVISIONAL until field data exists, and the replenishment lead time</t>
  </si>
  <si>
    <t xml:space="preserve">FLD-96.1.02, FLD-94.2.01</t>
  </si>
  <si>
    <t xml:space="preserve">Spares model with per-device-class quantities and stated assumptions</t>
  </si>
  <si>
    <t xml:space="preserve">Each device class has a derived spare quantity with the derivation shown; every assumed failure rate carries the PROVISIONAL prefix</t>
  </si>
  <si>
    <t xml:space="preserve">FLD-96.1.04</t>
  </si>
  <si>
    <t xml:space="preserve">Mean-time-to-repair performance measured over a defined operating window at the reference site against the published commitments, with every breach analysed and either the process or the commitment corrected</t>
  </si>
  <si>
    <t xml:space="preserve">FLD-96.1.02, FLD-96.1.03</t>
  </si>
  <si>
    <t xml:space="preserve">Measured repair performance report with breach analysis</t>
  </si>
  <si>
    <t xml:space="preserve">Every repair event in the window recorded with response and restoration times; every breach has a root cause and a corrective action or a revised commitment</t>
  </si>
  <si>
    <t xml:space="preserve">FLD-96.2.01</t>
  </si>
  <si>
    <t xml:space="preserve">Vendors, technicians and kit governance</t>
  </si>
  <si>
    <t xml:space="preserve">Local service partner onboarding pack published stating the capability, certification, geographic coverage, spares-holding and response-time requirements a regional partner must meet, together with confidentiality and site-conduct terms</t>
  </si>
  <si>
    <t xml:space="preserve">Published partner onboarding pack</t>
  </si>
  <si>
    <t xml:space="preserve">Pack states all five qualification requirements with measurable thresholds plus confidentiality and site-conduct terms; no partner named</t>
  </si>
  <si>
    <t xml:space="preserve">FLD-96.2.02</t>
  </si>
  <si>
    <t xml:space="preserve">Regional service partner qualification assessment executed against the onboarding pack for at least one candidate partner with the scored result and any conditions recorded, and no vendor identity carried in the workbook</t>
  </si>
  <si>
    <t xml:space="preserve">Completed scored assessment with conditions register</t>
  </si>
  <si>
    <t xml:space="preserve">Assessment scores every requirement in the pack; the result and any conditions recorded; the workbook entry references the assessment without naming the partner</t>
  </si>
  <si>
    <t xml:space="preserve">FLD-96.2.03</t>
  </si>
  <si>
    <t xml:space="preserve">Train-the-lab-technician pack published covering daily open and close routine, pre-session device checks, hygiene protocol, imaging and restore, network and synchronisation fault triage, escalation thresholds and safety incident handling, ending in a practical assessment</t>
  </si>
  <si>
    <t xml:space="preserve">FLD-94.2.03, FLD-91.2.01</t>
  </si>
  <si>
    <t xml:space="preserve">Published technician training pack with assessment instrument</t>
  </si>
  <si>
    <t xml:space="preserve">Pack covers all seven topics with a procedure per topic; the assessment instrument has objective pass criteria per topic</t>
  </si>
  <si>
    <t xml:space="preserve">FLD-96.2.04</t>
  </si>
  <si>
    <t xml:space="preserve">Lab-technician competency verified by a candidate with no prior exposure completing the pack and then passing a practical assessment that includes a live device fault and a synchronisation failure, with the result recorded against the technician's record</t>
  </si>
  <si>
    <t xml:space="preserve">Assessment result record for an untrained candidate</t>
  </si>
  <si>
    <t xml:space="preserve">Candidate passes every objective criterion including both injected faults; result recorded against the technician's learning record</t>
  </si>
  <si>
    <t xml:space="preserve">FLD-96.2.05</t>
  </si>
  <si>
    <t xml:space="preserve">Site Deployment Kit release governance established so the kit carries a version number and change log and a kit revision cannot be issued without re-validating the checklist items the revision affects</t>
  </si>
  <si>
    <t xml:space="preserve">FLD-94.2.06, FLD-95.1.06</t>
  </si>
  <si>
    <t xml:space="preserve">Kit versioning policy and change log with a worked revision</t>
  </si>
  <si>
    <t xml:space="preserve">Kit has a version and change log; the worked revision shows the affected checklist items re-validated before issue</t>
  </si>
  <si>
    <t xml:space="preserve">FLD-96.2.06</t>
  </si>
  <si>
    <t xml:space="preserve">Exit-gate evidence bundle assembled and reviewed for the Site Deployment Kit sustainment, vendor onboarding and technician enablement task</t>
  </si>
  <si>
    <t xml:space="preserve">TLA-90.1.01</t>
  </si>
  <si>
    <t xml:space="preserve">M19 Indian competency framework fixtures</t>
  </si>
  <si>
    <t xml:space="preserve">Framework selection and NSQF</t>
  </si>
  <si>
    <t xml:space="preserve">Indian competency framework landscape assessed for EdVidura's target segments recording which of the national skills qualification framework, NCVET-recognised qualification packs, sector skill council job roles and NEP credit and outcome frameworks are in scope and which customer segment each serves</t>
  </si>
  <si>
    <t xml:space="preserve">Landscape assessment with in-scope and out-of-scope decisions per segment</t>
  </si>
  <si>
    <t xml:space="preserve">Every named framework has an in-scope or out-of-scope decision with the serving segment and the rationale; decision has a named approver</t>
  </si>
  <si>
    <t xml:space="preserve">TLA-90.1.02</t>
  </si>
  <si>
    <t xml:space="preserve">NSQF level descriptors modelled against the competency object model with each descriptor axis mapped to a registry field and every unmappable element raised as a schema change request</t>
  </si>
  <si>
    <t xml:space="preserve">TLA-01.1.01, TLA-90.1.01</t>
  </si>
  <si>
    <t xml:space="preserve">Descriptor-to-field mapping table and raised schema change requests</t>
  </si>
  <si>
    <t xml:space="preserve">Every descriptor axis is either mapped to a field or has a raised change request; zero silently dropped axes</t>
  </si>
  <si>
    <t xml:space="preserve">TLA-90.1.03</t>
  </si>
  <si>
    <t xml:space="preserve">NSQF level descriptor fixture loaded as a versioned framework through the published registry API with a validation report showing zero rejected records</t>
  </si>
  <si>
    <t xml:space="preserve">TLA-01.3.01, TLA-90.1.02</t>
  </si>
  <si>
    <t xml:space="preserve">Load validation report and the resulting immutable framework version</t>
  </si>
  <si>
    <t xml:space="preserve">Fixture loads through the published API with zero rejects; resulting version is immutable and resolvable by identifier plus version</t>
  </si>
  <si>
    <t xml:space="preserve">TLA-90.2.01</t>
  </si>
  <si>
    <t xml:space="preserve">Qualification packs, job roles and NEP mapping</t>
  </si>
  <si>
    <t xml:space="preserve">NCVET-recognised qualification pack structure modelled in the registry covering qualification, national occupational standards, performance criteria and assessment criteria, with parent and prerequisite relationships expressed in the existing ontology rather than a new one</t>
  </si>
  <si>
    <t xml:space="preserve">Qualification pack structural model mapped to the existing ontology</t>
  </si>
  <si>
    <t xml:space="preserve">All four structural levels expressed using existing ontology relationships; any required ontology extension raised as a change request rather than applied silently</t>
  </si>
  <si>
    <t xml:space="preserve">TLA-90.2.02</t>
  </si>
  <si>
    <t xml:space="preserve">One complete NCVET-recognised qualification pack loaded as a versioned fixture with the vocabulary collision count against existing fixtures recorded and each collision resolved or explicitly accepted</t>
  </si>
  <si>
    <t xml:space="preserve">TLA-02.3.02, TLA-90.2.01</t>
  </si>
  <si>
    <t xml:space="preserve">Load report with collision list and per-collision disposition</t>
  </si>
  <si>
    <t xml:space="preserve">Pack loads with zero rejects; every collision has a resolution or an accepted disposition with a reason</t>
  </si>
  <si>
    <t xml:space="preserve">TLA-90.2.03</t>
  </si>
  <si>
    <t xml:space="preserve">Sector skill council job-role fixture loaded for at least one target sector with job role, associated qualification pack and framework level linked, and role-to-competency resolution demonstrated through the published API</t>
  </si>
  <si>
    <t xml:space="preserve">Job-role fixture load report and API resolution transcript</t>
  </si>
  <si>
    <t xml:space="preserve">Job role resolves to its full competency set through the API in a single documented call sequence; links to qualification pack and level present</t>
  </si>
  <si>
    <t xml:space="preserve">TLA-90.2.04</t>
  </si>
  <si>
    <t xml:space="preserve">NEP-aligned credit and learning-outcome mapping modelled for education customers covering credit value, credit level and outcome statements attached to competencies, with the external academic credit account identifier held as a reference field rather than an internal key</t>
  </si>
  <si>
    <t xml:space="preserve">Credit and outcome model specification</t>
  </si>
  <si>
    <t xml:space="preserve">Credit value, credit level and outcome statement are modelled as first-class attributes; the external credit account identifier is a non-authoritative reference field</t>
  </si>
  <si>
    <t xml:space="preserve">TLA-90.2.05</t>
  </si>
  <si>
    <t xml:space="preserve">NEP credit mapping fixture loaded and proven by resolving one synthetic learner's completed competencies to a credit total and an outcome list for a single synthetic academic programme</t>
  </si>
  <si>
    <t xml:space="preserve">Resolution transcript with computed credit total and outcome list</t>
  </si>
  <si>
    <t xml:space="preserve">Credit total computed matches the hand-calculated expected value for the synthetic programme; outcome list complete with no unresolved competencies</t>
  </si>
  <si>
    <t xml:space="preserve">TLA-90.2.06</t>
  </si>
  <si>
    <t xml:space="preserve">Indian framework fixture refresh procedure defined stating how a published revision to a national framework enters the registry as a new immutable version and how in-flight learner records resolve across the change</t>
  </si>
  <si>
    <t xml:space="preserve">TLA-01.2.03, TLA-90.2.02</t>
  </si>
  <si>
    <t xml:space="preserve">Refresh procedure document with a worked version-transition example</t>
  </si>
  <si>
    <t xml:space="preserve">Procedure states the trigger, the load path, the crosswalk requirement and the resolution rule for records created under the prior version</t>
  </si>
  <si>
    <t xml:space="preserve">TLA-90.2.07</t>
  </si>
  <si>
    <t xml:space="preserve">Exit-gate evidence bundle assembled and reviewed for the M19 Indian competency framework fixtures task</t>
  </si>
  <si>
    <t xml:space="preserve">TLA-91.1.01</t>
  </si>
  <si>
    <t xml:space="preserve">M19 framework crosswalk, governance and usage rights</t>
  </si>
  <si>
    <t xml:space="preserve">Indian to enterprise framework crosswalk</t>
  </si>
  <si>
    <t xml:space="preserve">Crosswalk authored at competency level between one Indian national framework and one enterprise or defence competency framework recording an equivalence type of exact, broader, narrower, partial or none for every mapped pair together with the evidence for each judgement</t>
  </si>
  <si>
    <t xml:space="preserve">Crosswalk table with equivalence type and evidence per pair</t>
  </si>
  <si>
    <t xml:space="preserve">Every pair carries one of the five equivalence types and a stated evidence basis; zero pairs left untyped</t>
  </si>
  <si>
    <t xml:space="preserve">TLA-91.1.02</t>
  </si>
  <si>
    <t xml:space="preserve">Crosswalk reviewed and signed by a subject-matter authority for each side of the mapping with disputed pairs recorded as unresolved rather than forced to an equivalence</t>
  </si>
  <si>
    <t xml:space="preserve">Signed crosswalk review record from both framework sides</t>
  </si>
  <si>
    <t xml:space="preserve">Both reviewers named and dated; every disputed pair carries an unresolved marker and the nature of the dispute</t>
  </si>
  <si>
    <t xml:space="preserve">TLA-91.1.03</t>
  </si>
  <si>
    <t xml:space="preserve">Crosswalk loaded through the registry crosswalk endpoint and proven by resolving a learner holding Indian-framework evidence into the enterprise framework's competency set with partial equivalences surfaced as partial rather than complete</t>
  </si>
  <si>
    <t xml:space="preserve">Crosswalk load report and resolution transcript for a synthetic learner</t>
  </si>
  <si>
    <t xml:space="preserve">Resolution returns partial equivalences flagged as partial; no partial equivalence is presented as a satisfied competency</t>
  </si>
  <si>
    <t xml:space="preserve">TLA-91.1.04</t>
  </si>
  <si>
    <t xml:space="preserve">Crosswalk decay rule defined so a new version of either framework invalidates the affected mappings and flags them for re-review before they may be used in any official record</t>
  </si>
  <si>
    <t xml:space="preserve">Decay rule specification with a worked invalidation example</t>
  </si>
  <si>
    <t xml:space="preserve">Rule states the invalidation trigger, the blocked usage during re-review and the re-approval route; worked example shows an official-record write refused</t>
  </si>
  <si>
    <t xml:space="preserve">TLA-91.2.01</t>
  </si>
  <si>
    <t xml:space="preserve">Governance and usage rights</t>
  </si>
  <si>
    <t xml:space="preserve">Governance owner named in writing for each loaded Indian framework fixture and recorded in the registry governance metadata, accountable for currency, approval of new versions and withdrawal</t>
  </si>
  <si>
    <t xml:space="preserve">TLA-01.1.05, TLA-90.2.06</t>
  </si>
  <si>
    <t xml:space="preserve">Governance metadata entries with named owner per fixture</t>
  </si>
  <si>
    <t xml:space="preserve">Every loaded Indian fixture has a named governance owner in registry metadata; zero fixtures with an unassigned owner</t>
  </si>
  <si>
    <t xml:space="preserve">TLA-91.2.02</t>
  </si>
  <si>
    <t xml:space="preserve">Usage rights confirmed in writing for every Indian framework fixture covering permitted reproduction, redistribution to customers, derivative crosswalks, replication into enclaves and attribution requirements, with anything unconfirmed blocked from load</t>
  </si>
  <si>
    <t xml:space="preserve">TLA-02.3.01, TLA-90.1.01</t>
  </si>
  <si>
    <t xml:space="preserve">Written usage-rights record per framework fixture</t>
  </si>
  <si>
    <t xml:space="preserve">Every fixture has a written rights record covering all five permissions; any fixture without one is absent from the loaded set</t>
  </si>
  <si>
    <t xml:space="preserve">TLA-91.2.03</t>
  </si>
  <si>
    <t xml:space="preserve">Attribution and version provenance rendering implemented so any learner-facing or report surface displaying an Indian framework competency shows the framework name, version and required source attribution</t>
  </si>
  <si>
    <t xml:space="preserve">Screenshots of every surface rendering framework attribution</t>
  </si>
  <si>
    <t xml:space="preserve">Every surface displaying a framework competency shows name, version and attribution; a surface missing attribution fails the automated check</t>
  </si>
  <si>
    <t xml:space="preserve">TLA-91.2.04</t>
  </si>
  <si>
    <t xml:space="preserve">Exit-gate evidence bundle assembled and reviewed for the M19 framework crosswalk, governance and usage rights task</t>
  </si>
  <si>
    <t xml:space="preserve">PRG-90.1.01</t>
  </si>
  <si>
    <t xml:space="preserve">DPDP Act obligations for Indian learners and customers</t>
  </si>
  <si>
    <t xml:space="preserve">Fiduciary duties, consent and notice</t>
  </si>
  <si>
    <t xml:space="preserve">Data-fiduciary role determination recorded per customer engagement model stating where EdVidura acts as data fiduciary and where it processes on behalf of a customer fiduciary, with the obligations that follow each position</t>
  </si>
  <si>
    <t xml:space="preserve">Role determination note per engagement model</t>
  </si>
  <si>
    <t xml:space="preserve">Every engagement model in the commercial catalogue has a stated role and its obligation list; ambiguous models resolved with a named approver</t>
  </si>
  <si>
    <t xml:space="preserve">PRG-90.1.02</t>
  </si>
  <si>
    <t xml:space="preserve">Personal-data inventory completed across the platform recording every personal data element with its purpose, lawful basis, source, storage location, retention period and downstream recipients including federation partners</t>
  </si>
  <si>
    <t xml:space="preserve">Personal-data inventory covering all services and stores</t>
  </si>
  <si>
    <t xml:space="preserve">Every store holding personal data appears with all seven attributes per element; zero elements with an unstated purpose or lawful basis</t>
  </si>
  <si>
    <t xml:space="preserve">PRG-90.1.03</t>
  </si>
  <si>
    <t xml:space="preserve">Consent and notice flow implemented presenting an itemised purpose-specific notice in the learner's chosen language, capturing consent per purpose as a timestamped immutable record and permitting withdrawal by a route no harder than granting</t>
  </si>
  <si>
    <t xml:space="preserve">PRG-90.1.02, PRG-93.1.01</t>
  </si>
  <si>
    <t xml:space="preserve">Consent flow implementation with stored consent records and notice screenshots per language</t>
  </si>
  <si>
    <t xml:space="preserve">Consent is recorded per purpose with timestamp and notice version; withdrawal reachable in the same or fewer steps than granting; notice rendered in every committed UI-tier language</t>
  </si>
  <si>
    <t xml:space="preserve">PRG-90.1.04</t>
  </si>
  <si>
    <t xml:space="preserve">Consent-withdrawal downstream behaviour implemented and proven so withdrawal for a purpose halts that processing, propagates to derived stores and federated tiers, and leaves records retained under a legal obligation intact with the retention reason displayed to the learner</t>
  </si>
  <si>
    <t xml:space="preserve">PRG-90.1.03, PRG-07.3.06</t>
  </si>
  <si>
    <t xml:space="preserve">Withdrawal propagation test report across derived and federated stores</t>
  </si>
  <si>
    <t xml:space="preserve">Post-withdrawal query shows the purpose halted in every derived store inside the declared staleness bound; retained records display their retention reason</t>
  </si>
  <si>
    <t xml:space="preserve">PRG-90.2.01</t>
  </si>
  <si>
    <t xml:space="preserve">Data-principal rights and breach response</t>
  </si>
  <si>
    <t xml:space="preserve">Data-principal access request workflow implemented producing both a machine-readable and a human-readable export of a learner's personal data inside a published service window, with request, identity verification and fulfilment logged</t>
  </si>
  <si>
    <t xml:space="preserve">Fulfilled access request with both export formats and the request audit trail</t>
  </si>
  <si>
    <t xml:space="preserve">Export contains every element in the personal-data inventory for that learner; fulfilment completes inside the published window; audit trail records verification method</t>
  </si>
  <si>
    <t xml:space="preserve">PRG-90.2.02</t>
  </si>
  <si>
    <t xml:space="preserve">Data-principal correction and completion workflow implemented so a learner-initiated correction updates the source record by supersession rather than overwrite and propagates to federated copies inside the declared staleness bound</t>
  </si>
  <si>
    <t xml:space="preserve">Correction workflow test showing supersession chain and federated propagation</t>
  </si>
  <si>
    <t xml:space="preserve">Prior value remains retrievable as superseded; federated copies reflect the correction inside the declared bound</t>
  </si>
  <si>
    <t xml:space="preserve">PRG-90.2.03</t>
  </si>
  <si>
    <t xml:space="preserve">Erasure workflow implemented distinguishing erasable personal data from records retained under a legal obligation or as an official competency record, with the retained categories disclosed in the learner-facing notice</t>
  </si>
  <si>
    <t xml:space="preserve">PRG-90.2.02, PRG-07.3.06</t>
  </si>
  <si>
    <t xml:space="preserve">Erasure run report with retained-category disclosure text</t>
  </si>
  <si>
    <t xml:space="preserve">Erasure removes every erasable element; retained categories match the notice text exactly; a post-erasure search returns no erasable personal data</t>
  </si>
  <si>
    <t xml:space="preserve">PRG-90.2.04</t>
  </si>
  <si>
    <t xml:space="preserve">Personal-data breach notification workflow published and rehearsed covering detection, severity assessment, notification content and timeline to the regulator and to affected data principals, and the internal decision authority, with one tabletop exercise completed end to end</t>
  </si>
  <si>
    <t xml:space="preserve">Published breach workflow and a completed tabletop exercise report</t>
  </si>
  <si>
    <t xml:space="preserve">Workflow states the timeline for each notification target and the deciding role; tabletop exercise reaches a notification decision inside the stated timeline</t>
  </si>
  <si>
    <t xml:space="preserve">PRG-90.2.05</t>
  </si>
  <si>
    <t xml:space="preserve">Children's data handling implemented for education customers covering verifiable parental consent, prohibition of behavioural tracking and targeted advertising to children, and restriction of AI-driven profiling for under-age learners, with the age-determination method recorded</t>
  </si>
  <si>
    <t xml:space="preserve">Children's data control implementation and negative-test results</t>
  </si>
  <si>
    <t xml:space="preserve">Under-age accounts cannot be created without a verified parental consent record; behavioural tracking and profiling calls are refused for under-age learners in a negative test</t>
  </si>
  <si>
    <t xml:space="preserve">PRG-90.2.06</t>
  </si>
  <si>
    <t xml:space="preserve">Exit-gate evidence bundle assembled and reviewed for the DPDP Act obligations task</t>
  </si>
  <si>
    <t xml:space="preserve">PRG-91.1.01</t>
  </si>
  <si>
    <t xml:space="preserve">Indian processing agreements, data residency, retention and accessibility conformance</t>
  </si>
  <si>
    <t xml:space="preserve">Processing agreements, residency and retention</t>
  </si>
  <si>
    <t xml:space="preserve">Data-processing agreement template authored for Indian customers specifying processing purposes and duration, sub-processor disclosure and approval, security measures, breach notification obligations and timelines, audit rights, data return and deletion on exit, and cross-border transfer terms</t>
  </si>
  <si>
    <t xml:space="preserve">Data-processing agreement template in the contract registry</t>
  </si>
  <si>
    <t xml:space="preserve">Template addresses all eight named clause areas; each clause names the obligated party and the trigger</t>
  </si>
  <si>
    <t xml:space="preserve">PRG-91.1.02</t>
  </si>
  <si>
    <t xml:space="preserve">Data-processing agreement template reviewed by qualified Indian legal counsel with review comments closed or explicitly accepted, and the template held as PROVISIONAL until that review is recorded</t>
  </si>
  <si>
    <t xml:space="preserve">Legal review record with comment dispositions</t>
  </si>
  <si>
    <t xml:space="preserve">Every review comment has a closure or an accepted-risk disposition; the PROVISIONAL prefix removed only when the review record exists</t>
  </si>
  <si>
    <t xml:space="preserve">PRG-91.1.03</t>
  </si>
  <si>
    <t xml:space="preserve">Sub-processor register published listing every third party that processes customer personal data with its purpose, processing location and the customer-notification route for additions or changes</t>
  </si>
  <si>
    <t xml:space="preserve">PRG-90.1.02, PRG-91.1.01</t>
  </si>
  <si>
    <t xml:space="preserve">Published sub-processor register with change-notification procedure</t>
  </si>
  <si>
    <t xml:space="preserve">Every third party in the personal-data inventory's recipient list appears in the register with purpose and location; notification route states the notice period</t>
  </si>
  <si>
    <t xml:space="preserve">PRG-91.1.04</t>
  </si>
  <si>
    <t xml:space="preserve">India-hosted deployment option specified naming the platform components that must remain in country, the data classes that may never leave, and the architectural differences from the default hosting, costed in INR with every figure marked PROVISIONAL</t>
  </si>
  <si>
    <t xml:space="preserve">PRG-90.1.02, PRG-07.3.06</t>
  </si>
  <si>
    <t xml:space="preserve">India-hosted deployment specification with INR cost annex</t>
  </si>
  <si>
    <t xml:space="preserve">Specification names in-country components and never-leave data classes; every cost cell carries the PROVISIONAL prefix</t>
  </si>
  <si>
    <t xml:space="preserve">PRG-91.1.05</t>
  </si>
  <si>
    <t xml:space="preserve">Empanelled-hosting eligibility assessed for the India-hosted option recording the empanelment categories required by the customer segments in scope and the gap between those categories and the current hosting arrangement</t>
  </si>
  <si>
    <t xml:space="preserve">Empanelment eligibility assessment with gap list</t>
  </si>
  <si>
    <t xml:space="preserve">Every in-scope customer segment has a stated empanelment requirement or an explicit none; each gap has an owner and an estimated remediation effort</t>
  </si>
  <si>
    <t xml:space="preserve">PRG-91.1.06</t>
  </si>
  <si>
    <t xml:space="preserve">Records retention schedule authored per record class covering learner personal data, assessment evidence, official competency records, audit logs and financial records, citing the Indian legal or contractual basis for each period and the disposal method at expiry</t>
  </si>
  <si>
    <t xml:space="preserve">Retention schedule with legal basis and disposal method per class</t>
  </si>
  <si>
    <t xml:space="preserve">Every record class has a period, a cited basis and a disposal method; no class left with an indefinite period without a stated basis</t>
  </si>
  <si>
    <t xml:space="preserve">PRG-91.1.07</t>
  </si>
  <si>
    <t xml:space="preserve">Retention enforcement implemented so each record class expires automatically at its scheduled period with legal-hold suspension available and every disposal event logged</t>
  </si>
  <si>
    <t xml:space="preserve">Retention enforcement job output and disposal audit log</t>
  </si>
  <si>
    <t xml:space="preserve">A record past its period is disposed automatically in test; a record under legal hold is retained; every disposal event has an audit entry</t>
  </si>
  <si>
    <t xml:space="preserve">PRG-91.2.01</t>
  </si>
  <si>
    <t xml:space="preserve">Accessibility conformance in India</t>
  </si>
  <si>
    <t xml:space="preserve">Indian accessibility standard requirements mapped against the existing WCAG 2.2 AA commitment producing the delta list of requirements that WCAG conformance does not already satisfy</t>
  </si>
  <si>
    <t xml:space="preserve">Requirement mapping table with the derived delta list</t>
  </si>
  <si>
    <t xml:space="preserve">Every Indian standard requirement is marked as covered by an identified WCAG criterion or added to the delta list; zero requirements unassessed</t>
  </si>
  <si>
    <t xml:space="preserve">PRG-91.2.02</t>
  </si>
  <si>
    <t xml:space="preserve">Delta accessibility requirements implemented and verified on the learner-facing web surfaces with an audit report evidencing each delta item including Indian-language screen-reader behaviour</t>
  </si>
  <si>
    <t xml:space="preserve">PRG-91.2.01, PRG-93.1.01</t>
  </si>
  <si>
    <t xml:space="preserve">Accessibility audit report covering each delta requirement</t>
  </si>
  <si>
    <t xml:space="preserve">Every delta requirement has a pass result with evidence; Indian-language screen-reader announcement verified for at least the committed UI-tier languages</t>
  </si>
  <si>
    <t xml:space="preserve">PRG-91.2.03</t>
  </si>
  <si>
    <t xml:space="preserve">Accessibility conformance statement published per customer-facing product naming the standards claimed, the evaluation method, the evaluation date, known limitations and the feedback route</t>
  </si>
  <si>
    <t xml:space="preserve">Published conformance statements per product</t>
  </si>
  <si>
    <t xml:space="preserve">Every customer-facing product has a statement carrying all five elements; no statement claims a standard without a matching audit result</t>
  </si>
  <si>
    <t xml:space="preserve">PRG-91.3.01</t>
  </si>
  <si>
    <t xml:space="preserve">Accreditation authority neutrality</t>
  </si>
  <si>
    <t xml:space="preserve">Security accreditation product scope restated in market-neutral terms so the authorisation-to-operate initiation work names no specific national authority as fact, with the accrediting authority carried as an open Human-Input Register entry</t>
  </si>
  <si>
    <t xml:space="preserve">Restated product scope statement and the Human-Input Register entry</t>
  </si>
  <si>
    <t xml:space="preserve">Scope statement contains no named national authority; a Human-Input Register entry exists stating the decision required, its owner and what it blocks</t>
  </si>
  <si>
    <t xml:space="preserve">PRG-91.3.02</t>
  </si>
  <si>
    <t xml:space="preserve">Authority-agnostic control baseline confirmed by mapping every hardening and evidence item in the accreditation initiation scope to a control statement that holds regardless of the accrediting authority, with authority-specific items isolated and marked deferred</t>
  </si>
  <si>
    <t xml:space="preserve">Control mapping table with the isolated authority-specific list</t>
  </si>
  <si>
    <t xml:space="preserve">Every accreditation-scope item is either mapped to an authority-agnostic control or explicitly listed as authority-specific and deferred; zero unclassified items</t>
  </si>
  <si>
    <t xml:space="preserve">PRG-91.3.03</t>
  </si>
  <si>
    <t xml:space="preserve">Indian accreditation and empanelment pathway options assessed for the customer segments in scope recording for each the sponsoring authority type, the evidence it demands, the indicative elapsed time and the decision it would force, without asserting any pathway as selected</t>
  </si>
  <si>
    <t xml:space="preserve">PRG-91.3.02, PRG-91.1.05</t>
  </si>
  <si>
    <t xml:space="preserve">Pathway options assessment with per-option evidence demands</t>
  </si>
  <si>
    <t xml:space="preserve">Each option records authority type, evidence demands, elapsed-time band and the forced decision; the assessment states explicitly that no pathway is selected</t>
  </si>
  <si>
    <t xml:space="preserve">PRG-91.3.04</t>
  </si>
  <si>
    <t xml:space="preserve">Exit-gate evidence bundle assembled and reviewed for the Indian processing agreements, data residency, retention and accessibility conformance task</t>
  </si>
  <si>
    <t xml:space="preserve">PRG-92.1.01</t>
  </si>
  <si>
    <t xml:space="preserve">INR cost model, Indian procurement route and pricing decisions</t>
  </si>
  <si>
    <t xml:space="preserve">INR cost model</t>
  </si>
  <si>
    <t xml:space="preserve">INR cost model fields defined and added to the programme cost structure covering capital, licence and subscription, implementation effort, travel, logistics, import duty, maintenance contract and contingency, with the base date and exchange-rate assumption stated for every imported line</t>
  </si>
  <si>
    <t xml:space="preserve">Cost model field definition with base date and rate assumption</t>
  </si>
  <si>
    <t xml:space="preserve">All eight cost categories defined with a data type and an owning role; every imported line carries a base date and a stated exchange-rate assumption</t>
  </si>
  <si>
    <t xml:space="preserve">PRG-92.1.02</t>
  </si>
  <si>
    <t xml:space="preserve">Per-deliverable INR cost sheet populated for the immersive lab, the site deployment kit and the platform enablers with every figure marked PROVISIONAL until a quotation replaces it and the source of each figure named</t>
  </si>
  <si>
    <t xml:space="preserve">PRG-92.1.01, FLD-94.2.02</t>
  </si>
  <si>
    <t xml:space="preserve">Populated per-deliverable cost sheet</t>
  </si>
  <si>
    <t xml:space="preserve">Every deliverable in scope has a populated cost line; every figure carries the PROVISIONAL prefix and a named source; no vendor named</t>
  </si>
  <si>
    <t xml:space="preserve">PRG-92.1.03</t>
  </si>
  <si>
    <t xml:space="preserve">Total cost of ownership model published for a customer site over a stated horizon covering hardware refresh, maintenance contract, connectivity, consumables, licence and support, expressed in INR with the assumption list attached</t>
  </si>
  <si>
    <t xml:space="preserve">PRG-92.1.02, FLD-96.1.01</t>
  </si>
  <si>
    <t xml:space="preserve">Total cost of ownership model with assumption register</t>
  </si>
  <si>
    <t xml:space="preserve">Model spans the stated horizon with a line per cost class; every assumption listed with its sensitivity; all figures carry the PROVISIONAL prefix</t>
  </si>
  <si>
    <t xml:space="preserve">PRG-92.1.04</t>
  </si>
  <si>
    <t xml:space="preserve">Cost-of-delay estimate produced per long-lead procurement line stating which stage slips and by how long if the order-by date is missed</t>
  </si>
  <si>
    <t xml:space="preserve">PRG-92.1.02, FLD-95.2.01</t>
  </si>
  <si>
    <t xml:space="preserve">Cost-of-delay table linked to procurement lines</t>
  </si>
  <si>
    <t xml:space="preserve">Every long-lead line has a named dependent stage and a quantified slip; lines with no stage impact stated explicitly as none</t>
  </si>
  <si>
    <t xml:space="preserve">PRG-92.2.01</t>
  </si>
  <si>
    <t xml:space="preserve">Indian procurement route and pricing</t>
  </si>
  <si>
    <t xml:space="preserve">Public e-marketplace procurement route assessed for public-sector and government-funded institutional customers recording catalogue-category fit, seller registration prerequisites, bid and reverse-auction mechanics and the artefacts EdVidura must produce on demand</t>
  </si>
  <si>
    <t xml:space="preserve">Procurement route assessment with prerequisite and artefact lists</t>
  </si>
  <si>
    <t xml:space="preserve">Assessment states category fit for each product, every registration prerequisite and every on-demand artefact with its owning role</t>
  </si>
  <si>
    <t xml:space="preserve">PRG-92.2.02</t>
  </si>
  <si>
    <t xml:space="preserve">Public-marketplace readiness gap list produced from the route assessment with an owner and a target date per gap and the gaps that would disqualify a bid marked as blocking</t>
  </si>
  <si>
    <t xml:space="preserve">Readiness gap list with owners, dates and blocking flags</t>
  </si>
  <si>
    <t xml:space="preserve">Every gap has an owner and a target date; blocking gaps flagged distinctly and reflected in the risk register</t>
  </si>
  <si>
    <t xml:space="preserve">PRG-92.2.03</t>
  </si>
  <si>
    <t xml:space="preserve">Public procurement compliance requirements assessed covering local-content preference claims, small-enterprise participation and the certifications a tender is likely to demand, with every claim EdVidura could make either evidenced or removed</t>
  </si>
  <si>
    <t xml:space="preserve">Compliance requirement assessment with per-claim evidence status</t>
  </si>
  <si>
    <t xml:space="preserve">Every potential claim has supporting evidence or is struck from the bid library; no unevidenced claim remains available for use</t>
  </si>
  <si>
    <t xml:space="preserve">PRG-92.2.04</t>
  </si>
  <si>
    <t xml:space="preserve">Purchase-order-to-cash cycle mapped per Indian buyer segment recording typical purchase-order lead time, invoicing prerequisites, tax documentation, expected payment terms and the implied working-capital exposure</t>
  </si>
  <si>
    <t xml:space="preserve">Order-to-cash cycle map per buyer segment</t>
  </si>
  <si>
    <t xml:space="preserve">Every buyer segment has a mapped cycle with all five attributes; the working-capital exposure is quantified and marked PROVISIONAL</t>
  </si>
  <si>
    <t xml:space="preserve">PRG-92.2.05</t>
  </si>
  <si>
    <t xml:space="preserve">Payment milestone schedule template published binding every payment to a named acceptance artefact from the site deployment kit or platform acceptance so that no milestone is payable on elapsed time alone</t>
  </si>
  <si>
    <t xml:space="preserve">FLD-94.2.05, PRG-92.2.04</t>
  </si>
  <si>
    <t xml:space="preserve">Payment milestone template with artefact bindings</t>
  </si>
  <si>
    <t xml:space="preserve">Every milestone in the template names the acceptance artefact that releases it; zero milestones triggered by date alone</t>
  </si>
  <si>
    <t xml:space="preserve">PRG-92.2.06</t>
  </si>
  <si>
    <t xml:space="preserve">Pricing and licence model options defined per Indian buyer segment covering enterprise, skilling institute, university and secure enterprise across per-learner, per-seat, per-site and consumption bases, with the margin and support-cost implication of each and all figures marked PROVISIONAL</t>
  </si>
  <si>
    <t xml:space="preserve">PRG-92.1.03, PRG-92.2.04</t>
  </si>
  <si>
    <t xml:space="preserve">Pricing options analysis per segment and basis</t>
  </si>
  <si>
    <t xml:space="preserve">Every segment has at least two costed options with margin and support-cost implications; every figure carries the PROVISIONAL prefix</t>
  </si>
  <si>
    <t xml:space="preserve">PRG-92.2.07</t>
  </si>
  <si>
    <t xml:space="preserve">Pricing and licence model decision recorded per Indian buyer segment with a named approver, an effective date and the review trigger that would reopen it</t>
  </si>
  <si>
    <t xml:space="preserve">Signed pricing decision record per segment</t>
  </si>
  <si>
    <t xml:space="preserve">Every segment has a decision with approver, effective date and a stated reopening trigger; undecided segments listed with the blocking reason</t>
  </si>
  <si>
    <t xml:space="preserve">PRG-92.2.08</t>
  </si>
  <si>
    <t xml:space="preserve">Exit-gate evidence bundle assembled and reviewed for the INR cost model, Indian procurement route and pricing decisions task</t>
  </si>
  <si>
    <t xml:space="preserve">PRG-93.1.01</t>
  </si>
  <si>
    <t xml:space="preserve">Language tier matrix and per-language delivery for India</t>
  </si>
  <si>
    <t xml:space="preserve">Language tier matrix decision</t>
  </si>
  <si>
    <t xml:space="preserve">Language tier matrix decision recorded committing English plus a named set of Indian languages per tier across user interface, learning content, AI interaction, assessment and customer support, with the rationale, the target segment each language serves, the cost per language per tier marked PROVISIONAL, and a named approver</t>
  </si>
  <si>
    <t xml:space="preserve">Signed language tier matrix decision record</t>
  </si>
  <si>
    <t xml:space="preserve">Every tier lists its committed languages explicitly; each language states its serving segment and PROVISIONAL cost; record carries approver and date</t>
  </si>
  <si>
    <t xml:space="preserve">PRG-93.1.02</t>
  </si>
  <si>
    <t xml:space="preserve">Language tier matrix registered as the single referenced source for downstream localization work so every per-language item cites the matrix version it implements, verified by an audit finding zero per-language items without a matrix reference</t>
  </si>
  <si>
    <t xml:space="preserve">Matrix version registry entry and the per-item reference audit result</t>
  </si>
  <si>
    <t xml:space="preserve">Audit covers every per-language item in the plan; zero items lack a matrix version reference</t>
  </si>
  <si>
    <t xml:space="preserve">PRG-93.1.03</t>
  </si>
  <si>
    <t xml:space="preserve">Per-tier definition of done published stating what supported means at each tier so a language present at interface tier is not assumed supported for assessment or customer support</t>
  </si>
  <si>
    <t xml:space="preserve">Published per-tier definition of done</t>
  </si>
  <si>
    <t xml:space="preserve">Each of the five tiers has a stated evidence set that constitutes support; the document forbids inferring support at a tier from support at another</t>
  </si>
  <si>
    <t xml:space="preserve">PRG-93.2.01</t>
  </si>
  <si>
    <t xml:space="preserve">Device and script rendering</t>
  </si>
  <si>
    <t xml:space="preserve">In-headset Indic script rendering verified on the deployed XR devices for every committed script covering conjunct formation, matra placement, line breaking and legibility at the headset's rendered resolution and viewing distance, with per-script screenshots as evidence</t>
  </si>
  <si>
    <t xml:space="preserve">PRG-07.2.02, PRG-93.1.01</t>
  </si>
  <si>
    <t xml:space="preserve">Per-script in-headset rendering evidence set</t>
  </si>
  <si>
    <t xml:space="preserve">Every committed script has evidence for all four rendering behaviours; zero scripts with unresolved shaping or clipping defects</t>
  </si>
  <si>
    <t xml:space="preserve">PRG-93.2.02</t>
  </si>
  <si>
    <t xml:space="preserve">In-headset text sizing and contrast for Indic scripts validated against the accessibility baseline at headset viewing distance with the minimum legible size per script recorded and enforced in the XR user interface style guide</t>
  </si>
  <si>
    <t xml:space="preserve">Legibility measurement record and the updated XR style guide</t>
  </si>
  <si>
    <t xml:space="preserve">Every committed script has a recorded minimum legible size; the style guide enforces it and a violating layout fails the build check</t>
  </si>
  <si>
    <t xml:space="preserve">PRG-93.2.03</t>
  </si>
  <si>
    <t xml:space="preserve">Indic script rendering verified in the microlearning mobile application across the committed scripts on the supported device and operating-system matrix including small-screen truncation and system-font fallback behaviour</t>
  </si>
  <si>
    <t xml:space="preserve">Device-matrix rendering evidence set for the mobile application</t>
  </si>
  <si>
    <t xml:space="preserve">Every committed script renders correctly on every matrix entry; truncation and fallback behaviour documented and free of mojibake</t>
  </si>
  <si>
    <t xml:space="preserve">PRG-93.2.04</t>
  </si>
  <si>
    <t xml:space="preserve">Indic typography verified in the interactive eBook and digitised technical manual pipeline covering complex-script shaping in the reader and in exported documents, search and copy fidelity, and reflow at accessibility text sizes</t>
  </si>
  <si>
    <t xml:space="preserve">Typography verification report for reader and export paths</t>
  </si>
  <si>
    <t xml:space="preserve">Shaping correct in both reader and export; search and copy return the original text for every committed script; reflow holds at the largest supported text size</t>
  </si>
  <si>
    <t xml:space="preserve">PRG-93.3.01</t>
  </si>
  <si>
    <t xml:space="preserve">AI evaluation, site language and translation currency</t>
  </si>
  <si>
    <t xml:space="preserve">Per-language AI evaluation set constructed for every language committed at the AI-interaction tier containing fixed human-reviewed items covering domain terminology, code-mixed input and script variants, and held immutable as a regression baseline</t>
  </si>
  <si>
    <t xml:space="preserve">PRG-07.2.03, PRG-93.1.01</t>
  </si>
  <si>
    <t xml:space="preserve">Immutable per-language evaluation datasets with review records</t>
  </si>
  <si>
    <t xml:space="preserve">Every AI-tier language has an evaluation set covering all three item classes; each set is version-pinned and human-reviewed</t>
  </si>
  <si>
    <t xml:space="preserve">PRG-93.3.02</t>
  </si>
  <si>
    <t xml:space="preserve">Per-language AI quality thresholds ratified and enforced as a release gate so a language failing its threshold cannot be advertised as supported at the AI-interaction tier</t>
  </si>
  <si>
    <t xml:space="preserve">Ratified threshold table and a blocked release demonstrating the gate</t>
  </si>
  <si>
    <t xml:space="preserve">Every AI-tier language has a ratified threshold; a deliberately failing language is blocked from release and removed from the supported list</t>
  </si>
  <si>
    <t xml:space="preserve">PRG-93.3.03</t>
  </si>
  <si>
    <t xml:space="preserve">Regional-language lab signage and operating instructions produced for each deployment region covering safety notices, play-area rules, hygiene instructions, session start and stop steps and the escalation contact, and installed at the reference site</t>
  </si>
  <si>
    <t xml:space="preserve">PRG-93.1.01, FLD-91.2.01</t>
  </si>
  <si>
    <t xml:space="preserve">Installed signage set with per-region language versions</t>
  </si>
  <si>
    <t xml:space="preserve">Every one of the five content areas exists in the region's committed language and in English; installation photographed at the reference site</t>
  </si>
  <si>
    <t xml:space="preserve">PRG-93.3.04</t>
  </si>
  <si>
    <t xml:space="preserve">Regional-language signage comprehension verified with a representative sample of site users completing session start and hygiene steps from the signage alone, with every failure corrected in the wording</t>
  </si>
  <si>
    <t xml:space="preserve">Comprehension test record with wording corrections</t>
  </si>
  <si>
    <t xml:space="preserve">Sample completes both procedures from signage alone; every observed failure has a wording correction issued and re-tested</t>
  </si>
  <si>
    <t xml:space="preserve">PRG-93.3.05</t>
  </si>
  <si>
    <t xml:space="preserve">Translation currency verified per language on a scheduled cadence so every source-string and content revision raises a staleness flag per language, with the stale-item count per language reported and an ageing threshold that blocks release</t>
  </si>
  <si>
    <t xml:space="preserve">PRG-07.3.03, PRG-93.1.02</t>
  </si>
  <si>
    <t xml:space="preserve">Scheduled translation currency report with per-language ageing</t>
  </si>
  <si>
    <t xml:space="preserve">Report runs on the stated cadence; every source revision produces a per-language flag; a language breaching the ageing threshold blocks its release</t>
  </si>
  <si>
    <t xml:space="preserve">PRG-93.3.06</t>
  </si>
  <si>
    <t xml:space="preserve">Exit-gate evidence bundle assembled and reviewed for the language tier matrix and per-language delivery task</t>
  </si>
  <si>
    <t xml:space="preserve">FED-90.1.01</t>
  </si>
  <si>
    <t xml:space="preserve">Organisation-agnostic federation topology and per-organisation sovereignty</t>
  </si>
  <si>
    <t xml:space="preserve">Organisation-agnostic topology</t>
  </si>
  <si>
    <t xml:space="preserve">Cross-organisation pipeline scope restated in organisation-type-agnostic terms serving multi-campus, multi-plant, multi-command and multi-tenant federations, with command vocabulary retained only as one configured organisation type rather than the default assumption</t>
  </si>
  <si>
    <t xml:space="preserve">Restated product scope statement with the organisation-type list</t>
  </si>
  <si>
    <t xml:space="preserve">Scope statement names all four federation shapes; command appears as one configured type; no clause assumes a military customer</t>
  </si>
  <si>
    <t xml:space="preserve">FED-90.1.02</t>
  </si>
  <si>
    <t xml:space="preserve">Organisation-type taxonomy defined as configuration rather than code covering campus, plant, institute, command and tenant node types with tier depth and parent-and-child rules expressed as data</t>
  </si>
  <si>
    <t xml:space="preserve">Taxonomy specification with the configuration schema</t>
  </si>
  <si>
    <t xml:space="preserve">All five node types defined with permitted parent and child types; tier depth is a configuration value with a stated maximum</t>
  </si>
  <si>
    <t xml:space="preserve">FED-90.1.03</t>
  </si>
  <si>
    <t xml:space="preserve">Topology configuration implemented so a federation of a stated node type and tier depth is instantiated from configuration alone, proven by standing up a three-tier multi-campus federation and a two-tier multi-plant federation with no code change</t>
  </si>
  <si>
    <t xml:space="preserve">Two instantiated federation topologies with their configuration files and no accompanying code diff</t>
  </si>
  <si>
    <t xml:space="preserve">Both federations operate end to end from configuration; the code diff for the second instantiation is empty</t>
  </si>
  <si>
    <t xml:space="preserve">FED-90.1.04</t>
  </si>
  <si>
    <t xml:space="preserve">Organisation-type-neutral terminology applied across the pipeline's API fields, manifest fields, log messages and operator documentation, verified by a scan finding zero command-only terms on customer-visible surfaces except where the configured organisation type is command</t>
  </si>
  <si>
    <t xml:space="preserve">Terminology scan report across API, manifest, logs and documentation</t>
  </si>
  <si>
    <t xml:space="preserve">Scan covers all four surface classes; zero command-only terms remain outside configured command deployments; every rename recorded in the normalization map</t>
  </si>
  <si>
    <t xml:space="preserve">FED-90.2.01</t>
  </si>
  <si>
    <t xml:space="preserve">Per-organisation sovereignty</t>
  </si>
  <si>
    <t xml:space="preserve">Per-organisation sovereignty rule set implemented so each federation node carries its own data-class release matrix rather than inheriting a single global matrix, with the effective rule at any transfer computed from the originating node's own rules</t>
  </si>
  <si>
    <t xml:space="preserve">FED-01.1.02, FED-90.1.03</t>
  </si>
  <si>
    <t xml:space="preserve">Per-node sovereignty configuration and a transfer trace showing the applied rule</t>
  </si>
  <si>
    <t xml:space="preserve">Each node has its own release matrix; a transfer trace shows the originating node's rule applied, not a global default</t>
  </si>
  <si>
    <t xml:space="preserve">FED-90.2.02</t>
  </si>
  <si>
    <t xml:space="preserve">Sovereignty rule conflict resolution implemented for the case where a parent node's rule is more permissive than a child's, with the more restrictive rule always governing and the resolution outcome logged</t>
  </si>
  <si>
    <t xml:space="preserve">Conflict resolution test results with the decision log</t>
  </si>
  <si>
    <t xml:space="preserve">In every conflict test the more restrictive rule governs; each resolution writes a log entry naming both rules and the outcome</t>
  </si>
  <si>
    <t xml:space="preserve">FED-90.2.03</t>
  </si>
  <si>
    <t xml:space="preserve">Per-organisation governance owner recorded for every federation node so identity-matching adjudication and framework-conflict decisions route to the owning organisation rather than to a single central authority</t>
  </si>
  <si>
    <t xml:space="preserve">FED-01.1.03, FED-90.1.02</t>
  </si>
  <si>
    <t xml:space="preserve">Governance owner register per federation node</t>
  </si>
  <si>
    <t xml:space="preserve">Every node has a named governance owner role; an adjudication test routes to the owning organisation's queue</t>
  </si>
  <si>
    <t xml:space="preserve">FED-90.2.04</t>
  </si>
  <si>
    <t xml:space="preserve">Multi-tenant isolation proven in the federation path so a transfer authorised for one tenant's federation cannot be applied into another tenant's tier, verified by a negative test that is rejected and alerted</t>
  </si>
  <si>
    <t xml:space="preserve">Negative-test result with the rejection and alert evidence</t>
  </si>
  <si>
    <t xml:space="preserve">The cross-tenant apply attempt is rejected before any record is written and raises an alert; zero records land in the wrong tenant</t>
  </si>
  <si>
    <t xml:space="preserve">FED-90.2.05</t>
  </si>
  <si>
    <t xml:space="preserve">Mixed-federation scenario proven with one deployment federating an industrial multi-plant organisation and an academic multi-campus organisation under separate sovereignty rules, with cross-organisation aggregation blocked unless explicitly authorised</t>
  </si>
  <si>
    <t xml:space="preserve">FED-90.2.02, FED-90.2.04</t>
  </si>
  <si>
    <t xml:space="preserve">Mixed-federation scenario report with the blocked aggregation evidence</t>
  </si>
  <si>
    <t xml:space="preserve">Both organisations federate independently in one deployment; an unauthorised cross-organisation aggregation is blocked and logged</t>
  </si>
  <si>
    <t xml:space="preserve">FED-90.2.06</t>
  </si>
  <si>
    <t xml:space="preserve">Exit-gate evidence bundle assembled and reviewed for the organisation-agnostic federation topology and per-organisation sovereignty task</t>
  </si>
  <si>
    <t xml:space="preserve">PRG-94.1.01</t>
  </si>
  <si>
    <t xml:space="preserve">Customer onboarding and tenant provisioning</t>
  </si>
  <si>
    <t xml:space="preserve">Provisioning runbook and configuration baseline</t>
  </si>
  <si>
    <t xml:space="preserve">Tenant provisioning runbook published covering identity realm creation, LMS course-site creation, learning-record store tenant keys, BI row-level-security binding, and AI index namespace, with a named owner and a rollback note per step</t>
  </si>
  <si>
    <t xml:space="preserve">FND-01.1.01, FND-02.1.02, FND-14.1.03</t>
  </si>
  <si>
    <t xml:space="preserve">Provisioning runbook in the operations repository</t>
  </si>
  <si>
    <t xml:space="preserve">An engineer who did not write the runbook provisions a test tenant end to end with zero undocumented steps recorded</t>
  </si>
  <si>
    <t xml:space="preserve">AUDIT Loop 8 — scope gap: customer/tenant onboarding</t>
  </si>
  <si>
    <t xml:space="preserve">PRG-94.1.02</t>
  </si>
  <si>
    <t xml:space="preserve">Per-tenant configuration baseline defined as a versioned parameter set covering branding, committed language tier, retention profile, feature flags, deployment class, integration endpoints, and entitlement reference, with mandatory fields marked</t>
  </si>
  <si>
    <t xml:space="preserve">PRG-94.1.01, PRG-07.1.01</t>
  </si>
  <si>
    <t xml:space="preserve">Tenant configuration baseline schema v1 in the contract repository</t>
  </si>
  <si>
    <t xml:space="preserve">Schema validates two PROVISIONAL tenant profiles with zero unset mandatory fields and rejects a profile missing deployment class</t>
  </si>
  <si>
    <t xml:space="preserve">PRG-94.1.03</t>
  </si>
  <si>
    <t xml:space="preserve">Tenant configuration drift check implemented that compares a live tenant against its recorded baseline version and reports every deviation with the field name and both values</t>
  </si>
  <si>
    <t xml:space="preserve">Drift-check run report for a seeded tenant</t>
  </si>
  <si>
    <t xml:space="preserve">Drift check detects 100 percent of injected deviations in a seeded tenant with zero false positives on an unmodified tenant</t>
  </si>
  <si>
    <t xml:space="preserve">PRG-94.1.04</t>
  </si>
  <si>
    <t xml:space="preserve">Enclave tenant provisioning variant documented for zero-egress sites covering signed-media delivery of the provisioning bundle, offline entitlement issue, local identity seeding, and evidence capture without a network path</t>
  </si>
  <si>
    <t xml:space="preserve">PRG-94.1.01, CNT-17.1.02</t>
  </si>
  <si>
    <t xml:space="preserve">Enclave provisioning procedure plus egress test log</t>
  </si>
  <si>
    <t xml:space="preserve">An enclave test tenant is provisioned entirely from signed media with zero outbound connections recorded by the egress test</t>
  </si>
  <si>
    <t xml:space="preserve">PRG-94.1.05</t>
  </si>
  <si>
    <t xml:space="preserve">Tenant offboarding procedure written covering customer data-export package format, retention hold handling, credential and integration revocation, and the deletion evidence record produced at the end</t>
  </si>
  <si>
    <t xml:space="preserve">FND-04.1.06, PRG-94.1.01</t>
  </si>
  <si>
    <t xml:space="preserve">Offboarding procedure plus rehearsal record for a test tenant</t>
  </si>
  <si>
    <t xml:space="preserve">Procedure run on a test tenant produces a readable export package and a signed deletion record naming every store cleared</t>
  </si>
  <si>
    <t xml:space="preserve">PRG-94.1.06</t>
  </si>
  <si>
    <t xml:space="preserve">Tenant register maintained listing each tenant with deployment class, configuration baseline version, data-residency requirement, entitlement reference, and named customer administrator</t>
  </si>
  <si>
    <t xml:space="preserve">Tenant register in the program repository</t>
  </si>
  <si>
    <t xml:space="preserve">Zero tenants in the register missing deployment class, baseline version or named customer administrator</t>
  </si>
  <si>
    <t xml:space="preserve">PRG-94.2.01</t>
  </si>
  <si>
    <t xml:space="preserve">Onboarding journey and user import</t>
  </si>
  <si>
    <t xml:space="preserve">Assisted onboarding journey defined end to end with the steps kickoff, data collection, provisioning, roster import, integration configuration, administrator training and go-live check, each with an owner and an elapsed-time target</t>
  </si>
  <si>
    <t xml:space="preserve">Onboarding journey definition with per-step targets</t>
  </si>
  <si>
    <t xml:space="preserve">Journey covers every step from contract signature to first learner login with an owner and a numeric time target per step</t>
  </si>
  <si>
    <t xml:space="preserve">PRG-94.2.02</t>
  </si>
  <si>
    <t xml:space="preserve">Self-service onboarding flow specified for small customers with an explicit recorded decision on which steps remain assisted-only and why</t>
  </si>
  <si>
    <t xml:space="preserve">Self-service flow specification plus decision record</t>
  </si>
  <si>
    <t xml:space="preserve">Specification lists every journey step as self-service or assisted-only with a stated reason for each assisted-only step; approved</t>
  </si>
  <si>
    <t xml:space="preserve">PRG-94.2.03</t>
  </si>
  <si>
    <t xml:space="preserve">Customer onboarding data-collection pack published containing the tenant profile form, roster template, branding asset specification, integration questionnaire, and the DPDP notice and consent inputs the customer must supply</t>
  </si>
  <si>
    <t xml:space="preserve">FND-04.1.06, PRG-94.1.02</t>
  </si>
  <si>
    <t xml:space="preserve">Onboarding data-collection pack</t>
  </si>
  <si>
    <t xml:space="preserve">Pack collects every mandatory field of the configuration baseline with zero fields discovered later by the provisioning engineer in the first rehearsal</t>
  </si>
  <si>
    <t xml:space="preserve">PRG-94.2.04</t>
  </si>
  <si>
    <t xml:space="preserve">Roster and user import implemented from the published template with per-row validation, duplicate detection, and a rejection report naming the row number and reason for every rejected record</t>
  </si>
  <si>
    <t xml:space="preserve">FND-02.1.02, PRG-94.2.03</t>
  </si>
  <si>
    <t xml:space="preserve">Import run report for a PROVISIONAL 5000-row roster</t>
  </si>
  <si>
    <t xml:space="preserve">Every invalid row is reported with row number and reason and zero partially created users remain after a failed import</t>
  </si>
  <si>
    <t xml:space="preserve">PRG-94.2.05</t>
  </si>
  <si>
    <t xml:space="preserve">Roster import idempotency verified: the same roster file applied twice creates no duplicate users, no duplicate enrolments and no duplicate learning records</t>
  </si>
  <si>
    <t xml:space="preserve">Second application of an identical roster file produces zero new users, zero new enrolments and zero new records</t>
  </si>
  <si>
    <t xml:space="preserve">PRG-94.2.06</t>
  </si>
  <si>
    <t xml:space="preserve">Roster synchronisation implemented for customers with an HR or student information system covering scheduled sync, joiner-mover-leaver handling, and the conflict-resolution rule when platform and source disagree</t>
  </si>
  <si>
    <t xml:space="preserve">Sync design plus a run report across a joiner, mover and leaver fixture</t>
  </si>
  <si>
    <t xml:space="preserve">Joiner, mover and leaver fixtures each produce the designed outcome and every conflict is resolved by the stated rule with an audit entry</t>
  </si>
  <si>
    <t xml:space="preserve">PRG-94.2.07</t>
  </si>
  <si>
    <t xml:space="preserve">Customer administrator guide published in the committed user-interface languages covering user management, roster upload, reporting, entitlement limits and how to raise a support request</t>
  </si>
  <si>
    <t xml:space="preserve">PRG-94.2.04, PRG-07.1.01</t>
  </si>
  <si>
    <t xml:space="preserve">Administrator guide in each committed UI language</t>
  </si>
  <si>
    <t xml:space="preserve">Guide exists in every committed UI-tier language and a customer administrator completes roster upload unaided in a walkthrough</t>
  </si>
  <si>
    <t xml:space="preserve">PRG-94.3.01</t>
  </si>
  <si>
    <t xml:space="preserve">First-customer onboarding rehearsal</t>
  </si>
  <si>
    <t xml:space="preserve">First-customer onboarding rehearsal executed end to end on a rehearsal tenant with a timed record per journey step, an observer log, and every defect raised against the owning item</t>
  </si>
  <si>
    <t xml:space="preserve">PRG-94.2.01, PRG-94.2.04, PRG-94.1.01</t>
  </si>
  <si>
    <t xml:space="preserve">Rehearsal report with per-step timings and defect list</t>
  </si>
  <si>
    <t xml:space="preserve">Rehearsal completes within the published elapsed-time target with every defect logged and dispositioned before the first real customer starts</t>
  </si>
  <si>
    <t xml:space="preserve">PRG-94.3.02</t>
  </si>
  <si>
    <t xml:space="preserve">Exit-gate evidence bundle assembled and reviewed for the customer onboarding and tenant provisioning task</t>
  </si>
  <si>
    <t xml:space="preserve">Evidence bundle in the program repository</t>
  </si>
  <si>
    <t xml:space="preserve">PRG-95.1.01</t>
  </si>
  <si>
    <t xml:space="preserve">Incumbent-system data migration</t>
  </si>
  <si>
    <t xml:space="preserve">Source assessment and mapping</t>
  </si>
  <si>
    <t xml:space="preserve">Migration scope decision recorded per customer stating which record classes migrate (identities, enrolments, completions, assessment results, credentials, content) and which remain in the incumbent system, with a stated reason for every exclusion</t>
  </si>
  <si>
    <t xml:space="preserve">Migration scope decision record signed by the customer</t>
  </si>
  <si>
    <t xml:space="preserve">Every record class in the source system appears exactly once as migrate or exclude with a reason; approved by the customer and the delivery lead</t>
  </si>
  <si>
    <t xml:space="preserve">AUDIT Loop 8 — scope gap: data migration</t>
  </si>
  <si>
    <t xml:space="preserve">PRG-95.1.02</t>
  </si>
  <si>
    <t xml:space="preserve">Source-system assessment completed for the incumbent learning or records system covering available export mechanisms, character encoding, identifier schemes, date and timezone formats, completeness gaps and known data-quality defects</t>
  </si>
  <si>
    <t xml:space="preserve">Source assessment report with a sample extract profile</t>
  </si>
  <si>
    <t xml:space="preserve">Report states the export mechanism, encoding, identifier scheme and defect list for every in-scope record class</t>
  </si>
  <si>
    <t xml:space="preserve">PRG-95.1.03</t>
  </si>
  <si>
    <t xml:space="preserve">Field-level mapping specification published from source fields to platform learner-record and competency fields, including transformation rules, default values, and the recorded disposition of every field that cannot be mapped</t>
  </si>
  <si>
    <t xml:space="preserve">PRG-95.1.02, FND-04.1.06</t>
  </si>
  <si>
    <t xml:space="preserve">Field mapping specification v1</t>
  </si>
  <si>
    <t xml:space="preserve">Every source field appears exactly once in the mapping with either a target field or a recorded disposition; zero unmapped fields without a disposition</t>
  </si>
  <si>
    <t xml:space="preserve">PRG-95.1.04</t>
  </si>
  <si>
    <t xml:space="preserve">Identity-resolution rule defined for matching source learners to platform identities covering match keys, tie-break order, and the manual-review queue for ambiguous matches</t>
  </si>
  <si>
    <t xml:space="preserve">PRG-95.1.03, FND-01.1.01</t>
  </si>
  <si>
    <t xml:space="preserve">Identity-resolution rule document</t>
  </si>
  <si>
    <t xml:space="preserve">Rule applied to a PROVISIONAL ambiguous-match fixture set routes every ambiguous case to review and produces zero silent merges</t>
  </si>
  <si>
    <t xml:space="preserve">PRG-95.1.05</t>
  </si>
  <si>
    <t xml:space="preserve">Evidence-level policy decided for migrated history stating which imported completions may count as official records and which are marked legacy and excluded from grade-path and credential decisions</t>
  </si>
  <si>
    <t xml:space="preserve">Migrated-record evidence-level policy, approved</t>
  </si>
  <si>
    <t xml:space="preserve">Policy assigns exactly one evidence level to every migrated record class and names the approver; zero classes left undecided</t>
  </si>
  <si>
    <t xml:space="preserve">PRG-95.1.06</t>
  </si>
  <si>
    <t xml:space="preserve">Data-processing agreement and lawful basis for the migration confirmed with the customer before any source extract leaves the incumbent system, covering DPDP notice, purpose limitation, sub-processor list and extract destruction commitment</t>
  </si>
  <si>
    <t xml:space="preserve">FND-04.1.06, PRG-95.1.01</t>
  </si>
  <si>
    <t xml:space="preserve">Signed migration data-processing agreement plus pre-extract checklist</t>
  </si>
  <si>
    <t xml:space="preserve">Pre-extract checklist is complete and countersigned before the first extract is taken; zero extracts exist with an earlier timestamp than the signed agreement</t>
  </si>
  <si>
    <t xml:space="preserve">PRG-95.2.01</t>
  </si>
  <si>
    <t xml:space="preserve">Dry-run, validation and reconciliation</t>
  </si>
  <si>
    <t xml:space="preserve">Migration pipeline implemented as a repeatable parameterised job that reads a source extract and produces load-ready records, tagging every record with the source system identifier and extract date as provenance</t>
  </si>
  <si>
    <t xml:space="preserve">PRG-95.1.03, PLT-02.1.03</t>
  </si>
  <si>
    <t xml:space="preserve">Pipeline code plus a provenance sample extract</t>
  </si>
  <si>
    <t xml:space="preserve">Every produced record carries the source system identifier and extract date and the job produces identical output when re-run on the same extract</t>
  </si>
  <si>
    <t xml:space="preserve">PRG-95.2.02</t>
  </si>
  <si>
    <t xml:space="preserve">Migration dry-run executed on a full copy of production-shaped source data in an isolated environment with writes to any live tenant technically prevented</t>
  </si>
  <si>
    <t xml:space="preserve">Dry-run report plus audit-log extract for the live tenants</t>
  </si>
  <si>
    <t xml:space="preserve">Dry-run completes with a per-class record-count report and the audit log shows zero writes to any live tenant during the run window</t>
  </si>
  <si>
    <t xml:space="preserve">PRG-95.2.03</t>
  </si>
  <si>
    <t xml:space="preserve">Reconciliation report implemented comparing source and target record counts and control totals per record class, with a per-class variance threshold that blocks cutover when exceeded</t>
  </si>
  <si>
    <t xml:space="preserve">Reconciliation report for the dry-run</t>
  </si>
  <si>
    <t xml:space="preserve">Report shows source count, target count and variance per record class against the stated threshold, and a seeded over-threshold class raises a blocking flag</t>
  </si>
  <si>
    <t xml:space="preserve">PRG-95.2.04</t>
  </si>
  <si>
    <t xml:space="preserve">Sample-based record-level validation executed on a stated statistical sample of migrated records, verified field by field against the source by a reviewer who did not build the pipeline</t>
  </si>
  <si>
    <t xml:space="preserve">Validation worksheet with sample size, confidence and findings</t>
  </si>
  <si>
    <t xml:space="preserve">Sample size and confidence level are stated and zero unexplained field discrepancies remain open at sign-off</t>
  </si>
  <si>
    <t xml:space="preserve">PRG-95.2.05</t>
  </si>
  <si>
    <t xml:space="preserve">Migration exception queue implemented for records failing mapping, validation or identity resolution, with an owner, an ageing report, and enforcement that no record is discarded without an exception entry</t>
  </si>
  <si>
    <t xml:space="preserve">Exception queue export plus a lost-record count check</t>
  </si>
  <si>
    <t xml:space="preserve">Every seeded bad record appears in the queue and the count of extracted records equals loaded records plus queued exceptions exactly</t>
  </si>
  <si>
    <t xml:space="preserve">PRG-95.2.06</t>
  </si>
  <si>
    <t xml:space="preserve">Post-migration audit executed after go-live confirming migrated records are queryable, correctly tenant-scoped, correctly attributed to their source, and excluded from official-record decisions where the evidence-level policy requires</t>
  </si>
  <si>
    <t xml:space="preserve">PRG-95.1.05, PRG-95.3.02, PLT-01.3.01</t>
  </si>
  <si>
    <t xml:space="preserve">Post-migration audit report</t>
  </si>
  <si>
    <t xml:space="preserve">Audit confirms zero cross-tenant leakage of migrated records and zero legacy-level records used in a credential or grade-path decision</t>
  </si>
  <si>
    <t xml:space="preserve">PRG-95.3.01</t>
  </si>
  <si>
    <t xml:space="preserve">Cutover, rollback and legacy retention</t>
  </si>
  <si>
    <t xml:space="preserve">Migration cutover plan published with a dated window, a write freeze on the source system, an ordered step list with owners and durations, go and no-go criteria, and the named decision authority</t>
  </si>
  <si>
    <t xml:space="preserve">Migration cutover plan, approved</t>
  </si>
  <si>
    <t xml:space="preserve">Plan states the window, the freeze start, an owner per step and binary go/no-go criteria, and names the authority who may call no-go</t>
  </si>
  <si>
    <t xml:space="preserve">PRG-95.3.02</t>
  </si>
  <si>
    <t xml:space="preserve">Migration rollback rehearsed on the target tenant: the tenant restored to its pre-migration state within the stated recovery window with the rehearsal timed and verified by a query set</t>
  </si>
  <si>
    <t xml:space="preserve">PRG-95.3.01, FND-06.2.01</t>
  </si>
  <si>
    <t xml:space="preserve">Rollback rehearsal report with measured restore time</t>
  </si>
  <si>
    <t xml:space="preserve">Rehearsed rollback restores the pre-migration state within the stated recovery time objective with every verification query green</t>
  </si>
  <si>
    <t xml:space="preserve">PRG-95.3.03</t>
  </si>
  <si>
    <t xml:space="preserve">Legacy-record retention decision recorded per customer stating what remains in the incumbent system, for how long, who retains read access, and the dated destruction of source extract copies held by the delivery team</t>
  </si>
  <si>
    <t xml:space="preserve">FND-04.1.06, PRG-95.1.06</t>
  </si>
  <si>
    <t xml:space="preserve">Legacy retention decision record plus extract destruction certificate</t>
  </si>
  <si>
    <t xml:space="preserve">Decision names a retention period and a responsible party per artefact and every source extract copy has a recorded destruction date or an active retention justification</t>
  </si>
  <si>
    <t xml:space="preserve">PRG-95.3.04</t>
  </si>
  <si>
    <t xml:space="preserve">Exit-gate evidence bundle assembled and reviewed for the incumbent-system data migration task</t>
  </si>
  <si>
    <t xml:space="preserve">PRG-95.3.03, PRG-95.2.06</t>
  </si>
  <si>
    <t xml:space="preserve">PRG-96.1.01</t>
  </si>
  <si>
    <t xml:space="preserve">Support model and operational handover</t>
  </si>
  <si>
    <t xml:space="preserve">Support model, SLAs and priorities</t>
  </si>
  <si>
    <t xml:space="preserve">Support model designed defining the tier structure, the scope and skills of each tier, hours of coverage, and the languages in which support is answered against the committed language matrix</t>
  </si>
  <si>
    <t xml:space="preserve">PRG-07.1.01, FND-15.1.01</t>
  </si>
  <si>
    <t xml:space="preserve">Support model document, approved</t>
  </si>
  <si>
    <t xml:space="preserve">Model states scope, hours and language coverage for every tier with no tier lacking a defined escalation target</t>
  </si>
  <si>
    <t xml:space="preserve">AUDIT Loop 8 — scope gap: support model, SLA and operational handover</t>
  </si>
  <si>
    <t xml:space="preserve">PRG-96.1.02</t>
  </si>
  <si>
    <t xml:space="preserve">Priority and severity definitions published with worked examples covering training stopped for a cohort, degraded service, single-user impact and cosmetic defects, plus the rule for who assigns and who may change priority</t>
  </si>
  <si>
    <t xml:space="preserve">Priority definition document with worked examples</t>
  </si>
  <si>
    <t xml:space="preserve">Ten PROVISIONAL example incidents classified independently by two triagers produce the same priority for at least nine</t>
  </si>
  <si>
    <t xml:space="preserve">PRG-96.1.03</t>
  </si>
  <si>
    <t xml:space="preserve">Response and restoration targets set per priority and per deployment class, with the enclave column explicitly stating that remote access is unavailable and restoration depends on scheduled on-site action</t>
  </si>
  <si>
    <t xml:space="preserve">SLA target table, approved</t>
  </si>
  <si>
    <t xml:space="preserve">Every priority by deployment-class cell carries a numeric response and restoration target with zero blank cells</t>
  </si>
  <si>
    <t xml:space="preserve">PRG-96.1.04</t>
  </si>
  <si>
    <t xml:space="preserve">Enclave support procedure written for customers who cannot be reached remotely covering the on-site responder model, diagnostic bundle collection to removable media, the sanitisation review before any bundle leaves the site, and the expected turnaround</t>
  </si>
  <si>
    <t xml:space="preserve">PRG-96.1.03, PLT-06.2.05</t>
  </si>
  <si>
    <t xml:space="preserve">Enclave support procedure plus a rehearsed bundle transfer record</t>
  </si>
  <si>
    <t xml:space="preserve">A diagnostic bundle for a seeded fault is produced, sanitisation-reviewed and transferred with zero customer or learner content present per the review checklist</t>
  </si>
  <si>
    <t xml:space="preserve">PRG-96.1.05</t>
  </si>
  <si>
    <t xml:space="preserve">Support entitlement matrix defined mapping each contract tier to support hours, channels, named contacts and included on-site visits, and reconciled against the entitlement enforcement design</t>
  </si>
  <si>
    <t xml:space="preserve">PRG-96.1.03, PRG-98.2.03</t>
  </si>
  <si>
    <t xml:space="preserve">Support entitlement matrix</t>
  </si>
  <si>
    <t xml:space="preserve">Every contract tier maps to a defined set of hours, channels and contacts and every figure matches the customer SLA template with zero mismatches</t>
  </si>
  <si>
    <t xml:space="preserve">PRG-96.1.06</t>
  </si>
  <si>
    <t xml:space="preserve">On-call rota designed with role coverage across the committed hours, an escalation ladder, a shift handover format, rest and compensation rules, and at least two qualified people per critical skill</t>
  </si>
  <si>
    <t xml:space="preserve">PRG-96.1.03, PRG-99.2.02</t>
  </si>
  <si>
    <t xml:space="preserve">On-call rota design plus skill coverage sheet</t>
  </si>
  <si>
    <t xml:space="preserve">Rota covers every hour of the committed support window with at least two qualified people available per critical skill</t>
  </si>
  <si>
    <t xml:space="preserve">PRG-96.1.07</t>
  </si>
  <si>
    <t xml:space="preserve">Service-review cadence agreed with each customer covering SLA attainment, open defects, adoption metrics and upcoming changes, with the first review scheduled before go-live</t>
  </si>
  <si>
    <t xml:space="preserve">PRG-96.2.05, ANA-05.5.02</t>
  </si>
  <si>
    <t xml:space="preserve">Service-review terms of reference plus scheduled first review</t>
  </si>
  <si>
    <t xml:space="preserve">Every live customer has a dated first service review scheduled before go-live and a named chair on both sides</t>
  </si>
  <si>
    <t xml:space="preserve">PRG-96.2.01</t>
  </si>
  <si>
    <t xml:space="preserve">Service desk operations</t>
  </si>
  <si>
    <t xml:space="preserve">Service-desk tooling stood up with ticket intake channels per deployment class, including an offline intake route for enclave sites where the customer cannot open a ticket electronically</t>
  </si>
  <si>
    <t xml:space="preserve">Service-desk configuration export plus intake test tickets</t>
  </si>
  <si>
    <t xml:space="preserve">A ticket can be raised and tracked from every supported deployment class including an enclave site with no outbound network</t>
  </si>
  <si>
    <t xml:space="preserve">PRG-96.2.02</t>
  </si>
  <si>
    <t xml:space="preserve">Ticket taxonomy published covering category, affected module, deployment class, tenant and root-cause code, and enforced as mandatory fields before a ticket may be closed</t>
  </si>
  <si>
    <t xml:space="preserve">Taxonomy document plus tool validation configuration</t>
  </si>
  <si>
    <t xml:space="preserve">Closure is rejected for a test ticket missing a root-cause code and zero closed tickets in the pilot lack a taxonomy value</t>
  </si>
  <si>
    <t xml:space="preserve">PRG-96.2.03</t>
  </si>
  <si>
    <t xml:space="preserve">Incident management process published covering declaration criteria, roles during an incident, the communication cadence to affected customers, and the threshold that makes an incident a major incident</t>
  </si>
  <si>
    <t xml:space="preserve">Incident management process document</t>
  </si>
  <si>
    <t xml:space="preserve">Process states a numeric communication cadence per priority and a binary major-incident threshold; walked through on a tabletop incident</t>
  </si>
  <si>
    <t xml:space="preserve">PRG-96.2.04</t>
  </si>
  <si>
    <t xml:space="preserve">Escalation matrix published naming the escalation path by role for each priority, with time-based automatic escalation configured in the service desk</t>
  </si>
  <si>
    <t xml:space="preserve">PRG-96.1.03, PRG-96.2.01</t>
  </si>
  <si>
    <t xml:space="preserve">Escalation matrix plus auto-escalation test log</t>
  </si>
  <si>
    <t xml:space="preserve">A seeded high-priority ticket automatically escalates at the configured threshold and reaches the named role in the test</t>
  </si>
  <si>
    <t xml:space="preserve">PRG-96.2.05</t>
  </si>
  <si>
    <t xml:space="preserve">Monitoring alerts routed to the support desk with an owning tier and a documented first response per alert class, and alerts with no owner either assigned or removed from the catalogue</t>
  </si>
  <si>
    <t xml:space="preserve">PLT-06.2.04, PRG-96.2.01</t>
  </si>
  <si>
    <t xml:space="preserve">Alert catalogue with owner and first-response column</t>
  </si>
  <si>
    <t xml:space="preserve">Zero alert classes in the catalogue lack an owning tier and a first-response note, verified by a catalogue audit</t>
  </si>
  <si>
    <t xml:space="preserve">PRG-96.2.06</t>
  </si>
  <si>
    <t xml:space="preserve">Knowledge base seeded from the published module operator runbooks with at least one customer-safe article per known operational failure mode and a named owner and review date per article</t>
  </si>
  <si>
    <t xml:space="preserve">FND-06.2.04, COR-14.2.02, PLT-06.2.07</t>
  </si>
  <si>
    <t xml:space="preserve">Knowledge base export with owner and review-date fields</t>
  </si>
  <si>
    <t xml:space="preserve">Every module with a published runbook has at least one knowledge-base article and zero articles are past their review date at go-live</t>
  </si>
  <si>
    <t xml:space="preserve">PRG-96.2.07</t>
  </si>
  <si>
    <t xml:space="preserve">Post-incident review process defined with a timebox from resolution, a blameless format, a required output of timeline, contributing causes and dated actions with owners, and a rule linking every action to a tracked item</t>
  </si>
  <si>
    <t xml:space="preserve">Post-incident review process plus completed reviews for pilot incidents</t>
  </si>
  <si>
    <t xml:space="preserve">Every high-priority incident in the pilot has a review completed within the timebox and every action is linked to a tracked item and closed or dated</t>
  </si>
  <si>
    <t xml:space="preserve">PRG-96.2.08</t>
  </si>
  <si>
    <t xml:space="preserve">Support metrics reporting built covering ticket volume by category, SLA attainment, backlog age and reopen rate per tenant, published on the service-review cadence</t>
  </si>
  <si>
    <t xml:space="preserve">PRG-96.2.02, ANA-05.5.02</t>
  </si>
  <si>
    <t xml:space="preserve">Support metrics dashboard</t>
  </si>
  <si>
    <t xml:space="preserve">Dashboard reports all four measures per tenant for the current and previous period and reconciles to the service-desk export</t>
  </si>
  <si>
    <t xml:space="preserve">PRG-96.3.01</t>
  </si>
  <si>
    <t xml:space="preserve">Operational handover to run teams</t>
  </si>
  <si>
    <t xml:space="preserve">Ready-for-operations definition published as a binary per-module checklist covering runbook walked by a non-author, alerts owned, knowledge-base articles present, backup and restore rehearsed, known-issues list, and a named run owner</t>
  </si>
  <si>
    <t xml:space="preserve">PRG-96.2.05, PRG-96.2.06</t>
  </si>
  <si>
    <t xml:space="preserve">Ready-for-operations checklist, approved by build and run leads</t>
  </si>
  <si>
    <t xml:space="preserve">Every criterion is binary with zero subjective wording and the checklist is signed by both the build and the run lead</t>
  </si>
  <si>
    <t xml:space="preserve">PRG-96.3.02</t>
  </si>
  <si>
    <t xml:space="preserve">Operational handover executed per module against the ready-for-operations checklist with a signed acceptance by the receiving run team and the run owner recorded in the tenant and module register</t>
  </si>
  <si>
    <t xml:space="preserve">Signed handover records per module</t>
  </si>
  <si>
    <t xml:space="preserve">Every module in production has a signed handover record and a named run owner; zero modules run in production without both</t>
  </si>
  <si>
    <t xml:space="preserve">PRG-96.3.03</t>
  </si>
  <si>
    <t xml:space="preserve">Exit-gate evidence bundle assembled and reviewed for the support model and operational handover task</t>
  </si>
  <si>
    <t xml:space="preserve">PLT-90.1.01</t>
  </si>
  <si>
    <t xml:space="preserve">Business continuity and disaster-recovery exercises</t>
  </si>
  <si>
    <t xml:space="preserve">Exercise programme design</t>
  </si>
  <si>
    <t xml:space="preserve">Business-continuity exercise programme defined with a dated annual schedule naming each exercise type, its frequency, the data store or site in scope, the exercise owner and the measure recorded</t>
  </si>
  <si>
    <t xml:space="preserve">Exercise programme schedule in the operations calendar</t>
  </si>
  <si>
    <t xml:space="preserve">Every production data store and every deployment class appears in the schedule at a stated frequency with an owner; zero stores unscheduled</t>
  </si>
  <si>
    <t xml:space="preserve">AUDIT Loop 8 — scope gap: business continuity and DR exercises as scheduled work</t>
  </si>
  <si>
    <t xml:space="preserve">PLT-90.1.02</t>
  </si>
  <si>
    <t xml:space="preserve">Recovery time and recovery point objectives stated per data store and per deployment class in one approved table, replacing the per-module assumptions currently held in separate rehearsal items</t>
  </si>
  <si>
    <t xml:space="preserve">FND-03.2.02, FND-06.2.01, FND-16.1.04</t>
  </si>
  <si>
    <t xml:space="preserve">Recovery objectives table, approved</t>
  </si>
  <si>
    <t xml:space="preserve">Every production data store has a numeric recovery time and recovery point objective per deployment class with no blank cells</t>
  </si>
  <si>
    <t xml:space="preserve">PLT-90.1.03</t>
  </si>
  <si>
    <t xml:space="preserve">Business-impact analysis completed ranking services by time to training impact so the recovery order is decided before an outage rather than during one</t>
  </si>
  <si>
    <t xml:space="preserve">Business-impact analysis with ranked recovery order</t>
  </si>
  <si>
    <t xml:space="preserve">Every service is ranked with a stated time-to-training-impact and the recovery order is approved by the run lead</t>
  </si>
  <si>
    <t xml:space="preserve">PLT-90.1.04</t>
  </si>
  <si>
    <t xml:space="preserve">Exercise report template and remediation rule published requiring every exercise to record measured recovery times, a pass or fail against the objectives table, and dated remediation actions with owners</t>
  </si>
  <si>
    <t xml:space="preserve">Exercise report template plus remediation rule</t>
  </si>
  <si>
    <t xml:space="preserve">Template requires a measured time and a pass or fail per objective and no exercise may be closed with an undated remediation action</t>
  </si>
  <si>
    <t xml:space="preserve">PLT-90.2.01</t>
  </si>
  <si>
    <t xml:space="preserve">Scheduled exercises and remediation</t>
  </si>
  <si>
    <t xml:space="preserve">Restore rehearsal executed on schedule for every production data store with measured restore time and a data-integrity verification recorded against the objectives table</t>
  </si>
  <si>
    <t xml:space="preserve">PLT-90.1.02, PLT-90.1.04</t>
  </si>
  <si>
    <t xml:space="preserve">Restore rehearsal reports per data store</t>
  </si>
  <si>
    <t xml:space="preserve">Each store is restored within its stated recovery time objective with the integrity check green; every miss raises a dated remediation action</t>
  </si>
  <si>
    <t xml:space="preserve">PLT-90.2.02</t>
  </si>
  <si>
    <t xml:space="preserve">Failover exercise executed for the connected deployment covering loss of the primary region or host, with measured time to service restoration and a rehearsed failback</t>
  </si>
  <si>
    <t xml:space="preserve">Failover exercise report with measured restoration and failback times</t>
  </si>
  <si>
    <t xml:space="preserve">Service is restored within the stated objective and failback completes with zero data loss measured against the recovery point objective</t>
  </si>
  <si>
    <t xml:space="preserve">PLT-90.2.03</t>
  </si>
  <si>
    <t xml:space="preserve">Enclave rebuild-from-media drill executed at a representative disconnected site with the platform rebuilt from signed media and local backups and the time to training resumed measured end to end</t>
  </si>
  <si>
    <t xml:space="preserve">PLT-90.1.01, CNT-17.1.02, PLT-03.1.08</t>
  </si>
  <si>
    <t xml:space="preserve">Rebuild drill report with measured time to training resumed</t>
  </si>
  <si>
    <t xml:space="preserve">After rebuild a learner completes a lesson and the completion reaches official records, with elapsed time recorded against the stated objective</t>
  </si>
  <si>
    <t xml:space="preserve">PLT-90.2.04</t>
  </si>
  <si>
    <t xml:space="preserve">Offline backlog recovery exercised: devices held offline beyond the supported window reconnect and reconcile with zero lost and zero duplicated learning records</t>
  </si>
  <si>
    <t xml:space="preserve">PLT-09.1.04, PLT-90.1.01</t>
  </si>
  <si>
    <t xml:space="preserve">Offline recovery exercise report</t>
  </si>
  <si>
    <t xml:space="preserve">Reconciliation shows zero lost and zero duplicated records against the pre-exercise device queue counts</t>
  </si>
  <si>
    <t xml:space="preserve">PLT-90.2.05</t>
  </si>
  <si>
    <t xml:space="preserve">Dependency-loss exercise executed for one critical third-party dependency with the documented degraded-mode behaviour verified against the contingency plan for that dependency</t>
  </si>
  <si>
    <t xml:space="preserve">PRG-97.2.05, PLT-90.1.03</t>
  </si>
  <si>
    <t xml:space="preserve">Dependency-loss exercise report</t>
  </si>
  <si>
    <t xml:space="preserve">Observed degraded behaviour matches the documented contingency for the exercised dependency with every deviation raised as a remediation action</t>
  </si>
  <si>
    <t xml:space="preserve">PLT-90.2.06</t>
  </si>
  <si>
    <t xml:space="preserve">Exercise remediation actions tracked to closure with a re-test at the next scheduled exercise and the open-action count reported to programme governance each cycle</t>
  </si>
  <si>
    <t xml:space="preserve">PLT-90.1.04, PLT-90.2.01</t>
  </si>
  <si>
    <t xml:space="preserve">Remediation tracker plus governance report extract</t>
  </si>
  <si>
    <t xml:space="preserve">Every remediation action has an owner and a due date and the open count is reported each cycle with zero actions older than two cycles</t>
  </si>
  <si>
    <t xml:space="preserve">PLT-90.2.07</t>
  </si>
  <si>
    <t xml:space="preserve">Exit-gate evidence bundle assembled and reviewed for the business-continuity exercise task</t>
  </si>
  <si>
    <t xml:space="preserve">PRG-97.1.01</t>
  </si>
  <si>
    <t xml:space="preserve">Vendor and third-party management</t>
  </si>
  <si>
    <t xml:space="preserve">Vendor qualification and agreements</t>
  </si>
  <si>
    <t xml:space="preserve">Vendor register established listing every third party the platform depends on including XR title publishers, hardware suppliers, model providers, hosting, connectivity and maintenance contractors, with criticality, contract owner and renewal date</t>
  </si>
  <si>
    <t xml:space="preserve">Vendor register in the program repository</t>
  </si>
  <si>
    <t xml:space="preserve">Zero dependencies marked critical lack a named contract owner and a renewal date</t>
  </si>
  <si>
    <t xml:space="preserve">AUDIT Loop 8 — scope gap: vendor and third-party management</t>
  </si>
  <si>
    <t xml:space="preserve">PRG-97.1.02</t>
  </si>
  <si>
    <t xml:space="preserve">Vendor qualification criteria published per category covering capability evidence, financial stability check, support responsiveness commitments and in-country presence for on-site service</t>
  </si>
  <si>
    <t xml:space="preserve">Vendor qualification criteria document</t>
  </si>
  <si>
    <t xml:space="preserve">Criteria are stated per vendor category and every critical vendor has a completed qualification assessment before first order</t>
  </si>
  <si>
    <t xml:space="preserve">PRG-97.1.03</t>
  </si>
  <si>
    <t xml:space="preserve">XR title publisher agreement terms defined covering per-seat versus per-site licensing, offline and enclave activation rights, redistribution on customer-owned media, update cadence and end-of-life notice period</t>
  </si>
  <si>
    <t xml:space="preserve">FLD-01.1.04, PRG-97.1.01</t>
  </si>
  <si>
    <t xml:space="preserve">Publisher term sheet</t>
  </si>
  <si>
    <t xml:space="preserve">Term sheet states an explicit position on offline activation and enclave redistribution for every title category with zero unresolved items</t>
  </si>
  <si>
    <t xml:space="preserve">PRG-97.1.04</t>
  </si>
  <si>
    <t xml:space="preserve">Content acceptance criteria for third-party XR titles published and applied as an intake gate covering learning-objective mapping, xAPI event conformance, accessibility floor, performance on the reference headset and telemetry egress behaviour</t>
  </si>
  <si>
    <t xml:space="preserve">KNI-15.1.04, PRG-97.1.03</t>
  </si>
  <si>
    <t xml:space="preserve">Title acceptance records in the store catalogue</t>
  </si>
  <si>
    <t xml:space="preserve">Zero third-party titles are published to the store without a completed acceptance record; a seeded non-conforming title is rejected by the gate</t>
  </si>
  <si>
    <t xml:space="preserve">PRG-97.1.05</t>
  </si>
  <si>
    <t xml:space="preserve">Hardware supplier qualification completed for headsets, edge servers and lab fit-out covering warranty terms, in-country spares availability, return-and-repair turnaround and import lead time</t>
  </si>
  <si>
    <t xml:space="preserve">PRG-97.1.02, FLD-04.1.01</t>
  </si>
  <si>
    <t xml:space="preserve">Supplier qualification pack per hardware class</t>
  </si>
  <si>
    <t xml:space="preserve">Every hardware class has a qualified supplier with stated warranty, spares availability and lead time recorded before the order-by date</t>
  </si>
  <si>
    <t xml:space="preserve">PRG-97.1.06</t>
  </si>
  <si>
    <t xml:space="preserve">Annual maintenance contract terms defined per hardware class covering mean-time-to-repair commitment, spares holding level, preventive-maintenance visit frequency and escalation contacts</t>
  </si>
  <si>
    <t xml:space="preserve">Maintenance contract term sheet per hardware class</t>
  </si>
  <si>
    <t xml:space="preserve">Terms state a numeric mean-time-to-repair and a spares-holding level for every hardware class deployed at a site</t>
  </si>
  <si>
    <t xml:space="preserve">PRG-97.2.01</t>
  </si>
  <si>
    <t xml:space="preserve">Licence, provenance and dependency risk</t>
  </si>
  <si>
    <t xml:space="preserve">Model and weights licence review completed for every model in the registry recording licence, commercial-use permission, redistribution rights for enclave delivery and attribution obligations</t>
  </si>
  <si>
    <t xml:space="preserve">AIA-01.1.02, AIA-02.1.01</t>
  </si>
  <si>
    <t xml:space="preserve">Licence review record per registered model</t>
  </si>
  <si>
    <t xml:space="preserve">Zero approved models lack a recorded licence decision, provenance source and enclave redistribution position</t>
  </si>
  <si>
    <t xml:space="preserve">PRG-97.2.02</t>
  </si>
  <si>
    <t xml:space="preserve">Approved-model provenance enforced in the deployment path so no model reaches a customer deployment without a recorded weights hash, source repository and licence decision</t>
  </si>
  <si>
    <t xml:space="preserve">Pipeline gate configuration plus negative test log</t>
  </si>
  <si>
    <t xml:space="preserve">A seeded model missing any provenance field is blocked from deployment and the block is recorded with the missing field named</t>
  </si>
  <si>
    <t xml:space="preserve">PRG-97.2.03</t>
  </si>
  <si>
    <t xml:space="preserve">Open-source licence compliance register produced covering the dependency tree of every shipped component, with copyleft and attribution obligations identified per component and a distribution-mode note for on-prem and enclave delivery</t>
  </si>
  <si>
    <t xml:space="preserve">Licence compliance register generated from the build</t>
  </si>
  <si>
    <t xml:space="preserve">Register covers 100 percent of direct dependencies of shipped components with a licence classification each and zero components classified as unknown</t>
  </si>
  <si>
    <t xml:space="preserve">PRG-97.2.04</t>
  </si>
  <si>
    <t xml:space="preserve">Attribution and notice file generated automatically at build time and shipped with every on-prem and enclave release package</t>
  </si>
  <si>
    <t xml:space="preserve">Notice file in a release package plus build configuration</t>
  </si>
  <si>
    <t xml:space="preserve">Every release package contains a notice file whose contents match the licence register for that build</t>
  </si>
  <si>
    <t xml:space="preserve">PRG-97.2.05</t>
  </si>
  <si>
    <t xml:space="preserve">Abandonment contingency documented per critical third-party dependency stating the trigger condition, the fallback of fork, replace or in-source, the estimated effort and the owner</t>
  </si>
  <si>
    <t xml:space="preserve">PRG-97.1.01, PRG-97.2.03</t>
  </si>
  <si>
    <t xml:space="preserve">Dependency contingency register</t>
  </si>
  <si>
    <t xml:space="preserve">Every dependency marked critical has a named fallback, an effort estimate and an owner; zero critical dependencies without a contingency</t>
  </si>
  <si>
    <t xml:space="preserve">PRG-97.2.06</t>
  </si>
  <si>
    <t xml:space="preserve">Third-party security assessment completed per critical vendor covering security posture, sub-processor list, breach-notification commitment and evidence of ability to meet Indian data-protection obligations</t>
  </si>
  <si>
    <t xml:space="preserve">Security assessment record per critical vendor</t>
  </si>
  <si>
    <t xml:space="preserve">Every critical vendor handling platform or learner data has a completed assessment with findings dispositioned before production use</t>
  </si>
  <si>
    <t xml:space="preserve">PRG-97.2.07</t>
  </si>
  <si>
    <t xml:space="preserve">Vendor performance review operating on a stated cadence with a scorecard per critical vendor covering delivery, quality, responsiveness and security, and a documented consequence path for sustained underperformance</t>
  </si>
  <si>
    <t xml:space="preserve">PRG-97.1.01, PRG-97.2.06</t>
  </si>
  <si>
    <t xml:space="preserve">Vendor scorecards plus review minutes</t>
  </si>
  <si>
    <t xml:space="preserve">Every critical vendor has a scorecard for the current period and every vendor below threshold has a dated action or an escalation record</t>
  </si>
  <si>
    <t xml:space="preserve">PRG-97.2.08</t>
  </si>
  <si>
    <t xml:space="preserve">Exit-gate evidence bundle assembled and reviewed for the vendor and third-party management task</t>
  </si>
  <si>
    <t xml:space="preserve">CNT-90.1.01</t>
  </si>
  <si>
    <t xml:space="preserve">Content IP and rights clearance</t>
  </si>
  <si>
    <t xml:space="preserve">Rights inventory and clearance records</t>
  </si>
  <si>
    <t xml:space="preserve">Content rights inventory established listing every source document and third-party learning asset entering the digitisation and authoring pipelines with its rights holder, origin and current clearance status</t>
  </si>
  <si>
    <t xml:space="preserve">Rights inventory register</t>
  </si>
  <si>
    <t xml:space="preserve">Zero assets present in the digitisation or authoring pipeline are absent from the inventory, verified by a reconciliation against pipeline intake</t>
  </si>
  <si>
    <t xml:space="preserve">AUDIT Loop 8 — scope gap: content IP and rights clearance</t>
  </si>
  <si>
    <t xml:space="preserve">CNT-90.1.02</t>
  </si>
  <si>
    <t xml:space="preserve">Permission-to-digitise record required per source document capturing the rights holder, the permitted scope covering internal use, customer distribution, derivative works and translation, the expiry or perpetuity, and who obtained it</t>
  </si>
  <si>
    <t xml:space="preserve">Permission records linked to inventory entries</t>
  </si>
  <si>
    <t xml:space="preserve">Every document entering conversion has a permission record naming a scope and an expiry or an explicit perpetuity statement</t>
  </si>
  <si>
    <t xml:space="preserve">CNT-90.1.03</t>
  </si>
  <si>
    <t xml:space="preserve">Rights classification scheme published covering customer-owned, licensed third-party, open-licence and unknown, with the handling rule per class including a prohibition on processing unknown-class content</t>
  </si>
  <si>
    <t xml:space="preserve">Rights classification scheme</t>
  </si>
  <si>
    <t xml:space="preserve">Every inventory entry carries exactly one class and no unknown-class asset has an associated conversion job</t>
  </si>
  <si>
    <t xml:space="preserve">CNT-90.1.04</t>
  </si>
  <si>
    <t xml:space="preserve">Derivative-work rules published for AI-generated summaries, generated assessment items and translations derived from third-party source material, stating what may be generated, stored, indexed and shown to learners per rights class</t>
  </si>
  <si>
    <t xml:space="preserve">CNT-90.1.03, COR-09.1.02</t>
  </si>
  <si>
    <t xml:space="preserve">Derivative-work rules document, approved</t>
  </si>
  <si>
    <t xml:space="preserve">Rules state a permitted or prohibited position for every rights class by derivative type combination with no blank cells</t>
  </si>
  <si>
    <t xml:space="preserve">CNT-90.1.05</t>
  </si>
  <si>
    <t xml:space="preserve">Attribution and reuse rules implemented so licensed content renders its required attribution everywhere it is displayed, including in-headset views and offline mobile copies</t>
  </si>
  <si>
    <t xml:space="preserve">Attribution rendering test evidence per surface</t>
  </si>
  <si>
    <t xml:space="preserve">Attribution renders for a licensed fixture asset on web, offline mobile and XR surfaces with zero surfaces omitting it</t>
  </si>
  <si>
    <t xml:space="preserve">CNT-90.1.06</t>
  </si>
  <si>
    <t xml:space="preserve">Rights expiry monitoring implemented that flags assets whose permission expires within a stated horizon and notifies the named content owner before expiry</t>
  </si>
  <si>
    <t xml:space="preserve">Expiry monitoring report plus notification log</t>
  </si>
  <si>
    <t xml:space="preserve">A seeded asset with a near-term expiry is flagged and its owner notified within the stated horizon</t>
  </si>
  <si>
    <t xml:space="preserve">CNT-90.2.01</t>
  </si>
  <si>
    <t xml:space="preserve">Publication gate and takedown</t>
  </si>
  <si>
    <t xml:space="preserve">Publication gate implemented that blocks publishing any lesson, eBook or course containing an asset without a valid clearance record, naming the offending asset in the block message</t>
  </si>
  <si>
    <t xml:space="preserve">CNT-90.1.02, CNT-12.1.07</t>
  </si>
  <si>
    <t xml:space="preserve">Gate configuration plus negative test log</t>
  </si>
  <si>
    <t xml:space="preserve">A seeded uncleared asset blocks publication with the asset named and zero bypasses occur across the negative test set</t>
  </si>
  <si>
    <t xml:space="preserve">CNT-90.2.02</t>
  </si>
  <si>
    <t xml:space="preserve">Clearance evidence linked to the content lineage record so any published artefact can be traced to its permission record in a single query</t>
  </si>
  <si>
    <t xml:space="preserve">PLT-03.1.02, CNT-90.1.02</t>
  </si>
  <si>
    <t xml:space="preserve">Lineage query output linking published artefacts to permission records</t>
  </si>
  <si>
    <t xml:space="preserve">For every published fixture artefact the query returns exactly one permission record with zero unresolved links</t>
  </si>
  <si>
    <t xml:space="preserve">CNT-90.2.03</t>
  </si>
  <si>
    <t xml:space="preserve">Takedown process defined with an intake route, a numeric target removal time, an explicit removal scope covering published content, caches, offline device copies and enclave media, and a record of every takedown</t>
  </si>
  <si>
    <t xml:space="preserve">Takedown process document</t>
  </si>
  <si>
    <t xml:space="preserve">Process states a numeric removal target and names the removal action for offline device copies and enclave media explicitly</t>
  </si>
  <si>
    <t xml:space="preserve">CNT-90.2.04</t>
  </si>
  <si>
    <t xml:space="preserve">Takedown rehearsal executed for one published asset with removal verified across the web surface, offline mobile caches and an enclave media copy within the target time</t>
  </si>
  <si>
    <t xml:space="preserve">CNT-90.2.03, PLT-03.1.08</t>
  </si>
  <si>
    <t xml:space="preserve">Takedown rehearsal report with per-surface verification</t>
  </si>
  <si>
    <t xml:space="preserve">The asset is unreachable on all three surfaces within the stated target time with dated evidence per surface</t>
  </si>
  <si>
    <t xml:space="preserve">CNT-90.2.05</t>
  </si>
  <si>
    <t xml:space="preserve">Third-party learning content intake checklist applied before any externally supplied course or asset is loaded, covering licence terms, accessibility conformance, language, provenance and assessment reuse rights</t>
  </si>
  <si>
    <t xml:space="preserve">CNT-90.1.03, CNT-12.1.03</t>
  </si>
  <si>
    <t xml:space="preserve">Completed intake checklists per external asset</t>
  </si>
  <si>
    <t xml:space="preserve">Zero externally supplied assets are loaded without a completed intake checklist signed by the reviewing designer</t>
  </si>
  <si>
    <t xml:space="preserve">CNT-90.2.06</t>
  </si>
  <si>
    <t xml:space="preserve">Exit-gate evidence bundle assembled and reviewed for the content IP and rights clearance task</t>
  </si>
  <si>
    <t xml:space="preserve">PRG-98.1.01</t>
  </si>
  <si>
    <t xml:space="preserve">Commercial and licensing artefacts</t>
  </si>
  <si>
    <t xml:space="preserve">Pricing and licence model</t>
  </si>
  <si>
    <t xml:space="preserve">Indian buyer segments defined for commercial purposes covering enterprise and industrial training, skilling institutes, university and college campuses, public-sector buyers and secure disconnected enterprises, each with its buying process and budget cycle noted</t>
  </si>
  <si>
    <t xml:space="preserve">Buyer segment definition document</t>
  </si>
  <si>
    <t xml:space="preserve">Every segment states its buying process, decision roles and budget cycle; approved by the commercial lead</t>
  </si>
  <si>
    <t xml:space="preserve">AUDIT Loop 8 — scope gap: pricing, licensing and commercial artefacts</t>
  </si>
  <si>
    <t xml:space="preserve">PRG-98.1.02</t>
  </si>
  <si>
    <t xml:space="preserve">Licence model decided per buyer segment covering per-learner, concurrent-seat, per-site, per-lab and module-bundle options, with exactly one countable metering unit defined per model</t>
  </si>
  <si>
    <t xml:space="preserve">Licence model decision record</t>
  </si>
  <si>
    <t xml:space="preserve">Each model states exactly one countable metering unit and the method by which it is measured in the platform</t>
  </si>
  <si>
    <t xml:space="preserve">PRG-98.1.03</t>
  </si>
  <si>
    <t xml:space="preserve">Price book structure published in Indian rupees with every illustrative value marked PROVISIONAL and a named approval authority for discounts and non-standard terms</t>
  </si>
  <si>
    <t xml:space="preserve">Price book structure document</t>
  </si>
  <si>
    <t xml:space="preserve">Every price cell is either marked PROVISIONAL or carries a recorded approval by the named authority</t>
  </si>
  <si>
    <t xml:space="preserve">PRG-98.1.04</t>
  </si>
  <si>
    <t xml:space="preserve">Public-procurement route documented for government and institutional buyers covering portal listing requirements, tender-response artefacts, purchase-order cycle and the linkage of payment milestones to acceptance events</t>
  </si>
  <si>
    <t xml:space="preserve">PRG-98.1.01, PRG-04.1.01</t>
  </si>
  <si>
    <t xml:space="preserve">Public procurement route document</t>
  </si>
  <si>
    <t xml:space="preserve">Every payment milestone maps to a named acceptance event in the acceptance procedure with zero unmapped milestones</t>
  </si>
  <si>
    <t xml:space="preserve">PRG-98.1.05</t>
  </si>
  <si>
    <t xml:space="preserve">Quotation and proposal templates produced with a scope schedule, stated assumptions and exclusions, deployment-class dependencies on customer-provided hardware, network and site readiness, and a validity period</t>
  </si>
  <si>
    <t xml:space="preserve">Quotation and proposal templates</t>
  </si>
  <si>
    <t xml:space="preserve">Templates state the customer-provided prerequisites for each deployment class and carry a validity period; reviewed by delivery and legal</t>
  </si>
  <si>
    <t xml:space="preserve">PRG-98.2.01</t>
  </si>
  <si>
    <t xml:space="preserve">Contracts, entitlement and renewal</t>
  </si>
  <si>
    <t xml:space="preserve">Contract template produced covering scope, the acceptance procedure, data-processing obligations under Indian data-protection law, ownership of customer content and generated derivatives, liability, and termination with exit assistance</t>
  </si>
  <si>
    <t xml:space="preserve">FND-04.1.06, PRG-04.1.01, PRG-98.1.04</t>
  </si>
  <si>
    <t xml:space="preserve">Contract template with legal review record</t>
  </si>
  <si>
    <t xml:space="preserve">Template references the adopted acceptance procedure and states an exit-assistance obligation including customer data export; legal review recorded</t>
  </si>
  <si>
    <t xml:space="preserve">PRG-98.2.02</t>
  </si>
  <si>
    <t xml:space="preserve">Customer-facing service level agreement template produced consistent with the internal support model, with an enclave annex stating explicitly what cannot be committed without on-site access</t>
  </si>
  <si>
    <t xml:space="preserve">PRG-96.1.03, PRG-98.2.01</t>
  </si>
  <si>
    <t xml:space="preserve">Customer SLA template with enclave annex</t>
  </si>
  <si>
    <t xml:space="preserve">Every figure in the template traces to a target in the internal support model with zero unmatched or more aggressive figures</t>
  </si>
  <si>
    <t xml:space="preserve">PRG-98.2.03</t>
  </si>
  <si>
    <t xml:space="preserve">Subscription and entitlement enforcement designed covering the entitlement record per tenant, the enforcement points at login, module access, seat count and lab access, grace behaviour, and offline entitlement validity</t>
  </si>
  <si>
    <t xml:space="preserve">FND-02.1.02, FLD-01.1.04, PRG-98.1.02</t>
  </si>
  <si>
    <t xml:space="preserve">Entitlement enforcement design document</t>
  </si>
  <si>
    <t xml:space="preserve">Design states the behaviour for an expired or exceeded entitlement in connected, offline and enclave modes with no mode left undefined</t>
  </si>
  <si>
    <t xml:space="preserve">PRG-98.2.04</t>
  </si>
  <si>
    <t xml:space="preserve">Entitlement enforcement implemented and verified so an expired or over-count entitlement produces the designed behaviour without deleting learner records or blocking a learner from reading and exporting their own official records</t>
  </si>
  <si>
    <t xml:space="preserve">Entitlement expiry test report</t>
  </si>
  <si>
    <t xml:space="preserve">Expiry test blocks new consumption as designed while existing official records remain readable and exportable for every affected learner</t>
  </si>
  <si>
    <t xml:space="preserve">PRG-98.2.05</t>
  </si>
  <si>
    <t xml:space="preserve">Licence usage reporting implemented producing a per-tenant entitlement-versus-consumption statement suitable for renewal discussion and true-up</t>
  </si>
  <si>
    <t xml:space="preserve">PRG-98.2.03, ANA-05.5.02</t>
  </si>
  <si>
    <t xml:space="preserve">Per-tenant entitlement versus consumption statement</t>
  </si>
  <si>
    <t xml:space="preserve">Statement reconciles to the entitlement record and the platform usage data for every live tenant with zero unexplained variances</t>
  </si>
  <si>
    <t xml:space="preserve">PRG-98.2.06</t>
  </si>
  <si>
    <t xml:space="preserve">Renewal and true-up process defined with a lead-time trigger before expiry, the data pack reviewed, the escalation path when consumption exceeds entitlement, and the non-renewal exit procedure including customer data export</t>
  </si>
  <si>
    <t xml:space="preserve">PRG-98.2.05, PRG-94.1.05</t>
  </si>
  <si>
    <t xml:space="preserve">Renewal and true-up process document</t>
  </si>
  <si>
    <t xml:space="preserve">Process states a numeric lead time and links the non-renewal path to the tenant offboarding procedure; zero renewals fall due without a triggered review</t>
  </si>
  <si>
    <t xml:space="preserve">PRG-98.2.07</t>
  </si>
  <si>
    <t xml:space="preserve">Exit-gate evidence bundle assembled and reviewed for the commercial and licensing artefacts task</t>
  </si>
  <si>
    <t xml:space="preserve">PRG-99.1.01</t>
  </si>
  <si>
    <t xml:space="preserve">Internal enablement and knowledge continuity</t>
  </si>
  <si>
    <t xml:space="preserve">New-joiner onboarding and internal certification</t>
  </si>
  <si>
    <t xml:space="preserve">New-joiner onboarding path published per squad with a day-one environment checklist, the first meaningful task, the required reading set and a named buddy role</t>
  </si>
  <si>
    <t xml:space="preserve">Per-squad onboarding path documents</t>
  </si>
  <si>
    <t xml:space="preserve">Each squad has an onboarding path and the first three joiners each reach a merged first change within the stated target number of days</t>
  </si>
  <si>
    <t xml:space="preserve">AUDIT Loop 8 — scope gap: internal staff enablement</t>
  </si>
  <si>
    <t xml:space="preserve">PRG-99.1.02</t>
  </si>
  <si>
    <t xml:space="preserve">Internal platform induction authored on the platform itself covering architecture, deployment classes, tenancy and isolation, and the evidence culture, and completed by every new joiner before production access</t>
  </si>
  <si>
    <t xml:space="preserve">Induction course with completion records</t>
  </si>
  <si>
    <t xml:space="preserve">Completion is recorded for 100 percent of joiners before production access is granted; zero production grants precede a completion record</t>
  </si>
  <si>
    <t xml:space="preserve">PRG-99.1.03</t>
  </si>
  <si>
    <t xml:space="preserve">Internal certification defined for security-sensitive work covering changes that touch official records, grade paths, the audit chain or identity, with an assessment, a named certifying authority and a recertification interval</t>
  </si>
  <si>
    <t xml:space="preserve">PLT-02.1.03, PRG-99.1.02</t>
  </si>
  <si>
    <t xml:space="preserve">Certification scheme document</t>
  </si>
  <si>
    <t xml:space="preserve">Scheme names the exact change classes in scope, the assessment, the certifying authority and a numeric recertification interval</t>
  </si>
  <si>
    <t xml:space="preserve">PRG-99.1.04</t>
  </si>
  <si>
    <t xml:space="preserve">Certification enforcement implemented in the change process so a change touching a certified-scope component requires review by a currently certified reviewer</t>
  </si>
  <si>
    <t xml:space="preserve">Change-process configuration plus negative test log</t>
  </si>
  <si>
    <t xml:space="preserve">A test change to a certified-scope path is blocked without a currently certified reviewer and the block names the required certification</t>
  </si>
  <si>
    <t xml:space="preserve">PRG-99.1.05</t>
  </si>
  <si>
    <t xml:space="preserve">Enclave working induction published for engineers deploying to disconnected customers covering removable-media handling, the data-egress prohibition, evidence capture without a network, and site conduct rules</t>
  </si>
  <si>
    <t xml:space="preserve">Enclave working induction with completion records</t>
  </si>
  <si>
    <t xml:space="preserve">Every engineer scheduled for an enclave site visit has a recorded induction completion before travel; zero exceptions</t>
  </si>
  <si>
    <t xml:space="preserve">PRG-99.1.06</t>
  </si>
  <si>
    <t xml:space="preserve">Access grants tied to enablement so production and customer-data access is issued only after the matching induction and certification are recorded, and reviewed on a stated cycle with unused access removed</t>
  </si>
  <si>
    <t xml:space="preserve">PRG-99.1.02, PRG-99.1.03</t>
  </si>
  <si>
    <t xml:space="preserve">Access review record with enablement cross-check</t>
  </si>
  <si>
    <t xml:space="preserve">Zero active production or customer-data grants lack a matching induction or certification record at the review date</t>
  </si>
  <si>
    <t xml:space="preserve">PRG-99.2.01</t>
  </si>
  <si>
    <t xml:space="preserve">Knowledge continuity and internal sandbox</t>
  </si>
  <si>
    <t xml:space="preserve">Runbook ownership register maintained naming a primary and a deputy owner for every operational runbook, with the rule that no runbook may have a single owner</t>
  </si>
  <si>
    <t xml:space="preserve">FND-06.2.04, PRG-96.2.06</t>
  </si>
  <si>
    <t xml:space="preserve">Runbook ownership register</t>
  </si>
  <si>
    <t xml:space="preserve">Zero runbooks in the register have fewer than two named owners</t>
  </si>
  <si>
    <t xml:space="preserve">PRG-99.2.02</t>
  </si>
  <si>
    <t xml:space="preserve">Bus-factor assessment completed across the critical capabilities of identity, learning-record store, row-level security, model serving, XR build, Indic language handling, LMS integration and BI, recording how many people can perform each unaided</t>
  </si>
  <si>
    <t xml:space="preserve">Bus-factor assessment sheet</t>
  </si>
  <si>
    <t xml:space="preserve">Every listed capability has a recorded count and every capability at a count of one carries a dated mitigation action with an owner</t>
  </si>
  <si>
    <t xml:space="preserve">PRG-99.2.03</t>
  </si>
  <si>
    <t xml:space="preserve">Pairing and shadowing rota operating for every capability assessed at bus factor one, closing a rota entry only when the second person performs the capability unaided under witness</t>
  </si>
  <si>
    <t xml:space="preserve">Rota records with witnessed completion notes</t>
  </si>
  <si>
    <t xml:space="preserve">For each closed rota entry the second person completed the task unaided with a witnessed record; zero entries closed on attendance alone</t>
  </si>
  <si>
    <t xml:space="preserve">PRG-99.2.04</t>
  </si>
  <si>
    <t xml:space="preserve">Internal sandbox environment provided for staff learning and rehearsal with realistic synthetic data, reset on demand, and enforcement that no customer data is present</t>
  </si>
  <si>
    <t xml:space="preserve">ANA-91.1.02, ANA-91.1.03</t>
  </si>
  <si>
    <t xml:space="preserve">Sandbox environment record plus data-source attestation</t>
  </si>
  <si>
    <t xml:space="preserve">The sandbox is reset from the synthetic baseline on demand and a data scan confirms zero records originating from a customer tenant</t>
  </si>
  <si>
    <t xml:space="preserve">PRG-99.2.05</t>
  </si>
  <si>
    <t xml:space="preserve">Leaver knowledge-transfer procedure defined covering runbook reassignment, credential revocation, documented handover of in-flight items and an exit debrief captured in the internal knowledge base</t>
  </si>
  <si>
    <t xml:space="preserve">Leaver procedure plus completed handover records</t>
  </si>
  <si>
    <t xml:space="preserve">Every leaver has a completed handover record and zero runbooks are left with a departed owner after the leave date</t>
  </si>
  <si>
    <t xml:space="preserve">PRG-99.2.06</t>
  </si>
  <si>
    <t xml:space="preserve">Exit-gate evidence bundle assembled and reviewed for the internal enablement and knowledge continuity task</t>
  </si>
  <si>
    <t xml:space="preserve">PRG-89.1.01</t>
  </si>
  <si>
    <t xml:space="preserve">Benefits realisation tracking</t>
  </si>
  <si>
    <t xml:space="preserve">Benefits framework and baselines</t>
  </si>
  <si>
    <t xml:space="preserve">Benefits register created listing each claimed benefit with its definition, unit of measure, target, data source and the deployment classes it applies to</t>
  </si>
  <si>
    <t xml:space="preserve">Benefits register in the program repository</t>
  </si>
  <si>
    <t xml:space="preserve">Every benefit has one named data source that is either already instrumented or covered by a named item creating it</t>
  </si>
  <si>
    <t xml:space="preserve">AUDIT Loop 8 — scope gap: post-launch benefits realisation</t>
  </si>
  <si>
    <t xml:space="preserve">PRG-89.1.02</t>
  </si>
  <si>
    <t xml:space="preserve">Benefit owner named per benefit, accountable for the target and for raising a corrective action when the measured trend misses</t>
  </si>
  <si>
    <t xml:space="preserve">Benefits register with owner column populated</t>
  </si>
  <si>
    <t xml:space="preserve">Zero benefits in the register lack a named owning role</t>
  </si>
  <si>
    <t xml:space="preserve">PRG-89.1.03</t>
  </si>
  <si>
    <t xml:space="preserve">Benefit baselines captured before platform exposure for every benefit in the register, reusing the readiness-measurement baseline instruments where they apply and adding instruments where they do not</t>
  </si>
  <si>
    <t xml:space="preserve">PRG-89.1.01, PRG-02.2.04, PRG-02.1.03</t>
  </si>
  <si>
    <t xml:space="preserve">Dated pre-exposure baseline dataset per benefit</t>
  </si>
  <si>
    <t xml:space="preserve">A dated pre-exposure baseline value exists for every benefit; benefits without one are marked unmeasurable and removed from external claims</t>
  </si>
  <si>
    <t xml:space="preserve">PRG-89.1.04</t>
  </si>
  <si>
    <t xml:space="preserve">Benefit measurement cadence agreed stating the measurement points after go-live, the reporting rhythm and the minimum observation period before a benefit may be claimed publicly</t>
  </si>
  <si>
    <t xml:space="preserve">Benefits measurement cadence document</t>
  </si>
  <si>
    <t xml:space="preserve">Cadence states numeric measurement points and a minimum observation period per benefit class; approved by the acceptance authority</t>
  </si>
  <si>
    <t xml:space="preserve">PRG-89.1.05</t>
  </si>
  <si>
    <t xml:space="preserve">Attribution and confounder rules documented so a measured improvement is attributed to the platform only where the cohort and comparison design supports it</t>
  </si>
  <si>
    <t xml:space="preserve">PRG-02.1.04, PRG-89.1.01</t>
  </si>
  <si>
    <t xml:space="preserve">Attribution rules appended to the measurement plan</t>
  </si>
  <si>
    <t xml:space="preserve">Every benefit states whether its design supports causal attribution or only association, with no benefit left unclassified</t>
  </si>
  <si>
    <t xml:space="preserve">PRG-89.2.01</t>
  </si>
  <si>
    <t xml:space="preserve">Post-launch tracking and reporting</t>
  </si>
  <si>
    <t xml:space="preserve">Benefits tracking implemented in the analysis mart computing actual versus baseline per benefit on the agreed cadence with provenance to the source measures</t>
  </si>
  <si>
    <t xml:space="preserve">PRG-02.2.05, PRG-89.1.03</t>
  </si>
  <si>
    <t xml:space="preserve">Benefits tracking dataset and dashboard</t>
  </si>
  <si>
    <t xml:space="preserve">Every benefit shows an actual value, a baseline value and a variance on the current cadence point with each figure traceable to its source measure</t>
  </si>
  <si>
    <t xml:space="preserve">PRG-89.2.02</t>
  </si>
  <si>
    <t xml:space="preserve">Post-launch benefits review held on the agreed cadence with each benefit owner presenting actual versus target and recording a dated corrective action for every shortfall</t>
  </si>
  <si>
    <t xml:space="preserve">PRG-89.2.01, PRG-89.1.02</t>
  </si>
  <si>
    <t xml:space="preserve">Benefits review minutes with actions</t>
  </si>
  <si>
    <t xml:space="preserve">Every benefit is reviewed at each cadence point and every shortfall carries a dated corrective action with an owner</t>
  </si>
  <si>
    <t xml:space="preserve">PRG-89.2.03</t>
  </si>
  <si>
    <t xml:space="preserve">Benefits realisation report produced for the final report with every figure traced to a named evidence artefact and unrealised or unmeasurable benefits disclosed rather than omitted</t>
  </si>
  <si>
    <t xml:space="preserve">PRG-89.2.01, PRG-05.2.01</t>
  </si>
  <si>
    <t xml:space="preserve">Benefits realisation report section</t>
  </si>
  <si>
    <t xml:space="preserve">Every quantitative claim traces to a named evidence artefact and every benefit in the register appears as realised, partially realised, unrealised or unmeasurable</t>
  </si>
  <si>
    <t xml:space="preserve">PRG-89.2.04</t>
  </si>
  <si>
    <t xml:space="preserve">Exit-gate evidence bundle assembled and reviewed for the benefits realisation task</t>
  </si>
  <si>
    <t xml:space="preserve">FLD-97.1.01</t>
  </si>
  <si>
    <t xml:space="preserve">Pilot-to-production cutover and hypercare</t>
  </si>
  <si>
    <t xml:space="preserve">Production readiness and cutover</t>
  </si>
  <si>
    <t xml:space="preserve">Pilot-to-production cutover plan published with the scope per site and per tenant, the ordered sequence, a dated window, freeze periods, an owner per step and the defined rollback trigger</t>
  </si>
  <si>
    <t xml:space="preserve">Cutover plan, approved</t>
  </si>
  <si>
    <t xml:space="preserve">Plan states the window, an owner per step and a binary rollback trigger; approved by the acceptance authority and the run lead</t>
  </si>
  <si>
    <t xml:space="preserve">AUDIT Loop 8 — scope gap: pilot-to-production cutover and decommissioning</t>
  </si>
  <si>
    <t xml:space="preserve">FLD-97.1.02</t>
  </si>
  <si>
    <t xml:space="preserve">Production readiness review held against a binary checklist covering acceptance evidence, open high-severity defects, operational handover status, support readiness, continuity exercise results and migration reconciliation, with a named authority recording go or no-go</t>
  </si>
  <si>
    <t xml:space="preserve">FLD-97.1.01, PRG-96.3.02, PLT-90.2.01, PRG-95.2.03</t>
  </si>
  <si>
    <t xml:space="preserve">Production readiness review record with decision</t>
  </si>
  <si>
    <t xml:space="preserve">Review is recorded with a go or no-go decision by the named authority and zero open severity-one defects at a go decision</t>
  </si>
  <si>
    <t xml:space="preserve">FLD-97.1.03</t>
  </si>
  <si>
    <t xml:space="preserve">Cutover rehearsal executed in the acceptance environment covering the full sequence including rollback, with each step timed and deviations from plan recorded</t>
  </si>
  <si>
    <t xml:space="preserve">FLD-97.1.01, PRG-04.1.03</t>
  </si>
  <si>
    <t xml:space="preserve">Cutover rehearsal report with per-step timings</t>
  </si>
  <si>
    <t xml:space="preserve">Rehearsal completes the full sequence including rollback within the planned window with every deviation recorded and dispositioned</t>
  </si>
  <si>
    <t xml:space="preserve">FLD-97.1.04</t>
  </si>
  <si>
    <t xml:space="preserve">Cutover communication plan published naming who informs learners, instructors and customer administrators, of what, at which point, through which channel, and in which committed languages</t>
  </si>
  <si>
    <t xml:space="preserve">FLD-97.1.01, PRG-07.1.01</t>
  </si>
  <si>
    <t xml:space="preserve">Cutover communication plan with message drafts</t>
  </si>
  <si>
    <t xml:space="preserve">Plan names an audience, channel, timing and language for every message and every draft exists before the cutover window opens</t>
  </si>
  <si>
    <t xml:space="preserve">FLD-97.1.05</t>
  </si>
  <si>
    <t xml:space="preserve">Cutover executed against the plan with a decision log recording each go and no-go checkpoint, the actual timings against plan, and the disposition of every issue raised during the window</t>
  </si>
  <si>
    <t xml:space="preserve">FLD-97.1.03, FLD-97.1.02</t>
  </si>
  <si>
    <t xml:space="preserve">Cutover decision log and completion report</t>
  </si>
  <si>
    <t xml:space="preserve">Every checkpoint in the plan has a recorded decision with a timestamp and every issue raised in the window is dispositioned before closure</t>
  </si>
  <si>
    <t xml:space="preserve">FLD-97.2.01</t>
  </si>
  <si>
    <t xml:space="preserve">Hypercare and decommissioning</t>
  </si>
  <si>
    <t xml:space="preserve">Hypercare period defined with a numeric duration, elevated response targets, a daily triage rhythm, named staffing from both build and run teams, and the authority who may declare hypercare over</t>
  </si>
  <si>
    <t xml:space="preserve">PRG-96.1.03, FLD-97.1.05</t>
  </si>
  <si>
    <t xml:space="preserve">Hypercare definition, approved</t>
  </si>
  <si>
    <t xml:space="preserve">Definition states a numeric duration and response targets and names the exit authority and the daily triage participants</t>
  </si>
  <si>
    <t xml:space="preserve">FLD-97.2.02</t>
  </si>
  <si>
    <t xml:space="preserve">Hypercare exit criteria published as binary measures covering defect arrival rate below a threshold, zero open high-priority defects, service level attainment met for a stated consecutive period, and the run team operating without build-squad assistance</t>
  </si>
  <si>
    <t xml:space="preserve">Hypercare exit criteria document</t>
  </si>
  <si>
    <t xml:space="preserve">Every criterion is binary and numeric with zero subjective wording; approved by both the run lead and the customer</t>
  </si>
  <si>
    <t xml:space="preserve">FLD-97.2.03</t>
  </si>
  <si>
    <t xml:space="preserve">Hypercare operated and exited against the published criteria with the exit decision recorded and every residual issue transferred to normal support with a named owner</t>
  </si>
  <si>
    <t xml:space="preserve">FLD-97.2.02, PRG-96.3.02</t>
  </si>
  <si>
    <t xml:space="preserve">Hypercare exit record with residual issue list</t>
  </si>
  <si>
    <t xml:space="preserve">Exit decision is recorded against every criterion and zero residual issues are transferred without a named owner and a due date</t>
  </si>
  <si>
    <t xml:space="preserve">FLD-97.2.04</t>
  </si>
  <si>
    <t xml:space="preserve">Decommissioning plan produced for every system the platform replaces naming the system, its last day of service, the records exported, the archive location and format, and the access route after shutdown</t>
  </si>
  <si>
    <t xml:space="preserve">PRG-95.3.03, PRG-95.1.01</t>
  </si>
  <si>
    <t xml:space="preserve">Decommissioning plan per replaced system</t>
  </si>
  <si>
    <t xml:space="preserve">No replaced system has a shutdown date without a completed archive record and a named post-shutdown access route</t>
  </si>
  <si>
    <t xml:space="preserve">FLD-97.2.05</t>
  </si>
  <si>
    <t xml:space="preserve">Parallel-running period defined and closed for each replaced system with the criteria for switching off the incumbent and evidence that the platform carried the full load for the stated period</t>
  </si>
  <si>
    <t xml:space="preserve">Parallel-running evidence pack per replaced system</t>
  </si>
  <si>
    <t xml:space="preserve">Each incumbent switch-off is preceded by the stated consecutive period of full platform load with dated evidence and a recorded decision</t>
  </si>
  <si>
    <t xml:space="preserve">FLD-97.2.06</t>
  </si>
  <si>
    <t xml:space="preserve">Decommissioning executed with a signed confirmation per retired system covering data destruction or archive, licence termination and hardware disposal or return</t>
  </si>
  <si>
    <t xml:space="preserve">FLD-97.2.05, PRG-97.1.01</t>
  </si>
  <si>
    <t xml:space="preserve">Signed decommissioning confirmations</t>
  </si>
  <si>
    <t xml:space="preserve">Every retired system has a signed confirmation covering data, licence and hardware disposition with zero open items</t>
  </si>
  <si>
    <t xml:space="preserve">FLD-97.2.07</t>
  </si>
  <si>
    <t xml:space="preserve">Exit-gate evidence bundle assembled and reviewed for the pilot-to-production cutover and hypercare task</t>
  </si>
  <si>
    <t xml:space="preserve">FLD-97.2.06, FLD-97.2.03</t>
  </si>
  <si>
    <t xml:space="preserve">ANA-91.1.01</t>
  </si>
  <si>
    <t xml:space="preserve">Demo and pre-sales environment</t>
  </si>
  <si>
    <t xml:space="preserve">Demo environment and synthetic data</t>
  </si>
  <si>
    <t xml:space="preserve">Demo environment specified and built as an isolated deployment with its own tenant boundary, its own credentials and no network or identity path to any customer production data</t>
  </si>
  <si>
    <t xml:space="preserve">Demo environment specification plus network and identity review record</t>
  </si>
  <si>
    <t xml:space="preserve">The review confirms zero network or identity paths from the demo environment to customer production data</t>
  </si>
  <si>
    <t xml:space="preserve">AUDIT Loop 8 — scope gap: demo and pre-sales environments</t>
  </si>
  <si>
    <t xml:space="preserve">ANA-91.1.02</t>
  </si>
  <si>
    <t xml:space="preserve">Synthetic demo dataset generated covering learners, cohorts, completions, competency states, assessment results and dashboard history, produced by a generator and labelled synthetic in the data itself</t>
  </si>
  <si>
    <t xml:space="preserve">Synthetic dataset plus generator configuration</t>
  </si>
  <si>
    <t xml:space="preserve">A check against production identifier ranges and personal-data patterns returns zero records traceable to a real person</t>
  </si>
  <si>
    <t xml:space="preserve">ANA-91.1.03</t>
  </si>
  <si>
    <t xml:space="preserve">Demo data rule published and enforced prohibiting customer data, production extracts and screenshots of live tenants in any demonstration or pre-sales material, with a named route for reporting a breach</t>
  </si>
  <si>
    <t xml:space="preserve">Demo data rule with acknowledgement records</t>
  </si>
  <si>
    <t xml:space="preserve">Every person with demo access has an acknowledgement record and a spot check of current pre-sales material finds zero customer-derived content</t>
  </si>
  <si>
    <t xml:space="preserve">ANA-91.1.04</t>
  </si>
  <si>
    <t xml:space="preserve">Demo environment refresh implemented as a scripted reset that restores the synthetic baseline and removes anything a presenter added during a session</t>
  </si>
  <si>
    <t xml:space="preserve">Reset script plus reset run log</t>
  </si>
  <si>
    <t xml:space="preserve">Reset restores the baseline within the stated time and removes 100 percent of seeded presenter changes</t>
  </si>
  <si>
    <t xml:space="preserve">ANA-91.1.05</t>
  </si>
  <si>
    <t xml:space="preserve">Demo scenario scripts produced per buyer segment covering the journeys most often asked about, each runnable end to end on the synthetic dataset without editing data during the session</t>
  </si>
  <si>
    <t xml:space="preserve">PRG-98.1.01, ANA-91.1.02</t>
  </si>
  <si>
    <t xml:space="preserve">Demo scenario scripts with dry-run records</t>
  </si>
  <si>
    <t xml:space="preserve">Every scenario runs end to end on the synthetic dataset in a dry run with zero live data edits required</t>
  </si>
  <si>
    <t xml:space="preserve">ANA-91.1.06</t>
  </si>
  <si>
    <t xml:space="preserve">Offline and enclave demonstration variant produced that runs disconnected on a portable kit using the same synthetic dataset, for customers who cannot permit a connected demonstration</t>
  </si>
  <si>
    <t xml:space="preserve">ANA-91.1.02, ANA-91.1.04</t>
  </si>
  <si>
    <t xml:space="preserve">Portable demo kit build record plus disconnected dry-run log</t>
  </si>
  <si>
    <t xml:space="preserve">The kit completes a full scenario with the network disabled and an egress check records zero outbound connection attempts</t>
  </si>
  <si>
    <t xml:space="preserve">ANA-91.1.07</t>
  </si>
  <si>
    <t xml:space="preserve">Demo environment currency check scheduled so the demo tracks the current released version and version drift is detected before a customer sees it</t>
  </si>
  <si>
    <t xml:space="preserve">Currency check schedule and results log</t>
  </si>
  <si>
    <t xml:space="preserve">Each check records the demo version against the released version and any drift beyond the stated tolerance raises an action before the next scheduled demonstration</t>
  </si>
  <si>
    <t xml:space="preserve">ANA-91.1.08</t>
  </si>
  <si>
    <t xml:space="preserve">Demo access register maintained recording who holds demo access, the reason, and a review date, with access removed when the reason no longer applies</t>
  </si>
  <si>
    <t xml:space="preserve">Demo access register with review dates</t>
  </si>
  <si>
    <t xml:space="preserve">Zero demo accounts lack a recorded reason and review date and zero accounts remain active past their review date</t>
  </si>
  <si>
    <t xml:space="preserve">ANA-91.1.09</t>
  </si>
  <si>
    <t xml:space="preserve">Exit-gate evidence bundle assembled and reviewed for the demo and pre-sales environment task</t>
  </si>
  <si>
    <t xml:space="preserve">ANA-91.1.07, ANA-91.1.08</t>
  </si>
  <si>
    <t xml:space="preserve">Sprint Calendar</t>
  </si>
  <si>
    <t xml:space="preserve">Fill one row per sprint. TargetSprint on the Master Checklist must match a Sprint ID here. Without this sheet no item can be given a date.</t>
  </si>
  <si>
    <t xml:space="preserve">Sprint ID</t>
  </si>
  <si>
    <t xml:space="preserve">Start date</t>
  </si>
  <si>
    <t xml:space="preserve">End date</t>
  </si>
  <si>
    <t xml:space="preserve">Working days</t>
  </si>
  <si>
    <t xml:space="preserve">Sprint goal</t>
  </si>
  <si>
    <t xml:space="preserve">Scope freeze date</t>
  </si>
  <si>
    <t xml:space="preserve">Demo date</t>
  </si>
  <si>
    <t xml:space="preserve">PROVISIONAL: S01</t>
  </si>
  <si>
    <t xml:space="preserve">10</t>
  </si>
  <si>
    <t xml:space="preserve">PROVISIONAL: Freeze event envelope + competency schema contracts</t>
  </si>
  <si>
    <t xml:space="preserve">Capacity Plan</t>
  </si>
  <si>
    <t xml:space="preserve">One row per person per sprint. Allocated days pulls from EstDays where Assignee and TargetSprint match. This is the sheet that turns the checklist into a plan.</t>
  </si>
  <si>
    <t xml:space="preserve">Person</t>
  </si>
  <si>
    <t xml:space="preserve">Role</t>
  </si>
  <si>
    <t xml:space="preserve">Test team</t>
  </si>
  <si>
    <t xml:space="preserve">Cost centre</t>
  </si>
  <si>
    <t xml:space="preserve">Available days</t>
  </si>
  <si>
    <t xml:space="preserve">Allocated days (from EstDays)</t>
  </si>
  <si>
    <t xml:space="preserve">Over-allocated?</t>
  </si>
  <si>
    <t xml:space="preserve">PROVISIONAL: &lt;name&gt;</t>
  </si>
  <si>
    <t xml:space="preserve">PROVISIONAL: Backend Engineer</t>
  </si>
  <si>
    <t xml:space="preserve">8</t>
  </si>
  <si>
    <t xml:space="preserve">Stage Gates</t>
  </si>
  <si>
    <t xml:space="preserve">A stage closes on evidence, not opinion. Gate status is computed; entry/exit criteria and the gate owner are yours to complete.</t>
  </si>
  <si>
    <t xml:space="preserve">Gate owner</t>
  </si>
  <si>
    <t xml:space="preserve">Target date</t>
  </si>
  <si>
    <t xml:space="preserve">Items</t>
  </si>
  <si>
    <t xml:space="preserve">Gate status</t>
  </si>
  <si>
    <t xml:space="preserve">Entry criteria</t>
  </si>
  <si>
    <t xml:space="preserve">Exit criteria evidence</t>
  </si>
  <si>
    <t xml:space="preserve">Stage 0</t>
  </si>
  <si>
    <t xml:space="preserve">Stage 1</t>
  </si>
  <si>
    <t xml:space="preserve">Stage 2</t>
  </si>
  <si>
    <t xml:space="preserve">Stage 3</t>
  </si>
  <si>
    <t xml:space="preserve">Stage 4</t>
  </si>
  <si>
    <t xml:space="preserve">Stage 5</t>
  </si>
  <si>
    <t xml:space="preserve">Defect Log</t>
  </si>
  <si>
    <t xml:space="preserve">Every failed test lands here. Fix item ID links the rework back to the Master Checklist so a defect cannot be closed without work being done.</t>
  </si>
  <si>
    <t xml:space="preserve">Defect ID</t>
  </si>
  <si>
    <t xml:space="preserve">Raised date</t>
  </si>
  <si>
    <t xml:space="preserve">Found in item ID</t>
  </si>
  <si>
    <t xml:space="preserve">Environment</t>
  </si>
  <si>
    <t xml:space="preserve">Severity (S1-S4)</t>
  </si>
  <si>
    <t xml:space="preserve">Summary</t>
  </si>
  <si>
    <t xml:space="preserve">Fix item ID</t>
  </si>
  <si>
    <t xml:space="preserve">Retest result</t>
  </si>
  <si>
    <t xml:space="preserve">Closed date</t>
  </si>
  <si>
    <t xml:space="preserve">Owner</t>
  </si>
  <si>
    <t xml:space="preserve">PROVISIONAL: DEF-001</t>
  </si>
  <si>
    <t xml:space="preserve">PROVISIONAL: TST-07.1.04</t>
  </si>
  <si>
    <t xml:space="preserve">PROVISIONAL: D12</t>
  </si>
  <si>
    <t xml:space="preserve">PROVISIONAL: Staging</t>
  </si>
  <si>
    <t xml:space="preserve">S2</t>
  </si>
  <si>
    <t xml:space="preserve">PROVISIONAL: eBook page-turn control unreachable by keyboard</t>
  </si>
  <si>
    <t xml:space="preserve">Open</t>
  </si>
  <si>
    <t xml:space="preserve">Environment Register</t>
  </si>
  <si>
    <t xml:space="preserve">An item whose environment does not exist is unschedulable. Assign an owner and a readiness date to every row before planning the stage that needs it.</t>
  </si>
  <si>
    <t xml:space="preserve">Purpose</t>
  </si>
  <si>
    <t xml:space="preserve">Deployment class served</t>
  </si>
  <si>
    <t xml:space="preserve">Readiness date</t>
  </si>
  <si>
    <t xml:space="preserve">Cost basis (INR)</t>
  </si>
  <si>
    <t xml:space="preserve">Dependent items</t>
  </si>
  <si>
    <t xml:space="preserve">Blocking?</t>
  </si>
  <si>
    <t xml:space="preserve">Enclave simulator</t>
  </si>
  <si>
    <t xml:space="preserve">Zero-egress build/test of every Enclave-class item</t>
  </si>
  <si>
    <t xml:space="preserve">Not funded</t>
  </si>
  <si>
    <t xml:space="preserve">YES</t>
  </si>
  <si>
    <t xml:space="preserve">PROVISIONAL: 96+ items cannot be scheduled until this exists</t>
  </si>
  <si>
    <t xml:space="preserve">LMS certification</t>
  </si>
  <si>
    <t xml:space="preserve">Moodle / Canvas / Open edX conformance runs</t>
  </si>
  <si>
    <t xml:space="preserve">Lab edge (reference site)</t>
  </si>
  <si>
    <t xml:space="preserve">Edge server + device fleet for D20</t>
  </si>
  <si>
    <t xml:space="preserve">Staging</t>
  </si>
  <si>
    <t xml:space="preserve">Pre-production integration and UAT</t>
  </si>
  <si>
    <t xml:space="preserve">Demo / pre-sales</t>
  </si>
  <si>
    <t xml:space="preserve">Synthetic-data demo estate (no customer data)</t>
  </si>
  <si>
    <t xml:space="preserve">Procurement &amp; Long-Lead</t>
  </si>
  <si>
    <t xml:space="preserve">Long-lead hardware sits on the critical path. Order-by date = stage start date minus lead time minus customs allowance. Fill unit costs in INR.</t>
  </si>
  <si>
    <t xml:space="preserve">Qty</t>
  </si>
  <si>
    <t xml:space="preserve">Unit cost (INR)</t>
  </si>
  <si>
    <t xml:space="preserve">Total (INR)</t>
  </si>
  <si>
    <t xml:space="preserve">Lead time (weeks)</t>
  </si>
  <si>
    <t xml:space="preserve">Needed by stage</t>
  </si>
  <si>
    <t xml:space="preserve">Order-by date</t>
  </si>
  <si>
    <t xml:space="preserve">Customs/duty allowance</t>
  </si>
  <si>
    <t xml:space="preserve">Vendor</t>
  </si>
  <si>
    <t xml:space="preserve">PROVISIONAL: GPU inference server (AI appliance)</t>
  </si>
  <si>
    <t xml:space="preserve">3</t>
  </si>
  <si>
    <t xml:space="preserve">PROVISIONAL: TBD</t>
  </si>
  <si>
    <t xml:space="preserve">PROVISIONAL: XR headsets — reference site fleet</t>
  </si>
  <si>
    <t xml:space="preserve">PROVISIONAL: Edge server + local package cache</t>
  </si>
  <si>
    <t xml:space="preserve">PROVISIONAL: UPS + voltage stabilisation (lab)</t>
  </si>
  <si>
    <t xml:space="preserve">PROVISIONAL: Replication-site fleet</t>
  </si>
  <si>
    <t xml:space="preserve">5</t>
  </si>
  <si>
    <t xml:space="preserve">Risk &amp; Issue Register</t>
  </si>
  <si>
    <t xml:space="preserve">Carried from the architecture review so risks live where the work lives. Add issues as they arise; review on a fixed cadence.</t>
  </si>
  <si>
    <t xml:space="preserve">Risk / issue</t>
  </si>
  <si>
    <t xml:space="preserve">Affected products</t>
  </si>
  <si>
    <t xml:space="preserve">Probability</t>
  </si>
  <si>
    <t xml:space="preserve">Impact</t>
  </si>
  <si>
    <t xml:space="preserve">Severity</t>
  </si>
  <si>
    <t xml:space="preserve">Response</t>
  </si>
  <si>
    <t xml:space="preserve">Review date</t>
  </si>
  <si>
    <t xml:space="preserve">Linked items</t>
  </si>
  <si>
    <t xml:space="preserve">R-001</t>
  </si>
  <si>
    <t xml:space="preserve">Risk</t>
  </si>
  <si>
    <t xml:space="preserve">Competency-dependent work starts before the registry schema is frozen</t>
  </si>
  <si>
    <t xml:space="preserve">D08, D15, D23</t>
  </si>
  <si>
    <t xml:space="preserve">High</t>
  </si>
  <si>
    <t xml:space="preserve">Freeze schema in Stage 0 before any assessment build</t>
  </si>
  <si>
    <t xml:space="preserve">R-002</t>
  </si>
  <si>
    <t xml:space="preserve">Tenant isolation enforced in application code only, not at database level</t>
  </si>
  <si>
    <t xml:space="preserve">D18, E01</t>
  </si>
  <si>
    <t xml:space="preserve">RLS on every mart plus negative-test kit in CI</t>
  </si>
  <si>
    <t xml:space="preserve">R-003</t>
  </si>
  <si>
    <t xml:space="preserve">Local open-weight models miss the hosted-model quality bar in enclaves</t>
  </si>
  <si>
    <t xml:space="preserve">D01, D02, E04</t>
  </si>
  <si>
    <t xml:space="preserve">GPU sizing spike with measured quality delta before commitment</t>
  </si>
  <si>
    <t xml:space="preserve">R-004</t>
  </si>
  <si>
    <t xml:space="preserve">Enclave test environment unfunded and unowned</t>
  </si>
  <si>
    <t xml:space="preserve">All Enclave-class items</t>
  </si>
  <si>
    <t xml:space="preserve">Name an owner and fund the simulator before Stage 1 exit</t>
  </si>
  <si>
    <t xml:space="preserve">R-005</t>
  </si>
  <si>
    <t xml:space="preserve">GPU and XR hardware lead times exceed the stage that needs them</t>
  </si>
  <si>
    <t xml:space="preserve">E04, D19, D20</t>
  </si>
  <si>
    <t xml:space="preserve">Medium</t>
  </si>
  <si>
    <t xml:space="preserve">Procurement register with order-by dates derived from stage start</t>
  </si>
  <si>
    <t xml:space="preserve">R-006</t>
  </si>
  <si>
    <t xml:space="preserve">No named owners on any item — delivery cannot be tracked to a person</t>
  </si>
  <si>
    <t xml:space="preserve">Assign Stage 0–1 items this week</t>
  </si>
  <si>
    <t xml:space="preserve">Acceptance &amp; Sign-off</t>
  </si>
  <si>
    <t xml:space="preserve">One row per product. This is the record the final acceptance event and the Final Report are assembled from.</t>
  </si>
  <si>
    <t xml:space="preserve">Acceptance criteria ref</t>
  </si>
  <si>
    <t xml:space="preserve">Evidence bundle link</t>
  </si>
  <si>
    <t xml:space="preserve">Reviewer</t>
  </si>
  <si>
    <t xml:space="preserve">Approver</t>
  </si>
  <si>
    <t xml:space="preserve">Sign-off date</t>
  </si>
  <si>
    <t xml:space="preserve">Waivers</t>
  </si>
  <si>
    <t xml:space="preserve">See Master Checklist exit-gate items</t>
  </si>
  <si>
    <t xml:space="preserve">Skills Matrix</t>
  </si>
  <si>
    <t xml:space="preserve">Rate 0–3 per capability. Any capability with a single person at level 2+ is a bus-factor risk — flag it and pair someone.</t>
  </si>
  <si>
    <t xml:space="preserve">LTI 1.3</t>
  </si>
  <si>
    <t xml:space="preserve">xAPI / LRS</t>
  </si>
  <si>
    <t xml:space="preserve">Metabase / BI</t>
  </si>
  <si>
    <t xml:space="preserve">PostgreSQL + RLS</t>
  </si>
  <si>
    <t xml:space="preserve">Model ops (vLLM)</t>
  </si>
  <si>
    <t xml:space="preserve">XR / Unity</t>
  </si>
  <si>
    <t xml:space="preserve">React Native</t>
  </si>
  <si>
    <t xml:space="preserve">Indic NLP</t>
  </si>
  <si>
    <t xml:space="preserve">Instructional design</t>
  </si>
  <si>
    <t xml:space="preserve">Bus factor risk</t>
  </si>
  <si>
    <t xml:space="preserve">Weekly Snapshot</t>
  </si>
  <si>
    <t xml:space="preserve">Paste values (not formulas) every Friday. Without history there is no trend, no velocity and no forecast.</t>
  </si>
  <si>
    <t xml:space="preserve">Week ending</t>
  </si>
  <si>
    <t xml:space="preserve">Total items</t>
  </si>
  <si>
    <t xml:space="preserve">Defects open</t>
  </si>
  <si>
    <t xml:space="preserve">PROVISIONAL: &lt;date&gt;</t>
  </si>
  <si>
    <t xml:space="preserve">PROVISIONAL: paste values each Friday — do not link, this sheet is history</t>
  </si>
  <si>
    <t xml:space="preserve">Source item</t>
  </si>
  <si>
    <t xml:space="preserve">Status / implementing IDs</t>
  </si>
  <si>
    <t xml:space="preserve">Product name</t>
  </si>
  <si>
    <t xml:space="preserve">Covered</t>
  </si>
  <si>
    <t xml:space="preserve">Stress-scenario fix</t>
  </si>
  <si>
    <t xml:space="preserve">FND-09.1.02, COR-08.2.02, COR-08.3.03, COR-08.3.03, ANA-02.3.03…</t>
  </si>
  <si>
    <t xml:space="preserve">FND-14.2.01, FND-16.1.06, FND-16.1.06, COR-07.1.02, COR-10.1.01…</t>
  </si>
  <si>
    <t xml:space="preserve">FND-09.1.01, FND-09.1.03, COR-01.1.04, COR-03.1.02, COR-03.1.03…</t>
  </si>
  <si>
    <t xml:space="preserve">KNI-02.1.02, KNI-02.2.03, KNI-02.2.04, KNI-02.2.06, KNI-05.1.01…</t>
  </si>
  <si>
    <t xml:space="preserve">SMT-01.2.02, SMT-02.1.01, SMT-02.1.03, SMT-02.2.04, SMT-03.1.02…</t>
  </si>
  <si>
    <t xml:space="preserve">FND-09.1.02, COR-13.2.02, KNI-09.1.01, KNI-09.1.02, KNI-11.1.02…</t>
  </si>
  <si>
    <t xml:space="preserve">FND-02.2.03, TST-14.2.01, TST-14.2.01, TST-14.2.04, TST-14.2.05…</t>
  </si>
  <si>
    <t xml:space="preserve">TLA-03.1.01, AIA-03.2.02, AIA-06.1.04, TST-10.1.04, TST-15.2.01…</t>
  </si>
  <si>
    <t xml:space="preserve">KNI-03.1.01, KNI-03.1.02, KNI-03.1.03, CNT-09.1.05, AIA-04.1.03…</t>
  </si>
  <si>
    <t xml:space="preserve">FND-05.2.03, COR-09.1.02, COR-09.2.02, SMT-05.1.02, SMT-05.1.03…</t>
  </si>
  <si>
    <t xml:space="preserve">AIA-01.1.03, AIA-01.1.04, AIA-02.1.03, AIA-02.1.06, AIA-03.1.03…</t>
  </si>
  <si>
    <t xml:space="preserve">FND-04.1.03, TLA-04.1.01, TLA-04.2.02, TLA-05.1.03, TLA-05.2.01…</t>
  </si>
  <si>
    <t xml:space="preserve">KNI-02.2.06, TLA-01.2.04, CNT-17.1.04, CNT-18.1.02, FED-02.2.06…</t>
  </si>
  <si>
    <t xml:space="preserve">FLD-02.2.01, FLD-05.2.01, FLD-05.2.02, FLD-05.2.03, FLD-07.2.01…</t>
  </si>
  <si>
    <t xml:space="preserve">AIA-23.1.03, FLD-08.1.03, FLD-08.1.07, FLD-09.1.01, FLD-09.1.03…</t>
  </si>
  <si>
    <t xml:space="preserve">TLA-07.1.03, CNT-01.1.04, CNT-03.1.03, CNT-18.1.06, CNT-18.1.08…</t>
  </si>
  <si>
    <t xml:space="preserve">MOD-001</t>
  </si>
  <si>
    <t xml:space="preserve">Review modification</t>
  </si>
  <si>
    <t xml:space="preserve">MOD-002</t>
  </si>
  <si>
    <t xml:space="preserve">MOD-003</t>
  </si>
  <si>
    <t xml:space="preserve">MOD-005</t>
  </si>
  <si>
    <t xml:space="preserve">MOD-009</t>
  </si>
  <si>
    <t xml:space="preserve">MOD-011</t>
  </si>
  <si>
    <t xml:space="preserve">MOD-012</t>
  </si>
  <si>
    <t xml:space="preserve">MOD-016</t>
  </si>
  <si>
    <t xml:space="preserve">Loop 6 — India re-basing</t>
  </si>
  <si>
    <t xml:space="preserve">Audit remediation</t>
  </si>
  <si>
    <t xml:space="preserve">150 items added across D20/D21/E12/D08/E10/E06/D17/D03</t>
  </si>
  <si>
    <t xml:space="preserve">Loop 8 — scope gaps</t>
  </si>
  <si>
    <t xml:space="preserve">140 items added across E08/E09/E10/E11/E13/D25/D29</t>
  </si>
  <si>
    <t xml:space="preserve">HS-9 (accreditation authority)</t>
  </si>
  <si>
    <t xml:space="preserve">Deferred by direction; product renamed market-neutral, authority is a Human-Input entry</t>
  </si>
  <si>
    <t xml:space="preserve">HS-10 (replication gating)</t>
  </si>
  <si>
    <t xml:space="preserve">Structural: D21 items depend on the D20 reference-validation gate</t>
  </si>
  <si>
    <t xml:space="preserve">Open Questions</t>
  </si>
  <si>
    <t xml:space="preserve">An unanswered question older than 30 days is a decision failure, not a research task. Assign an owner and a due date to each.</t>
  </si>
  <si>
    <t xml:space="preserve">#</t>
  </si>
  <si>
    <t xml:space="preserve">Area</t>
  </si>
  <si>
    <t xml:space="preserve">Question</t>
  </si>
  <si>
    <t xml:space="preserve">Blocks (products)</t>
  </si>
  <si>
    <t xml:space="preserve">Due</t>
  </si>
  <si>
    <t xml:space="preserve">Ownership</t>
  </si>
  <si>
    <t xml:space="preserve">Who are the nine squad and test-team leads, and who owns each of the 43 products?</t>
  </si>
  <si>
    <t xml:space="preserve">All — no item can be assigned without this</t>
  </si>
  <si>
    <t xml:space="preserve">Scheduling</t>
  </si>
  <si>
    <t xml:space="preserve">What is the sprint cadence and start date, so TargetSprint resolves to real dates?</t>
  </si>
  <si>
    <t xml:space="preserve">Environments</t>
  </si>
  <si>
    <t xml:space="preserve">Who owns and funds the zero-egress enclave simulator?</t>
  </si>
  <si>
    <t xml:space="preserve">Localization</t>
  </si>
  <si>
    <t xml:space="preserve">What is the committed language tier matrix (UI / content / AI / assessment / support)?</t>
  </si>
  <si>
    <t xml:space="preserve">E06, D12, D19, D24, D01, D02</t>
  </si>
  <si>
    <t xml:space="preserve">Competency</t>
  </si>
  <si>
    <t xml:space="preserve">Which Indian frameworks (NSQF levels, NCVET packs, SSC job roles) are in scope, and with what usage rights?</t>
  </si>
  <si>
    <t xml:space="preserve">Legal</t>
  </si>
  <si>
    <t xml:space="preserve">Data-fiduciary vs processor role per engagement model, and DPA template review by Indian counsel?</t>
  </si>
  <si>
    <t xml:space="preserve">E10, D16, D17</t>
  </si>
  <si>
    <t xml:space="preserve">Hosting</t>
  </si>
  <si>
    <t xml:space="preserve">Is an India-hosted / MeitY-empanelled deployment option required, and for which customers?</t>
  </si>
  <si>
    <t xml:space="preserve">E10, E01</t>
  </si>
  <si>
    <t xml:space="preserve">Sites</t>
  </si>
  <si>
    <t xml:space="preserve">Which physical sites are the reference and replication labs, and who funds them?</t>
  </si>
  <si>
    <t xml:space="preserve">D20, D21, E12</t>
  </si>
  <si>
    <t xml:space="preserve">Procurement</t>
  </si>
  <si>
    <t xml:space="preserve">Who owns the GPU and XR hardware budget, and what are the actual lead times?</t>
  </si>
  <si>
    <t xml:space="preserve">E04, D19, D20, D21</t>
  </si>
  <si>
    <t xml:space="preserve">Commercial</t>
  </si>
  <si>
    <t xml:space="preserve">What is the pricing and licence model per Indian buyer segment?</t>
  </si>
  <si>
    <t xml:space="preserve">Content</t>
  </si>
  <si>
    <t xml:space="preserve">Which authoritative technical-manual repository backs the Live TO connection?</t>
  </si>
  <si>
    <t xml:space="preserve">D10, D12</t>
  </si>
  <si>
    <t xml:space="preserve">What supersession SLA and maximum enclave content staleness applies, set by which authority?</t>
  </si>
  <si>
    <t xml:space="preserve">D10, D01</t>
  </si>
  <si>
    <t xml:space="preserve">Federation</t>
  </si>
  <si>
    <t xml:space="preserve">Who is the federation governance authority for identity matching and conflict adjudication?</t>
  </si>
  <si>
    <t xml:space="preserve">D17, D06</t>
  </si>
  <si>
    <t xml:space="preserve">AI governance</t>
  </si>
  <si>
    <t xml:space="preserve">Who ratifies the grading-confidence threshold that ends 100% human review?</t>
  </si>
  <si>
    <t xml:space="preserve">D02, D15</t>
  </si>
  <si>
    <t xml:space="preserve">Quality</t>
  </si>
  <si>
    <t xml:space="preserve">Who holds waiver authority per test section, and who publishes the numeric test gates?</t>
  </si>
  <si>
    <t xml:space="preserve">Support</t>
  </si>
  <si>
    <t xml:space="preserve">What SLA applies to enclave customers who cannot be reached remotely?</t>
  </si>
  <si>
    <t xml:space="preserve">Migration</t>
  </si>
  <si>
    <t xml:space="preserve">Which incumbent systems must be migrated from, and what evidence level do migrated records carry?</t>
  </si>
  <si>
    <t xml:space="preserve">Measurement</t>
  </si>
  <si>
    <t xml:space="preserve">Who accepts the readiness-metric definitions and the pre-rollout baseline?</t>
  </si>
  <si>
    <t xml:space="preserve">D25, D30</t>
  </si>
  <si>
    <t xml:space="preserve">XR</t>
  </si>
  <si>
    <t xml:space="preserve">Is iOS in or out of scope for the XR store?</t>
  </si>
  <si>
    <t xml:space="preserve">Accreditation</t>
  </si>
  <si>
    <t xml:space="preserve">Which authority and control baseline apply (deferred by direction — reopen when ready)?</t>
  </si>
  <si>
    <t xml:space="preserve">Change Log</t>
  </si>
  <si>
    <t xml:space="preserve">Every modification applied in v3. Add a row for every future scope change, with requester and approver in the description.</t>
  </si>
  <si>
    <t xml:space="preserve">Change ID</t>
  </si>
  <si>
    <t xml:space="preserve">Description</t>
  </si>
  <si>
    <t xml:space="preserve">Before</t>
  </si>
  <si>
    <t xml:space="preserve">After</t>
  </si>
  <si>
    <t xml:space="preserve">Affected</t>
  </si>
  <si>
    <t xml:space="preserve">CHG-D03</t>
  </si>
  <si>
    <t xml:space="preserve">Rename</t>
  </si>
  <si>
    <t xml:space="preserve">Product D03 re-based for the India market / market-neutral naming</t>
  </si>
  <si>
    <t xml:space="preserve">ATO Initiation — AFGSC</t>
  </si>
  <si>
    <t xml:space="preserve">all D03 rows</t>
  </si>
  <si>
    <t xml:space="preserve">CHG-D17</t>
  </si>
  <si>
    <t xml:space="preserve">Product D17 re-based for the India market / market-neutral naming</t>
  </si>
  <si>
    <t xml:space="preserve">Cross-Command Data Pipeline</t>
  </si>
  <si>
    <t xml:space="preserve">all D17 rows</t>
  </si>
  <si>
    <t xml:space="preserve">CHG-D20</t>
  </si>
  <si>
    <t xml:space="preserve">Product D20 re-based for the India market / market-neutral naming</t>
  </si>
  <si>
    <t xml:space="preserve">Hardware Immersive Labs — Site A (Barksdale AFB)</t>
  </si>
  <si>
    <t xml:space="preserve">all D20 rows</t>
  </si>
  <si>
    <t xml:space="preserve">CHG-D21</t>
  </si>
  <si>
    <t xml:space="preserve">Product D21 re-based for the India market / market-neutral naming</t>
  </si>
  <si>
    <t xml:space="preserve">Hardware Immersive Labs — Site B (Minot AFB)</t>
  </si>
  <si>
    <t xml:space="preserve">all D21 rows</t>
  </si>
  <si>
    <t xml:space="preserve">CHG-E08</t>
  </si>
  <si>
    <t xml:space="preserve">New product</t>
  </si>
  <si>
    <t xml:space="preserve">Enabling product created to hold previously unplanned scope</t>
  </si>
  <si>
    <t xml:space="preserve">(did not exist)</t>
  </si>
  <si>
    <t xml:space="preserve">see new items</t>
  </si>
  <si>
    <t xml:space="preserve">CHG-E09</t>
  </si>
  <si>
    <t xml:space="preserve">CHG-E10</t>
  </si>
  <si>
    <t xml:space="preserve">CHG-E11</t>
  </si>
  <si>
    <t xml:space="preserve">CHG-E12</t>
  </si>
  <si>
    <t xml:space="preserve">CHG-E13</t>
  </si>
  <si>
    <t xml:space="preserve">CHG-ITEMS</t>
  </si>
  <si>
    <t xml:space="preserve">New items</t>
  </si>
  <si>
    <t xml:space="preserve">India re-basing items added (audit Loop 6)</t>
  </si>
  <si>
    <t xml:space="preserve">1830 items</t>
  </si>
  <si>
    <t xml:space="preserve">+150</t>
  </si>
  <si>
    <t xml:space="preserve">FLD/TLA/PRG/FED 90-series</t>
  </si>
  <si>
    <t xml:space="preserve">CHG-ITEMS2</t>
  </si>
  <si>
    <t xml:space="preserve">Scope-gap items added (audit Loop 8)</t>
  </si>
  <si>
    <t xml:space="preserve">+140</t>
  </si>
  <si>
    <t xml:space="preserve">PRG/PLT/CNT/FLD/ANA 90-series</t>
  </si>
  <si>
    <t xml:space="preserve">CHG-DEP</t>
  </si>
  <si>
    <t xml:space="preserve">Data fix</t>
  </si>
  <si>
    <t xml:space="preserve">Mis-pointed symbolic dependency references corrected to the true contract-freeze items (FND-03.1.01→FND-07.1.01 M3 event envelope; TLA-03.1.01→TLA-01.1.01 competency object model)</t>
  </si>
  <si>
    <t xml:space="preserve">22 inverted refs</t>
  </si>
  <si>
    <t xml:space="preserve">22 repointed</t>
  </si>
  <si>
    <t xml:space="preserve">FND/TLA dependents</t>
  </si>
  <si>
    <t xml:space="preserve">CHG-COL</t>
  </si>
  <si>
    <t xml:space="preserve">New columns</t>
  </si>
  <si>
    <t xml:space="preserve">Priority (derived: HS→P0, MOD/Scenario→P1, Stage0→P1, else P2), EvidenceLink, TestCaseID, Waiver, LastUpdated, SeqFlag, Notes appended</t>
  </si>
  <si>
    <t xml:space="preserve">22 columns</t>
  </si>
  <si>
    <t xml:space="preserve">29 columns</t>
  </si>
  <si>
    <t xml:space="preserve">all rows</t>
  </si>
  <si>
    <t xml:space="preserve">CHG-ID</t>
  </si>
  <si>
    <t xml:space="preserve">ID collision between two new-item sets resolved before issue (benefits-realisation task renumbered)</t>
  </si>
  <si>
    <t xml:space="preserve">PRG-93.x used twice</t>
  </si>
  <si>
    <t xml:space="preserve">PRG-89.x</t>
  </si>
  <si>
    <t xml:space="preserve">9 new items</t>
  </si>
  <si>
    <t xml:space="preserve">CHG-SEQ</t>
  </si>
  <si>
    <t xml:space="preserve">Data quality</t>
  </si>
  <si>
    <t xml:space="preserve">Remaining stage-sequence exceptions flagged for squad-lead resolution</t>
  </si>
  <si>
    <t xml:space="preserve">53 inversions</t>
  </si>
  <si>
    <t xml:space="preserve">40 flagged</t>
  </si>
  <si>
    <t xml:space="preserve">SeqFlag column</t>
  </si>
  <si>
    <t xml:space="preserve">CHG-VAL</t>
  </si>
  <si>
    <t xml:space="preserve">Control</t>
  </si>
  <si>
    <t xml:space="preserve">Data validation added on Squad, OwnerRole, TestTeam, DeploymentClass, Status, Priority, WorkType via named ranges on a new Lists sheet</t>
  </si>
  <si>
    <t xml:space="preserve">Status only</t>
  </si>
  <si>
    <t xml:space="preserve">7 validated columns + Lists sheet</t>
  </si>
  <si>
    <t xml:space="preserve">Master Checklist</t>
  </si>
  <si>
    <t xml:space="preserve">CHG-CF</t>
  </si>
  <si>
    <t xml:space="preserve">Conditional formatting: Blocked=red, Done=green, unassigned Stage 0-1=amber, sequence exception=orange</t>
  </si>
  <si>
    <t xml:space="preserve">none</t>
  </si>
  <si>
    <t xml:space="preserve">4 rules</t>
  </si>
  <si>
    <t xml:space="preserve">CHG-PROT</t>
  </si>
  <si>
    <t xml:space="preserve">Sheet protection enabled (no password): ID column locked, all other cells editable, filter and sort allowed</t>
  </si>
  <si>
    <t xml:space="preserve">ID column immutable</t>
  </si>
  <si>
    <t xml:space="preserve">Controlled vocabularies (named ranges) — edit here, dropdowns update everywhere</t>
  </si>
  <si>
    <t xml:space="preserve">SquadList</t>
  </si>
  <si>
    <t xml:space="preserve">RoleList</t>
  </si>
  <si>
    <t xml:space="preserve">TestTeamList</t>
  </si>
  <si>
    <t xml:space="preserve">DeployList</t>
  </si>
  <si>
    <t xml:space="preserve">StatusList</t>
  </si>
  <si>
    <t xml:space="preserve">PriorityList</t>
  </si>
  <si>
    <t xml:space="preserve">WorkTypeList</t>
  </si>
  <si>
    <t xml:space="preserve">SeverityList</t>
  </si>
  <si>
    <t xml:space="preserve">YesNoList</t>
  </si>
  <si>
    <t xml:space="preserve">S1</t>
  </si>
  <si>
    <t xml:space="preserve">Yes</t>
  </si>
  <si>
    <t xml:space="preserve">No</t>
  </si>
  <si>
    <t xml:space="preserve">S3</t>
  </si>
  <si>
    <t xml:space="preserve">N/A</t>
  </si>
  <si>
    <t xml:space="preserve">S4</t>
  </si>
  <si>
    <t xml:space="preserve">Superseded</t>
  </si>
  <si>
    <t xml:space="preserve">v3 — what changed, how to run it, what you must fill in</t>
  </si>
  <si>
    <t xml:space="preserve">WHAT CHANGED IN v3</t>
  </si>
  <si>
    <t xml:space="preserve">India re-basing</t>
  </si>
  <si>
    <t xml:space="preserve">The two lab deliverables are no longer named foreign installations. D20 is the Immersive Lab — Reference Site (India), built to a documented reference design and validated; D21 is the Replication Site, deliverable only as a controlled replication. E12 (Site Deployment Kit) makes lab number three a repeatable product: site survey, bill of materials, install runbook, commissioning checklist, handover pack, AMC and spares. 150 India items added — power quality and UPS/generator cutover, thermal/humidity/dust protection, customs and duty lead times, GST and interstate logistics, four deployment contexts (enterprise, ITI/polytechnic, university, secure site), NSQF/NCVET competency fixtures, DPDP obligations, India-hosting option, and the language tier matrix.</t>
  </si>
  <si>
    <t xml:space="preserve">Market-neutral naming</t>
  </si>
  <si>
    <t xml:space="preserve">D03 is now Security Accreditation &amp; Authorisation to Operate — Initiation (no foreign command named; the authority is an open decision, deferred by direction). D17 is Cross-Organisation / Cross-Command Data Pipeline so it serves multi-campus and multi-plant federations as well as command structures.</t>
  </si>
  <si>
    <t xml:space="preserve">Scope nobody had planned</t>
  </si>
  <si>
    <t xml:space="preserve">140 items added under six new enabling products: E08 onboarding/provisioning/data migration, E09 support and operational handover, E10 commercial and legal (India), E11 vendor and content-rights management, E12 site deployment kit, E13 internal enablement. Also BCDR exercises as recurring scheduled work, content IP clearance gates, benefits realisation, and pilot-to-production cutover.</t>
  </si>
  <si>
    <t xml:space="preserve">Delivery machinery</t>
  </si>
  <si>
    <t xml:space="preserve">Eleven new sheets: Sprint Calendar, Capacity Plan, Defect Log, Environment Register, Stage Gates, Risk &amp; Issue Register, Procurement &amp; Long-Lead, Weekly Snapshot, Acceptance &amp; Sign-off, Skills Matrix, Change Log — plus a Lists sheet driving controlled vocabularies.</t>
  </si>
  <si>
    <t xml:space="preserve">Columns and controls</t>
  </si>
  <si>
    <t xml:space="preserve">Seven new columns (Priority, TestCaseID, EvidenceLink, Waiver, LastUpdated, SeqFlag, Notes). Dropdown validation on seven columns. Conditional formatting: Blocked red, Done green, unassigned Stage 0–1 amber, sequence exception orange. ID column locked; everything else editable; no password.</t>
  </si>
  <si>
    <t xml:space="preserve">Data fixes</t>
  </si>
  <si>
    <t xml:space="preserve">22 mis-pointed dependency references corrected to the true contract-freeze items. Remaining stage-sequence exceptions are flagged in SeqFlag for squad-lead resolution rather than silently rewritten.</t>
  </si>
  <si>
    <t xml:space="preserve">WHAT YOU MUST FILL IN — IN THIS ORDER</t>
  </si>
  <si>
    <t xml:space="preserve">1. Owners</t>
  </si>
  <si>
    <t xml:space="preserve">Assignee on every Stage 0 and Stage 1 row; the nine squad/test-team leads on Teams &amp; Roster; product owner, tech lead and QA lead on Product Index. Until this is done the Summary 'Unassigned' column is your only honest status.</t>
  </si>
  <si>
    <t xml:space="preserve">2. Sprint calendar</t>
  </si>
  <si>
    <t xml:space="preserve">One row per sprint with real dates. Then TargetSprint on Stage 0 items. This is what turns the checklist into a schedule.</t>
  </si>
  <si>
    <t xml:space="preserve">3. Estimates</t>
  </si>
  <si>
    <t xml:space="preserve">EstDays on Stage 0–1 items first. Capacity Plan then shows over-allocation before it happens.</t>
  </si>
  <si>
    <t xml:space="preserve">4. Environments</t>
  </si>
  <si>
    <t xml:space="preserve">Owner and readiness date on every Environment Register row — starting with the enclave simulator, which currently blocks every Enclave-class item.</t>
  </si>
  <si>
    <t xml:space="preserve">5. Procurement</t>
  </si>
  <si>
    <t xml:space="preserve">Lead times and INR costs on the long-lead register, then order-by dates. GPU and XR hardware must be ordered well before the stage that needs them.</t>
  </si>
  <si>
    <t xml:space="preserve">6. Open questions</t>
  </si>
  <si>
    <t xml:space="preserve">Assign an owner and due date to each. The top five block work that is already in Stage 0.</t>
  </si>
  <si>
    <t xml:space="preserve">OPERATING RHYTHM</t>
  </si>
  <si>
    <t xml:space="preserve">Monday</t>
  </si>
  <si>
    <t xml:space="preserve">Squad leads filter by Squad + Stage, set TargetSprint, clear Blocked rows.</t>
  </si>
  <si>
    <t xml:space="preserve">Wednesday</t>
  </si>
  <si>
    <t xml:space="preserve">QA leads filter by TestTeam; review the Defect Log; check retest results.</t>
  </si>
  <si>
    <t xml:space="preserve">Friday</t>
  </si>
  <si>
    <t xml:space="preserve">PMO pastes a Weekly Snapshot row, reviews Stage Gates and Product Index, and reviews any row where SeqFlag is set.</t>
  </si>
  <si>
    <t xml:space="preserve">Monthly</t>
  </si>
  <si>
    <t xml:space="preserve">Risk review, open-question ageing, coverage re-check after any scope change, and a Change Log entry for every scope movement.</t>
  </si>
  <si>
    <t xml:space="preserve">WHEN TO LEAVE THE WORKBOOK</t>
  </si>
  <si>
    <t xml:space="preserve">Migration trigger</t>
  </si>
  <si>
    <t xml:space="preserve">Move to Jira/Azure DevOps when more than three people need to edit concurrently, or when defect volume passes roughly fifty open items, or when an auditor asks for change history the workbook cannot prove. Map ProductID→Epic, Task→Story, Item→Sub-task, Squad→Team, TestTeam→Component, DependsOn→Issue link, Stage→Fix version. Keep this workbook as the source of record for acceptance criteria and coverage.</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</si>
</sst>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name val="Arial"/>
      <family val="0"/>
      <charset val="1"/>
    </font>
    <font>
      <i val="true"/>
      <sz val="10"/>
      <name val="Arial"/>
      <family val="0"/>
      <charset val="1"/>
    </font>
    <font>
      <b val="true"/>
      <sz val="12"/>
      <name val="Arial"/>
      <family val="0"/>
      <charset val="1"/>
    </font>
    <font>
      <b val="true"/>
      <sz val="10"/>
      <name val="Arial"/>
      <family val="0"/>
      <charset val="1"/>
    </font>
    <font>
      <b val="true"/>
      <sz val="10"/>
      <color rgb="FFFFFFFF"/>
      <name val="Arial"/>
      <family val="0"/>
      <charset val="1"/>
    </font>
    <font>
      <b val="true"/>
      <sz val="13"/>
      <name val="Arial"/>
      <family val="0"/>
      <charset val="1"/>
    </font>
    <font>
      <sz val="9"/>
      <name val="Arial"/>
      <family val="0"/>
      <charset val="1"/>
    </font>
    <font>
      <b val="true"/>
      <sz val="14"/>
      <name val="Arial"/>
      <family val="0"/>
      <charset val="1"/>
    </font>
  </fonts>
  <fills count="6">
    <fill>
      <patternFill patternType="none"/>
    </fill>
    <fill>
      <patternFill patternType="gray125"/>
    </fill>
    <fill>
      <patternFill patternType="solid">
        <fgColor rgb="FFFFF2CC"/>
        <bgColor rgb="FFFCE4D6"/>
      </patternFill>
    </fill>
    <fill>
      <patternFill patternType="solid">
        <fgColor rgb="FF1F3864"/>
        <bgColor rgb="FF333333"/>
      </patternFill>
    </fill>
    <fill>
      <patternFill patternType="solid">
        <fgColor rgb="FFF2F2F2"/>
        <bgColor rgb="FFE2EFDA"/>
      </patternFill>
    </fill>
    <fill>
      <patternFill patternType="solid">
        <fgColor rgb="FFE2EFDA"/>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general" vertical="top" textRotation="0" wrapText="false" indent="0" shrinkToFit="false"/>
      <protection locked="true" hidden="false"/>
    </xf>
    <xf numFmtId="165" fontId="11" fillId="0" borderId="0" xfId="0" applyFont="true" applyBorder="false" applyAlignment="true" applyProtection="false">
      <alignment horizontal="general" vertical="top" textRotation="0" wrapText="false" indent="0" shrinkToFit="false"/>
      <protection locked="true" hidden="false"/>
    </xf>
    <xf numFmtId="164" fontId="11" fillId="4" borderId="0" xfId="0" applyFont="true" applyBorder="false" applyAlignment="true" applyProtection="false">
      <alignment horizontal="general" vertical="top" textRotation="0" wrapText="fals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5" fontId="11" fillId="4"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true">
      <alignment horizontal="general" vertical="top" textRotation="0" wrapText="false" indent="0" shrinkToFit="false"/>
      <protection locked="false" hidden="false"/>
    </xf>
    <xf numFmtId="164" fontId="11" fillId="0" borderId="0" xfId="0" applyFont="true" applyBorder="false" applyAlignment="true" applyProtection="true">
      <alignment horizontal="general" vertical="top" textRotation="0" wrapText="true" indent="0" shrinkToFit="false"/>
      <protection locked="false" hidden="false"/>
    </xf>
    <xf numFmtId="164" fontId="11" fillId="2" borderId="0" xfId="0" applyFont="true" applyBorder="false" applyAlignment="true" applyProtection="true">
      <alignment horizontal="general" vertical="top" textRotation="0" wrapText="false" indent="0" shrinkToFit="false"/>
      <protection locked="fals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FCE4D6"/>
          <bgColor rgb="FF000000"/>
        </patternFill>
      </fill>
    </dxf>
    <dxf>
      <fill>
        <patternFill>
          <bgColor rgb="FFFBD5D5"/>
        </patternFill>
      </fill>
    </dxf>
    <dxf>
      <fill>
        <patternFill>
          <bgColor rgb="FFE2EFDA"/>
        </patternFill>
      </fill>
    </dxf>
    <dxf>
      <fill>
        <patternFill>
          <bgColor rgb="FFFFF2CC"/>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BD5D5"/>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6"/>
    <col collapsed="false" customWidth="true" hidden="false" outlineLevel="0" max="5" min="3" style="0" width="10"/>
    <col collapsed="false" customWidth="true" hidden="false" outlineLevel="0" max="9" min="6" style="0" width="12"/>
    <col collapsed="false" customWidth="true" hidden="false" outlineLevel="0" max="10" min="10" style="0" width="11"/>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3" t="s">
        <v>3</v>
      </c>
    </row>
    <row r="6" customFormat="false" ht="15" hidden="false" customHeight="false" outlineLevel="0" collapsed="false">
      <c r="A6" s="4" t="s">
        <v>4</v>
      </c>
    </row>
    <row r="7" customFormat="false" ht="15" hidden="false" customHeight="false" outlineLevel="0" collapsed="false">
      <c r="A7" s="5" t="s">
        <v>5</v>
      </c>
      <c r="B7" s="2" t="s">
        <v>6</v>
      </c>
    </row>
    <row r="8" customFormat="false" ht="15" hidden="false" customHeight="false" outlineLevel="0" collapsed="false">
      <c r="A8" s="5" t="s">
        <v>7</v>
      </c>
      <c r="B8" s="2" t="s">
        <v>8</v>
      </c>
    </row>
    <row r="9" customFormat="false" ht="15" hidden="false" customHeight="false" outlineLevel="0" collapsed="false">
      <c r="A9" s="5" t="s">
        <v>9</v>
      </c>
      <c r="B9" s="2" t="s">
        <v>10</v>
      </c>
    </row>
    <row r="10" customFormat="false" ht="15" hidden="false" customHeight="false" outlineLevel="0" collapsed="false">
      <c r="A10" s="5" t="s">
        <v>11</v>
      </c>
      <c r="B10" s="2" t="s">
        <v>12</v>
      </c>
    </row>
    <row r="11" customFormat="false" ht="15" hidden="false" customHeight="false" outlineLevel="0" collapsed="false">
      <c r="A11" s="5" t="s">
        <v>13</v>
      </c>
      <c r="B11" s="2" t="s">
        <v>14</v>
      </c>
    </row>
    <row r="12" customFormat="false" ht="15" hidden="false" customHeight="false" outlineLevel="0" collapsed="false">
      <c r="A12" s="5" t="s">
        <v>15</v>
      </c>
      <c r="B12" s="2" t="s">
        <v>16</v>
      </c>
    </row>
    <row r="15" customFormat="false" ht="15" hidden="false" customHeight="false" outlineLevel="0" collapsed="false">
      <c r="A15" s="4" t="s">
        <v>17</v>
      </c>
    </row>
    <row r="16" customFormat="false" ht="15" hidden="false" customHeight="false" outlineLevel="0" collapsed="false">
      <c r="A16" s="6" t="s">
        <v>18</v>
      </c>
      <c r="B16" s="6" t="s">
        <v>19</v>
      </c>
      <c r="C16" s="6" t="s">
        <v>20</v>
      </c>
      <c r="D16" s="6" t="s">
        <v>21</v>
      </c>
      <c r="E16" s="6" t="s">
        <v>22</v>
      </c>
      <c r="F16" s="6" t="s">
        <v>23</v>
      </c>
      <c r="G16" s="6" t="s">
        <v>24</v>
      </c>
      <c r="H16" s="6" t="s">
        <v>25</v>
      </c>
      <c r="I16" s="6" t="s">
        <v>26</v>
      </c>
      <c r="J16" s="6" t="s">
        <v>27</v>
      </c>
    </row>
    <row r="17" customFormat="false" ht="15" hidden="false" customHeight="false" outlineLevel="0" collapsed="false">
      <c r="A17" s="2" t="s">
        <v>28</v>
      </c>
      <c r="B17" s="2" t="n">
        <f aca="false">COUNTIFS('Master Checklist'!$H:$H,$A17,'Master Checklist'!$D:$D,"Build")</f>
        <v>290</v>
      </c>
      <c r="C17" s="2" t="n">
        <f aca="false">COUNTIFS('Master Checklist'!$H:$H,$A17,'Master Checklist'!$D:$D,"Test")</f>
        <v>27</v>
      </c>
      <c r="D17" s="2" t="n">
        <f aca="false">COUNTIF('Master Checklist'!$H:$H,$A17)</f>
        <v>317</v>
      </c>
      <c r="E17" s="2" t="n">
        <f aca="false">COUNTIFS('Master Checklist'!$H:$H,$A17,'Master Checklist'!$Y:$Y,"Done")</f>
        <v>0</v>
      </c>
      <c r="F17" s="2" t="n">
        <f aca="false">COUNTIFS('Master Checklist'!$H:$H,$A17,'Master Checklist'!$Y:$Y,"In progress")</f>
        <v>0</v>
      </c>
      <c r="G17" s="2" t="n">
        <f aca="false">COUNTIFS('Master Checklist'!$H:$H,$A17,'Master Checklist'!$Y:$Y,"Blocked")</f>
        <v>0</v>
      </c>
      <c r="H17" s="7" t="n">
        <f aca="false">IF(D17=0,0,E17/D17)</f>
        <v>0</v>
      </c>
      <c r="I17" s="2" t="n">
        <f aca="false">COUNTIFS('Master Checklist'!$H:$H,$A17,'Master Checklist'!$L:$L,"")</f>
        <v>317</v>
      </c>
      <c r="J17" s="2" t="n">
        <f aca="false">SUMIF('Master Checklist'!$H:$H,$A17,'Master Checklist'!$M:$M)</f>
        <v>0</v>
      </c>
    </row>
    <row r="18" customFormat="false" ht="15" hidden="false" customHeight="false" outlineLevel="0" collapsed="false">
      <c r="A18" s="2" t="s">
        <v>29</v>
      </c>
      <c r="B18" s="2" t="n">
        <f aca="false">COUNTIFS('Master Checklist'!$H:$H,$A18,'Master Checklist'!$D:$D,"Build")</f>
        <v>277</v>
      </c>
      <c r="C18" s="2" t="n">
        <f aca="false">COUNTIFS('Master Checklist'!$H:$H,$A18,'Master Checklist'!$D:$D,"Test")</f>
        <v>58</v>
      </c>
      <c r="D18" s="2" t="n">
        <f aca="false">COUNTIF('Master Checklist'!$H:$H,$A18)</f>
        <v>335</v>
      </c>
      <c r="E18" s="2" t="n">
        <f aca="false">COUNTIFS('Master Checklist'!$H:$H,$A18,'Master Checklist'!$Y:$Y,"Done")</f>
        <v>0</v>
      </c>
      <c r="F18" s="2" t="n">
        <f aca="false">COUNTIFS('Master Checklist'!$H:$H,$A18,'Master Checklist'!$Y:$Y,"In progress")</f>
        <v>0</v>
      </c>
      <c r="G18" s="2" t="n">
        <f aca="false">COUNTIFS('Master Checklist'!$H:$H,$A18,'Master Checklist'!$Y:$Y,"Blocked")</f>
        <v>0</v>
      </c>
      <c r="H18" s="7" t="n">
        <f aca="false">IF(D18=0,0,E18/D18)</f>
        <v>0</v>
      </c>
      <c r="I18" s="2" t="n">
        <f aca="false">COUNTIFS('Master Checklist'!$H:$H,$A18,'Master Checklist'!$L:$L,"")</f>
        <v>335</v>
      </c>
      <c r="J18" s="2" t="n">
        <f aca="false">SUMIF('Master Checklist'!$H:$H,$A18,'Master Checklist'!$M:$M)</f>
        <v>0</v>
      </c>
    </row>
    <row r="19" customFormat="false" ht="15" hidden="false" customHeight="false" outlineLevel="0" collapsed="false">
      <c r="A19" s="2" t="s">
        <v>30</v>
      </c>
      <c r="B19" s="2" t="n">
        <f aca="false">COUNTIFS('Master Checklist'!$H:$H,$A19,'Master Checklist'!$D:$D,"Build")</f>
        <v>183</v>
      </c>
      <c r="C19" s="2" t="n">
        <f aca="false">COUNTIFS('Master Checklist'!$H:$H,$A19,'Master Checklist'!$D:$D,"Test")</f>
        <v>19</v>
      </c>
      <c r="D19" s="2" t="n">
        <f aca="false">COUNTIF('Master Checklist'!$H:$H,$A19)</f>
        <v>202</v>
      </c>
      <c r="E19" s="2" t="n">
        <f aca="false">COUNTIFS('Master Checklist'!$H:$H,$A19,'Master Checklist'!$Y:$Y,"Done")</f>
        <v>0</v>
      </c>
      <c r="F19" s="2" t="n">
        <f aca="false">COUNTIFS('Master Checklist'!$H:$H,$A19,'Master Checklist'!$Y:$Y,"In progress")</f>
        <v>0</v>
      </c>
      <c r="G19" s="2" t="n">
        <f aca="false">COUNTIFS('Master Checklist'!$H:$H,$A19,'Master Checklist'!$Y:$Y,"Blocked")</f>
        <v>0</v>
      </c>
      <c r="H19" s="7" t="n">
        <f aca="false">IF(D19=0,0,E19/D19)</f>
        <v>0</v>
      </c>
      <c r="I19" s="2" t="n">
        <f aca="false">COUNTIFS('Master Checklist'!$H:$H,$A19,'Master Checklist'!$L:$L,"")</f>
        <v>202</v>
      </c>
      <c r="J19" s="2" t="n">
        <f aca="false">SUMIF('Master Checklist'!$H:$H,$A19,'Master Checklist'!$M:$M)</f>
        <v>0</v>
      </c>
    </row>
    <row r="20" customFormat="false" ht="15" hidden="false" customHeight="false" outlineLevel="0" collapsed="false">
      <c r="A20" s="2" t="s">
        <v>31</v>
      </c>
      <c r="B20" s="2" t="n">
        <f aca="false">COUNTIFS('Master Checklist'!$H:$H,$A20,'Master Checklist'!$D:$D,"Build")</f>
        <v>225</v>
      </c>
      <c r="C20" s="2" t="n">
        <f aca="false">COUNTIFS('Master Checklist'!$H:$H,$A20,'Master Checklist'!$D:$D,"Test")</f>
        <v>39</v>
      </c>
      <c r="D20" s="2" t="n">
        <f aca="false">COUNTIF('Master Checklist'!$H:$H,$A20)</f>
        <v>264</v>
      </c>
      <c r="E20" s="2" t="n">
        <f aca="false">COUNTIFS('Master Checklist'!$H:$H,$A20,'Master Checklist'!$Y:$Y,"Done")</f>
        <v>0</v>
      </c>
      <c r="F20" s="2" t="n">
        <f aca="false">COUNTIFS('Master Checklist'!$H:$H,$A20,'Master Checklist'!$Y:$Y,"In progress")</f>
        <v>0</v>
      </c>
      <c r="G20" s="2" t="n">
        <f aca="false">COUNTIFS('Master Checklist'!$H:$H,$A20,'Master Checklist'!$Y:$Y,"Blocked")</f>
        <v>0</v>
      </c>
      <c r="H20" s="7" t="n">
        <f aca="false">IF(D20=0,0,E20/D20)</f>
        <v>0</v>
      </c>
      <c r="I20" s="2" t="n">
        <f aca="false">COUNTIFS('Master Checklist'!$H:$H,$A20,'Master Checklist'!$L:$L,"")</f>
        <v>264</v>
      </c>
      <c r="J20" s="2" t="n">
        <f aca="false">SUMIF('Master Checklist'!$H:$H,$A20,'Master Checklist'!$M:$M)</f>
        <v>0</v>
      </c>
    </row>
    <row r="21" customFormat="false" ht="15" hidden="false" customHeight="false" outlineLevel="0" collapsed="false">
      <c r="A21" s="2" t="s">
        <v>32</v>
      </c>
      <c r="B21" s="2" t="n">
        <f aca="false">COUNTIFS('Master Checklist'!$H:$H,$A21,'Master Checklist'!$D:$D,"Build")</f>
        <v>270</v>
      </c>
      <c r="C21" s="2" t="n">
        <f aca="false">COUNTIFS('Master Checklist'!$H:$H,$A21,'Master Checklist'!$D:$D,"Test")</f>
        <v>34</v>
      </c>
      <c r="D21" s="2" t="n">
        <f aca="false">COUNTIF('Master Checklist'!$H:$H,$A21)</f>
        <v>304</v>
      </c>
      <c r="E21" s="2" t="n">
        <f aca="false">COUNTIFS('Master Checklist'!$H:$H,$A21,'Master Checklist'!$Y:$Y,"Done")</f>
        <v>0</v>
      </c>
      <c r="F21" s="2" t="n">
        <f aca="false">COUNTIFS('Master Checklist'!$H:$H,$A21,'Master Checklist'!$Y:$Y,"In progress")</f>
        <v>0</v>
      </c>
      <c r="G21" s="2" t="n">
        <f aca="false">COUNTIFS('Master Checklist'!$H:$H,$A21,'Master Checklist'!$Y:$Y,"Blocked")</f>
        <v>0</v>
      </c>
      <c r="H21" s="7" t="n">
        <f aca="false">IF(D21=0,0,E21/D21)</f>
        <v>0</v>
      </c>
      <c r="I21" s="2" t="n">
        <f aca="false">COUNTIFS('Master Checklist'!$H:$H,$A21,'Master Checklist'!$L:$L,"")</f>
        <v>304</v>
      </c>
      <c r="J21" s="2" t="n">
        <f aca="false">SUMIF('Master Checklist'!$H:$H,$A21,'Master Checklist'!$M:$M)</f>
        <v>0</v>
      </c>
    </row>
    <row r="22" customFormat="false" ht="15" hidden="false" customHeight="false" outlineLevel="0" collapsed="false">
      <c r="A22" s="2" t="s">
        <v>33</v>
      </c>
      <c r="B22" s="2" t="n">
        <f aca="false">COUNTIFS('Master Checklist'!$H:$H,$A22,'Master Checklist'!$D:$D,"Build")</f>
        <v>131</v>
      </c>
      <c r="C22" s="2" t="n">
        <f aca="false">COUNTIFS('Master Checklist'!$H:$H,$A22,'Master Checklist'!$D:$D,"Test")</f>
        <v>26</v>
      </c>
      <c r="D22" s="2" t="n">
        <f aca="false">COUNTIF('Master Checklist'!$H:$H,$A22)</f>
        <v>157</v>
      </c>
      <c r="E22" s="2" t="n">
        <f aca="false">COUNTIFS('Master Checklist'!$H:$H,$A22,'Master Checklist'!$Y:$Y,"Done")</f>
        <v>0</v>
      </c>
      <c r="F22" s="2" t="n">
        <f aca="false">COUNTIFS('Master Checklist'!$H:$H,$A22,'Master Checklist'!$Y:$Y,"In progress")</f>
        <v>0</v>
      </c>
      <c r="G22" s="2" t="n">
        <f aca="false">COUNTIFS('Master Checklist'!$H:$H,$A22,'Master Checklist'!$Y:$Y,"Blocked")</f>
        <v>0</v>
      </c>
      <c r="H22" s="7" t="n">
        <f aca="false">IF(D22=0,0,E22/D22)</f>
        <v>0</v>
      </c>
      <c r="I22" s="2" t="n">
        <f aca="false">COUNTIFS('Master Checklist'!$H:$H,$A22,'Master Checklist'!$L:$L,"")</f>
        <v>157</v>
      </c>
      <c r="J22" s="2" t="n">
        <f aca="false">SUMIF('Master Checklist'!$H:$H,$A22,'Master Checklist'!$M:$M)</f>
        <v>0</v>
      </c>
    </row>
    <row r="23" customFormat="false" ht="15" hidden="false" customHeight="false" outlineLevel="0" collapsed="false">
      <c r="A23" s="2" t="s">
        <v>34</v>
      </c>
      <c r="B23" s="2" t="n">
        <f aca="false">COUNTIFS('Master Checklist'!$H:$H,$A23,'Master Checklist'!$D:$D,"Build")</f>
        <v>227</v>
      </c>
      <c r="C23" s="2" t="n">
        <f aca="false">COUNTIFS('Master Checklist'!$H:$H,$A23,'Master Checklist'!$D:$D,"Test")</f>
        <v>44</v>
      </c>
      <c r="D23" s="2" t="n">
        <f aca="false">COUNTIF('Master Checklist'!$H:$H,$A23)</f>
        <v>271</v>
      </c>
      <c r="E23" s="2" t="n">
        <f aca="false">COUNTIFS('Master Checklist'!$H:$H,$A23,'Master Checklist'!$Y:$Y,"Done")</f>
        <v>0</v>
      </c>
      <c r="F23" s="2" t="n">
        <f aca="false">COUNTIFS('Master Checklist'!$H:$H,$A23,'Master Checklist'!$Y:$Y,"In progress")</f>
        <v>0</v>
      </c>
      <c r="G23" s="2" t="n">
        <f aca="false">COUNTIFS('Master Checklist'!$H:$H,$A23,'Master Checklist'!$Y:$Y,"Blocked")</f>
        <v>0</v>
      </c>
      <c r="H23" s="7" t="n">
        <f aca="false">IF(D23=0,0,E23/D23)</f>
        <v>0</v>
      </c>
      <c r="I23" s="2" t="n">
        <f aca="false">COUNTIFS('Master Checklist'!$H:$H,$A23,'Master Checklist'!$L:$L,"")</f>
        <v>271</v>
      </c>
      <c r="J23" s="2" t="n">
        <f aca="false">SUMIF('Master Checklist'!$H:$H,$A23,'Master Checklist'!$M:$M)</f>
        <v>0</v>
      </c>
    </row>
    <row r="24" customFormat="false" ht="15" hidden="false" customHeight="false" outlineLevel="0" collapsed="false">
      <c r="A24" s="2" t="s">
        <v>35</v>
      </c>
      <c r="B24" s="2" t="n">
        <f aca="false">COUNTIFS('Master Checklist'!$H:$H,$A24,'Master Checklist'!$D:$D,"Build")</f>
        <v>192</v>
      </c>
      <c r="C24" s="2" t="n">
        <f aca="false">COUNTIFS('Master Checklist'!$H:$H,$A24,'Master Checklist'!$D:$D,"Test")</f>
        <v>0</v>
      </c>
      <c r="D24" s="2" t="n">
        <f aca="false">COUNTIF('Master Checklist'!$H:$H,$A24)</f>
        <v>192</v>
      </c>
      <c r="E24" s="2" t="n">
        <f aca="false">COUNTIFS('Master Checklist'!$H:$H,$A24,'Master Checklist'!$Y:$Y,"Done")</f>
        <v>0</v>
      </c>
      <c r="F24" s="2" t="n">
        <f aca="false">COUNTIFS('Master Checklist'!$H:$H,$A24,'Master Checklist'!$Y:$Y,"In progress")</f>
        <v>0</v>
      </c>
      <c r="G24" s="2" t="n">
        <f aca="false">COUNTIFS('Master Checklist'!$H:$H,$A24,'Master Checklist'!$Y:$Y,"Blocked")</f>
        <v>0</v>
      </c>
      <c r="H24" s="7" t="n">
        <f aca="false">IF(D24=0,0,E24/D24)</f>
        <v>0</v>
      </c>
      <c r="I24" s="2" t="n">
        <f aca="false">COUNTIFS('Master Checklist'!$H:$H,$A24,'Master Checklist'!$L:$L,"")</f>
        <v>192</v>
      </c>
      <c r="J24" s="2" t="n">
        <f aca="false">SUMIF('Master Checklist'!$H:$H,$A24,'Master Checklist'!$M:$M)</f>
        <v>0</v>
      </c>
    </row>
    <row r="25" customFormat="false" ht="15" hidden="false" customHeight="false" outlineLevel="0" collapsed="false">
      <c r="A25" s="2" t="s">
        <v>36</v>
      </c>
      <c r="B25" s="2" t="n">
        <f aca="false">COUNTIFS('Master Checklist'!$H:$H,$A25,'Master Checklist'!$D:$D,"Build")</f>
        <v>0</v>
      </c>
      <c r="C25" s="2" t="n">
        <f aca="false">COUNTIFS('Master Checklist'!$H:$H,$A25,'Master Checklist'!$D:$D,"Test")</f>
        <v>78</v>
      </c>
      <c r="D25" s="2" t="n">
        <f aca="false">COUNTIF('Master Checklist'!$H:$H,$A25)</f>
        <v>78</v>
      </c>
      <c r="E25" s="2" t="n">
        <f aca="false">COUNTIFS('Master Checklist'!$H:$H,$A25,'Master Checklist'!$Y:$Y,"Done")</f>
        <v>0</v>
      </c>
      <c r="F25" s="2" t="n">
        <f aca="false">COUNTIFS('Master Checklist'!$H:$H,$A25,'Master Checklist'!$Y:$Y,"In progress")</f>
        <v>0</v>
      </c>
      <c r="G25" s="2" t="n">
        <f aca="false">COUNTIFS('Master Checklist'!$H:$H,$A25,'Master Checklist'!$Y:$Y,"Blocked")</f>
        <v>0</v>
      </c>
      <c r="H25" s="7" t="n">
        <f aca="false">IF(D25=0,0,E25/D25)</f>
        <v>0</v>
      </c>
      <c r="I25" s="2" t="n">
        <f aca="false">COUNTIFS('Master Checklist'!$H:$H,$A25,'Master Checklist'!$L:$L,"")</f>
        <v>78</v>
      </c>
      <c r="J25" s="2" t="n">
        <f aca="false">SUMIF('Master Checklist'!$H:$H,$A25,'Master Checklist'!$M:$M)</f>
        <v>0</v>
      </c>
    </row>
    <row r="26" customFormat="false" ht="15" hidden="false" customHeight="false" outlineLevel="0" collapsed="false">
      <c r="A26" s="8" t="s">
        <v>37</v>
      </c>
      <c r="B26" s="2" t="n">
        <f aca="false">SUM(B17:B25)</f>
        <v>1795</v>
      </c>
      <c r="C26" s="2" t="n">
        <f aca="false">SUM(C17:C25)</f>
        <v>325</v>
      </c>
      <c r="D26" s="2" t="n">
        <f aca="false">SUM(D17:D25)</f>
        <v>2120</v>
      </c>
      <c r="E26" s="2" t="n">
        <f aca="false">SUM(E17:E25)</f>
        <v>0</v>
      </c>
      <c r="F26" s="2" t="n">
        <f aca="false">SUM(F17:F25)</f>
        <v>0</v>
      </c>
      <c r="G26" s="2" t="n">
        <f aca="false">SUM(G17:G25)</f>
        <v>0</v>
      </c>
      <c r="H26" s="7" t="n">
        <f aca="false">IF(D26=0,0,E26/D26)</f>
        <v>0</v>
      </c>
      <c r="I26" s="2" t="n">
        <f aca="false">SUM(I17:I25)</f>
        <v>2120</v>
      </c>
      <c r="J26" s="2" t="n">
        <f aca="false">SUM(J17:J25)</f>
        <v>0</v>
      </c>
    </row>
    <row r="27" customFormat="false" ht="15" hidden="false" customHeight="false" outlineLevel="0" collapsed="false">
      <c r="A27" s="2"/>
      <c r="B27" s="2"/>
      <c r="C27" s="2"/>
      <c r="D27" s="2"/>
      <c r="E27" s="2"/>
      <c r="F27" s="2"/>
      <c r="G27" s="2"/>
      <c r="H27" s="2"/>
      <c r="I27" s="2"/>
      <c r="J27" s="2"/>
    </row>
    <row r="28" customFormat="false" ht="15" hidden="false" customHeight="false" outlineLevel="0" collapsed="false">
      <c r="A28" s="4" t="s">
        <v>38</v>
      </c>
      <c r="B28" s="2"/>
      <c r="C28" s="2"/>
      <c r="D28" s="2"/>
      <c r="E28" s="2"/>
      <c r="F28" s="2"/>
      <c r="G28" s="2"/>
      <c r="H28" s="2"/>
      <c r="I28" s="2"/>
      <c r="J28" s="2"/>
    </row>
    <row r="29" customFormat="false" ht="15" hidden="false" customHeight="false" outlineLevel="0" collapsed="false">
      <c r="A29" s="6" t="s">
        <v>39</v>
      </c>
      <c r="B29" s="6" t="s">
        <v>40</v>
      </c>
      <c r="C29" s="6" t="s">
        <v>19</v>
      </c>
      <c r="D29" s="6" t="s">
        <v>20</v>
      </c>
      <c r="E29" s="6" t="s">
        <v>21</v>
      </c>
      <c r="F29" s="6" t="s">
        <v>22</v>
      </c>
      <c r="G29" s="6" t="s">
        <v>25</v>
      </c>
      <c r="H29" s="6" t="s">
        <v>41</v>
      </c>
      <c r="I29" s="2"/>
      <c r="J29" s="2"/>
    </row>
    <row r="30" customFormat="false" ht="15" hidden="false" customHeight="false" outlineLevel="0" collapsed="false">
      <c r="A30" s="2" t="n">
        <v>0</v>
      </c>
      <c r="B30" s="2" t="s">
        <v>42</v>
      </c>
      <c r="C30" s="2" t="n">
        <f aca="false">COUNTIFS('Master Checklist'!$O:$O,$A30,'Master Checklist'!$D:$D,"Build")</f>
        <v>292</v>
      </c>
      <c r="D30" s="2" t="n">
        <f aca="false">COUNTIFS('Master Checklist'!$O:$O,$A30,'Master Checklist'!$D:$D,"Test")</f>
        <v>0</v>
      </c>
      <c r="E30" s="2" t="n">
        <f aca="false">COUNTIF('Master Checklist'!$O:$O,$A30)</f>
        <v>292</v>
      </c>
      <c r="F30" s="2" t="n">
        <f aca="false">COUNTIFS('Master Checklist'!$O:$O,$A30,'Master Checklist'!$Y:$Y,"Done")</f>
        <v>0</v>
      </c>
      <c r="G30" s="7" t="n">
        <f aca="false">IF(E30=0,0,F30/E30)</f>
        <v>0</v>
      </c>
      <c r="H30" s="2" t="n">
        <f aca="false">COUNTIFS('Master Checklist'!$O:$O,$A30,'Master Checklist'!$E:$E,"P0",'Master Checklist'!$Y:$Y,"&lt;&gt;Done")</f>
        <v>25</v>
      </c>
      <c r="I30" s="2"/>
      <c r="J30" s="2"/>
    </row>
    <row r="31" customFormat="false" ht="15" hidden="false" customHeight="false" outlineLevel="0" collapsed="false">
      <c r="A31" s="2" t="n">
        <v>1</v>
      </c>
      <c r="B31" s="2" t="s">
        <v>43</v>
      </c>
      <c r="C31" s="2" t="n">
        <f aca="false">COUNTIFS('Master Checklist'!$O:$O,$A31,'Master Checklist'!$D:$D,"Build")</f>
        <v>367</v>
      </c>
      <c r="D31" s="2" t="n">
        <f aca="false">COUNTIFS('Master Checklist'!$O:$O,$A31,'Master Checklist'!$D:$D,"Test")</f>
        <v>131</v>
      </c>
      <c r="E31" s="2" t="n">
        <f aca="false">COUNTIF('Master Checklist'!$O:$O,$A31)</f>
        <v>498</v>
      </c>
      <c r="F31" s="2" t="n">
        <f aca="false">COUNTIFS('Master Checklist'!$O:$O,$A31,'Master Checklist'!$Y:$Y,"Done")</f>
        <v>0</v>
      </c>
      <c r="G31" s="7" t="n">
        <f aca="false">IF(E31=0,0,F31/E31)</f>
        <v>0</v>
      </c>
      <c r="H31" s="2" t="n">
        <f aca="false">COUNTIFS('Master Checklist'!$O:$O,$A31,'Master Checklist'!$E:$E,"P0",'Master Checklist'!$Y:$Y,"&lt;&gt;Done")</f>
        <v>13</v>
      </c>
      <c r="I31" s="2"/>
      <c r="J31" s="2"/>
    </row>
    <row r="32" customFormat="false" ht="15" hidden="false" customHeight="false" outlineLevel="0" collapsed="false">
      <c r="A32" s="2" t="n">
        <v>2</v>
      </c>
      <c r="B32" s="2" t="s">
        <v>44</v>
      </c>
      <c r="C32" s="2" t="n">
        <f aca="false">COUNTIFS('Master Checklist'!$O:$O,$A32,'Master Checklist'!$D:$D,"Build")</f>
        <v>438</v>
      </c>
      <c r="D32" s="2" t="n">
        <f aca="false">COUNTIFS('Master Checklist'!$O:$O,$A32,'Master Checklist'!$D:$D,"Test")</f>
        <v>58</v>
      </c>
      <c r="E32" s="2" t="n">
        <f aca="false">COUNTIF('Master Checklist'!$O:$O,$A32)</f>
        <v>496</v>
      </c>
      <c r="F32" s="2" t="n">
        <f aca="false">COUNTIFS('Master Checklist'!$O:$O,$A32,'Master Checklist'!$Y:$Y,"Done")</f>
        <v>0</v>
      </c>
      <c r="G32" s="7" t="n">
        <f aca="false">IF(E32=0,0,F32/E32)</f>
        <v>0</v>
      </c>
      <c r="H32" s="2" t="n">
        <f aca="false">COUNTIFS('Master Checklist'!$O:$O,$A32,'Master Checklist'!$E:$E,"P0",'Master Checklist'!$Y:$Y,"&lt;&gt;Done")</f>
        <v>6</v>
      </c>
      <c r="I32" s="2"/>
      <c r="J32" s="2"/>
    </row>
    <row r="33" customFormat="false" ht="15" hidden="false" customHeight="false" outlineLevel="0" collapsed="false">
      <c r="A33" s="2" t="n">
        <v>3</v>
      </c>
      <c r="B33" s="2" t="s">
        <v>45</v>
      </c>
      <c r="C33" s="2" t="n">
        <f aca="false">COUNTIFS('Master Checklist'!$O:$O,$A33,'Master Checklist'!$D:$D,"Build")</f>
        <v>428</v>
      </c>
      <c r="D33" s="2" t="n">
        <f aca="false">COUNTIFS('Master Checklist'!$O:$O,$A33,'Master Checklist'!$D:$D,"Test")</f>
        <v>85</v>
      </c>
      <c r="E33" s="2" t="n">
        <f aca="false">COUNTIF('Master Checklist'!$O:$O,$A33)</f>
        <v>513</v>
      </c>
      <c r="F33" s="2" t="n">
        <f aca="false">COUNTIFS('Master Checklist'!$O:$O,$A33,'Master Checklist'!$Y:$Y,"Done")</f>
        <v>0</v>
      </c>
      <c r="G33" s="7" t="n">
        <f aca="false">IF(E33=0,0,F33/E33)</f>
        <v>0</v>
      </c>
      <c r="H33" s="2" t="n">
        <f aca="false">COUNTIFS('Master Checklist'!$O:$O,$A33,'Master Checklist'!$E:$E,"P0",'Master Checklist'!$Y:$Y,"&lt;&gt;Done")</f>
        <v>6</v>
      </c>
      <c r="I33" s="2"/>
      <c r="J33" s="2"/>
    </row>
    <row r="34" customFormat="false" ht="15" hidden="false" customHeight="false" outlineLevel="0" collapsed="false">
      <c r="A34" s="2" t="n">
        <v>4</v>
      </c>
      <c r="B34" s="2" t="s">
        <v>46</v>
      </c>
      <c r="C34" s="2" t="n">
        <f aca="false">COUNTIFS('Master Checklist'!$O:$O,$A34,'Master Checklist'!$D:$D,"Build")</f>
        <v>173</v>
      </c>
      <c r="D34" s="2" t="n">
        <f aca="false">COUNTIFS('Master Checklist'!$O:$O,$A34,'Master Checklist'!$D:$D,"Test")</f>
        <v>39</v>
      </c>
      <c r="E34" s="2" t="n">
        <f aca="false">COUNTIF('Master Checklist'!$O:$O,$A34)</f>
        <v>212</v>
      </c>
      <c r="F34" s="2" t="n">
        <f aca="false">COUNTIFS('Master Checklist'!$O:$O,$A34,'Master Checklist'!$Y:$Y,"Done")</f>
        <v>0</v>
      </c>
      <c r="G34" s="7" t="n">
        <f aca="false">IF(E34=0,0,F34/E34)</f>
        <v>0</v>
      </c>
      <c r="H34" s="2" t="n">
        <f aca="false">COUNTIFS('Master Checklist'!$O:$O,$A34,'Master Checklist'!$E:$E,"P0",'Master Checklist'!$Y:$Y,"&lt;&gt;Done")</f>
        <v>0</v>
      </c>
      <c r="I34" s="2"/>
      <c r="J34" s="2"/>
    </row>
    <row r="35" customFormat="false" ht="15" hidden="false" customHeight="false" outlineLevel="0" collapsed="false">
      <c r="A35" s="2" t="n">
        <v>5</v>
      </c>
      <c r="B35" s="2" t="s">
        <v>47</v>
      </c>
      <c r="C35" s="2" t="n">
        <f aca="false">COUNTIFS('Master Checklist'!$O:$O,$A35,'Master Checklist'!$D:$D,"Build")</f>
        <v>97</v>
      </c>
      <c r="D35" s="2" t="n">
        <f aca="false">COUNTIFS('Master Checklist'!$O:$O,$A35,'Master Checklist'!$D:$D,"Test")</f>
        <v>12</v>
      </c>
      <c r="E35" s="2" t="n">
        <f aca="false">COUNTIF('Master Checklist'!$O:$O,$A35)</f>
        <v>109</v>
      </c>
      <c r="F35" s="2" t="n">
        <f aca="false">COUNTIFS('Master Checklist'!$O:$O,$A35,'Master Checklist'!$Y:$Y,"Done")</f>
        <v>0</v>
      </c>
      <c r="G35" s="7" t="n">
        <f aca="false">IF(E35=0,0,F35/E35)</f>
        <v>0</v>
      </c>
      <c r="H35" s="2" t="n">
        <f aca="false">COUNTIFS('Master Checklist'!$O:$O,$A35,'Master Checklist'!$E:$E,"P0",'Master Checklist'!$Y:$Y,"&lt;&gt;Done")</f>
        <v>0</v>
      </c>
      <c r="I35" s="2"/>
      <c r="J35" s="2"/>
    </row>
    <row r="36" customFormat="false" ht="15" hidden="false" customHeight="false" outlineLevel="0" collapsed="false">
      <c r="A36" s="2"/>
      <c r="B36" s="2"/>
      <c r="C36" s="2"/>
      <c r="D36" s="2"/>
      <c r="E36" s="2"/>
      <c r="F36" s="2"/>
      <c r="G36" s="2"/>
      <c r="H36" s="2"/>
      <c r="I36" s="2"/>
      <c r="J3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18"/>
    <col collapsed="false" customWidth="true" hidden="false" outlineLevel="0" max="4" min="4" style="0" width="24"/>
    <col collapsed="false" customWidth="true" hidden="false" outlineLevel="0" max="5" min="5" style="0" width="18"/>
    <col collapsed="false" customWidth="true" hidden="false" outlineLevel="0" max="8" min="6" style="0" width="15"/>
    <col collapsed="false" customWidth="true" hidden="false" outlineLevel="0" max="9" min="9" style="0" width="8"/>
    <col collapsed="false" customWidth="true" hidden="false" outlineLevel="0" max="10" min="10" style="0" width="7"/>
    <col collapsed="false" customWidth="true" hidden="false" outlineLevel="0" max="11" min="11" style="0" width="8"/>
    <col collapsed="false" customWidth="true" hidden="false" outlineLevel="0" max="12" min="12" style="0" width="12"/>
    <col collapsed="false" customWidth="true" hidden="false" outlineLevel="0" max="13" min="13" style="0" width="7"/>
    <col collapsed="false" customWidth="true" hidden="false" outlineLevel="0" max="15" min="14" style="0" width="9"/>
    <col collapsed="false" customWidth="true" hidden="false" outlineLevel="0" max="16" min="16" style="0" width="44"/>
  </cols>
  <sheetData>
    <row r="1" customFormat="false" ht="16.15" hidden="false" customHeight="false" outlineLevel="0" collapsed="false">
      <c r="A1" s="9" t="s">
        <v>48</v>
      </c>
    </row>
    <row r="2" customFormat="false" ht="15" hidden="false" customHeight="false" outlineLevel="0" collapsed="false">
      <c r="A2" s="3" t="s">
        <v>49</v>
      </c>
    </row>
    <row r="4" customFormat="false" ht="15" hidden="false" customHeight="false" outlineLevel="0" collapsed="false">
      <c r="A4" s="6" t="s">
        <v>50</v>
      </c>
      <c r="B4" s="6" t="s">
        <v>51</v>
      </c>
      <c r="C4" s="6" t="s">
        <v>52</v>
      </c>
      <c r="D4" s="6" t="s">
        <v>53</v>
      </c>
      <c r="E4" s="6" t="s">
        <v>54</v>
      </c>
      <c r="F4" s="6" t="s">
        <v>55</v>
      </c>
      <c r="G4" s="6" t="s">
        <v>56</v>
      </c>
      <c r="H4" s="6" t="s">
        <v>57</v>
      </c>
      <c r="I4" s="6" t="s">
        <v>19</v>
      </c>
      <c r="J4" s="6" t="s">
        <v>20</v>
      </c>
      <c r="K4" s="6" t="s">
        <v>21</v>
      </c>
      <c r="L4" s="6" t="s">
        <v>58</v>
      </c>
      <c r="M4" s="6" t="s">
        <v>22</v>
      </c>
      <c r="N4" s="6" t="s">
        <v>25</v>
      </c>
      <c r="O4" s="6" t="s">
        <v>24</v>
      </c>
      <c r="P4" s="6" t="s">
        <v>59</v>
      </c>
    </row>
    <row r="5" customFormat="false" ht="15" hidden="false" customHeight="false" outlineLevel="0" collapsed="false">
      <c r="A5" s="10" t="s">
        <v>60</v>
      </c>
      <c r="B5" s="11" t="s">
        <v>61</v>
      </c>
      <c r="C5" s="10" t="s">
        <v>62</v>
      </c>
      <c r="D5" s="10" t="s">
        <v>32</v>
      </c>
      <c r="E5" s="11" t="s">
        <v>63</v>
      </c>
      <c r="F5" s="12"/>
      <c r="G5" s="12"/>
      <c r="H5" s="12"/>
      <c r="I5" s="10" t="n">
        <f aca="false">COUNTIFS('Master Checklist'!$B:$B,$A5,'Master Checklist'!$D:$D,"Build")</f>
        <v>89</v>
      </c>
      <c r="J5" s="10" t="n">
        <f aca="false">COUNTIFS('Master Checklist'!$B:$B,$A5,'Master Checklist'!$D:$D,"Test")</f>
        <v>14</v>
      </c>
      <c r="K5" s="10" t="n">
        <f aca="false">COUNTIF('Master Checklist'!$B:$B,$A5)</f>
        <v>103</v>
      </c>
      <c r="L5" s="10" t="s">
        <v>64</v>
      </c>
      <c r="M5" s="10" t="n">
        <f aca="false">COUNTIFS('Master Checklist'!$B:$B,$A5,'Master Checklist'!$Y:$Y,"Done")</f>
        <v>0</v>
      </c>
      <c r="N5" s="13" t="n">
        <f aca="false">IF(K5=0,0,M5/K5)</f>
        <v>0</v>
      </c>
      <c r="O5" s="10" t="n">
        <f aca="false">COUNTIFS('Master Checklist'!$B:$B,$A5,'Master Checklist'!$Y:$Y,"Blocked")</f>
        <v>0</v>
      </c>
      <c r="P5" s="11"/>
    </row>
    <row r="6" customFormat="false" ht="15" hidden="false" customHeight="false" outlineLevel="0" collapsed="false">
      <c r="A6" s="10" t="s">
        <v>65</v>
      </c>
      <c r="B6" s="11" t="s">
        <v>66</v>
      </c>
      <c r="C6" s="10" t="s">
        <v>62</v>
      </c>
      <c r="D6" s="10" t="s">
        <v>32</v>
      </c>
      <c r="E6" s="11" t="s">
        <v>67</v>
      </c>
      <c r="F6" s="12"/>
      <c r="G6" s="12"/>
      <c r="H6" s="12"/>
      <c r="I6" s="10" t="n">
        <f aca="false">COUNTIFS('Master Checklist'!$B:$B,$A6,'Master Checklist'!$D:$D,"Build")</f>
        <v>84</v>
      </c>
      <c r="J6" s="10" t="n">
        <f aca="false">COUNTIFS('Master Checklist'!$B:$B,$A6,'Master Checklist'!$D:$D,"Test")</f>
        <v>14</v>
      </c>
      <c r="K6" s="10" t="n">
        <f aca="false">COUNTIF('Master Checklist'!$B:$B,$A6)</f>
        <v>98</v>
      </c>
      <c r="L6" s="10" t="s">
        <v>64</v>
      </c>
      <c r="M6" s="10" t="n">
        <f aca="false">COUNTIFS('Master Checklist'!$B:$B,$A6,'Master Checklist'!$Y:$Y,"Done")</f>
        <v>0</v>
      </c>
      <c r="N6" s="13" t="n">
        <f aca="false">IF(K6=0,0,M6/K6)</f>
        <v>0</v>
      </c>
      <c r="O6" s="10" t="n">
        <f aca="false">COUNTIFS('Master Checklist'!$B:$B,$A6,'Master Checklist'!$Y:$Y,"Blocked")</f>
        <v>0</v>
      </c>
      <c r="P6" s="11"/>
    </row>
    <row r="7" customFormat="false" ht="15" hidden="false" customHeight="false" outlineLevel="0" collapsed="false">
      <c r="A7" s="10" t="s">
        <v>68</v>
      </c>
      <c r="B7" s="11" t="s">
        <v>69</v>
      </c>
      <c r="C7" s="10" t="s">
        <v>62</v>
      </c>
      <c r="D7" s="10" t="s">
        <v>35</v>
      </c>
      <c r="E7" s="11" t="s">
        <v>70</v>
      </c>
      <c r="F7" s="12"/>
      <c r="G7" s="12"/>
      <c r="H7" s="12"/>
      <c r="I7" s="10" t="n">
        <f aca="false">COUNTIFS('Master Checklist'!$B:$B,$A7,'Master Checklist'!$D:$D,"Build")</f>
        <v>17</v>
      </c>
      <c r="J7" s="10" t="n">
        <f aca="false">COUNTIFS('Master Checklist'!$B:$B,$A7,'Master Checklist'!$D:$D,"Test")</f>
        <v>0</v>
      </c>
      <c r="K7" s="10" t="n">
        <f aca="false">COUNTIF('Master Checklist'!$B:$B,$A7)</f>
        <v>17</v>
      </c>
      <c r="L7" s="10" t="s">
        <v>71</v>
      </c>
      <c r="M7" s="10" t="n">
        <f aca="false">COUNTIFS('Master Checklist'!$B:$B,$A7,'Master Checklist'!$Y:$Y,"Done")</f>
        <v>0</v>
      </c>
      <c r="N7" s="13" t="n">
        <f aca="false">IF(K7=0,0,M7/K7)</f>
        <v>0</v>
      </c>
      <c r="O7" s="10" t="n">
        <f aca="false">COUNTIFS('Master Checklist'!$B:$B,$A7,'Master Checklist'!$Y:$Y,"Blocked")</f>
        <v>0</v>
      </c>
      <c r="P7" s="11" t="s">
        <v>72</v>
      </c>
    </row>
    <row r="8" customFormat="false" ht="15" hidden="false" customHeight="false" outlineLevel="0" collapsed="false">
      <c r="A8" s="10" t="s">
        <v>73</v>
      </c>
      <c r="B8" s="11" t="s">
        <v>74</v>
      </c>
      <c r="C8" s="10" t="s">
        <v>62</v>
      </c>
      <c r="D8" s="10" t="s">
        <v>33</v>
      </c>
      <c r="E8" s="11" t="s">
        <v>75</v>
      </c>
      <c r="F8" s="12"/>
      <c r="G8" s="12"/>
      <c r="H8" s="12"/>
      <c r="I8" s="10" t="n">
        <f aca="false">COUNTIFS('Master Checklist'!$B:$B,$A8,'Master Checklist'!$D:$D,"Build")</f>
        <v>13</v>
      </c>
      <c r="J8" s="10" t="n">
        <f aca="false">COUNTIFS('Master Checklist'!$B:$B,$A8,'Master Checklist'!$D:$D,"Test")</f>
        <v>0</v>
      </c>
      <c r="K8" s="10" t="n">
        <f aca="false">COUNTIF('Master Checklist'!$B:$B,$A8)</f>
        <v>13</v>
      </c>
      <c r="L8" s="10" t="s">
        <v>76</v>
      </c>
      <c r="M8" s="10" t="n">
        <f aca="false">COUNTIFS('Master Checklist'!$B:$B,$A8,'Master Checklist'!$Y:$Y,"Done")</f>
        <v>0</v>
      </c>
      <c r="N8" s="13" t="n">
        <f aca="false">IF(K8=0,0,M8/K8)</f>
        <v>0</v>
      </c>
      <c r="O8" s="10" t="n">
        <f aca="false">COUNTIFS('Master Checklist'!$B:$B,$A8,'Master Checklist'!$Y:$Y,"Blocked")</f>
        <v>0</v>
      </c>
      <c r="P8" s="11"/>
    </row>
    <row r="9" customFormat="false" ht="15" hidden="false" customHeight="false" outlineLevel="0" collapsed="false">
      <c r="A9" s="10" t="s">
        <v>77</v>
      </c>
      <c r="B9" s="11" t="s">
        <v>78</v>
      </c>
      <c r="C9" s="10" t="s">
        <v>62</v>
      </c>
      <c r="D9" s="10" t="s">
        <v>31</v>
      </c>
      <c r="E9" s="11" t="s">
        <v>79</v>
      </c>
      <c r="F9" s="12"/>
      <c r="G9" s="12"/>
      <c r="H9" s="12"/>
      <c r="I9" s="10" t="n">
        <f aca="false">COUNTIFS('Master Checklist'!$B:$B,$A9,'Master Checklist'!$D:$D,"Build")</f>
        <v>8</v>
      </c>
      <c r="J9" s="10" t="n">
        <f aca="false">COUNTIFS('Master Checklist'!$B:$B,$A9,'Master Checklist'!$D:$D,"Test")</f>
        <v>5</v>
      </c>
      <c r="K9" s="10" t="n">
        <f aca="false">COUNTIF('Master Checklist'!$B:$B,$A9)</f>
        <v>13</v>
      </c>
      <c r="L9" s="10" t="s">
        <v>80</v>
      </c>
      <c r="M9" s="10" t="n">
        <f aca="false">COUNTIFS('Master Checklist'!$B:$B,$A9,'Master Checklist'!$Y:$Y,"Done")</f>
        <v>0</v>
      </c>
      <c r="N9" s="13" t="n">
        <f aca="false">IF(K9=0,0,M9/K9)</f>
        <v>0</v>
      </c>
      <c r="O9" s="10" t="n">
        <f aca="false">COUNTIFS('Master Checklist'!$B:$B,$A9,'Master Checklist'!$Y:$Y,"Blocked")</f>
        <v>0</v>
      </c>
      <c r="P9" s="11"/>
    </row>
    <row r="10" customFormat="false" ht="15" hidden="false" customHeight="false" outlineLevel="0" collapsed="false">
      <c r="A10" s="10" t="s">
        <v>81</v>
      </c>
      <c r="B10" s="11" t="s">
        <v>82</v>
      </c>
      <c r="C10" s="10" t="s">
        <v>62</v>
      </c>
      <c r="D10" s="10" t="s">
        <v>31</v>
      </c>
      <c r="E10" s="11" t="s">
        <v>83</v>
      </c>
      <c r="F10" s="12"/>
      <c r="G10" s="12"/>
      <c r="H10" s="12"/>
      <c r="I10" s="10" t="n">
        <f aca="false">COUNTIFS('Master Checklist'!$B:$B,$A10,'Master Checklist'!$D:$D,"Build")</f>
        <v>29</v>
      </c>
      <c r="J10" s="10" t="n">
        <f aca="false">COUNTIFS('Master Checklist'!$B:$B,$A10,'Master Checklist'!$D:$D,"Test")</f>
        <v>7</v>
      </c>
      <c r="K10" s="10" t="n">
        <f aca="false">COUNTIF('Master Checklist'!$B:$B,$A10)</f>
        <v>36</v>
      </c>
      <c r="L10" s="10" t="s">
        <v>64</v>
      </c>
      <c r="M10" s="10" t="n">
        <f aca="false">COUNTIFS('Master Checklist'!$B:$B,$A10,'Master Checklist'!$Y:$Y,"Done")</f>
        <v>0</v>
      </c>
      <c r="N10" s="13" t="n">
        <f aca="false">IF(K10=0,0,M10/K10)</f>
        <v>0</v>
      </c>
      <c r="O10" s="10" t="n">
        <f aca="false">COUNTIFS('Master Checklist'!$B:$B,$A10,'Master Checklist'!$Y:$Y,"Blocked")</f>
        <v>0</v>
      </c>
      <c r="P10" s="11"/>
    </row>
    <row r="11" customFormat="false" ht="15" hidden="false" customHeight="false" outlineLevel="0" collapsed="false">
      <c r="A11" s="10" t="s">
        <v>84</v>
      </c>
      <c r="B11" s="11" t="s">
        <v>85</v>
      </c>
      <c r="C11" s="10" t="s">
        <v>62</v>
      </c>
      <c r="D11" s="10" t="s">
        <v>31</v>
      </c>
      <c r="E11" s="11" t="s">
        <v>86</v>
      </c>
      <c r="F11" s="12"/>
      <c r="G11" s="12"/>
      <c r="H11" s="12"/>
      <c r="I11" s="10" t="n">
        <f aca="false">COUNTIFS('Master Checklist'!$B:$B,$A11,'Master Checklist'!$D:$D,"Build")</f>
        <v>26</v>
      </c>
      <c r="J11" s="10" t="n">
        <f aca="false">COUNTIFS('Master Checklist'!$B:$B,$A11,'Master Checklist'!$D:$D,"Test")</f>
        <v>6</v>
      </c>
      <c r="K11" s="10" t="n">
        <f aca="false">COUNTIF('Master Checklist'!$B:$B,$A11)</f>
        <v>32</v>
      </c>
      <c r="L11" s="10" t="s">
        <v>87</v>
      </c>
      <c r="M11" s="10" t="n">
        <f aca="false">COUNTIFS('Master Checklist'!$B:$B,$A11,'Master Checklist'!$Y:$Y,"Done")</f>
        <v>0</v>
      </c>
      <c r="N11" s="13" t="n">
        <f aca="false">IF(K11=0,0,M11/K11)</f>
        <v>0</v>
      </c>
      <c r="O11" s="10" t="n">
        <f aca="false">COUNTIFS('Master Checklist'!$B:$B,$A11,'Master Checklist'!$Y:$Y,"Blocked")</f>
        <v>0</v>
      </c>
      <c r="P11" s="11"/>
    </row>
    <row r="12" customFormat="false" ht="15" hidden="false" customHeight="false" outlineLevel="0" collapsed="false">
      <c r="A12" s="10" t="s">
        <v>88</v>
      </c>
      <c r="B12" s="11" t="s">
        <v>89</v>
      </c>
      <c r="C12" s="10" t="s">
        <v>62</v>
      </c>
      <c r="D12" s="10" t="s">
        <v>31</v>
      </c>
      <c r="E12" s="11" t="s">
        <v>90</v>
      </c>
      <c r="F12" s="12"/>
      <c r="G12" s="12"/>
      <c r="H12" s="12"/>
      <c r="I12" s="10" t="n">
        <f aca="false">COUNTIFS('Master Checklist'!$B:$B,$A12,'Master Checklist'!$D:$D,"Build")</f>
        <v>55</v>
      </c>
      <c r="J12" s="10" t="n">
        <f aca="false">COUNTIFS('Master Checklist'!$B:$B,$A12,'Master Checklist'!$D:$D,"Test")</f>
        <v>7</v>
      </c>
      <c r="K12" s="10" t="n">
        <f aca="false">COUNTIF('Master Checklist'!$B:$B,$A12)</f>
        <v>62</v>
      </c>
      <c r="L12" s="10" t="s">
        <v>87</v>
      </c>
      <c r="M12" s="10" t="n">
        <f aca="false">COUNTIFS('Master Checklist'!$B:$B,$A12,'Master Checklist'!$Y:$Y,"Done")</f>
        <v>0</v>
      </c>
      <c r="N12" s="13" t="n">
        <f aca="false">IF(K12=0,0,M12/K12)</f>
        <v>0</v>
      </c>
      <c r="O12" s="10" t="n">
        <f aca="false">COUNTIFS('Master Checklist'!$B:$B,$A12,'Master Checklist'!$Y:$Y,"Blocked")</f>
        <v>0</v>
      </c>
      <c r="P12" s="11"/>
    </row>
    <row r="13" customFormat="false" ht="15" hidden="false" customHeight="false" outlineLevel="0" collapsed="false">
      <c r="A13" s="10" t="s">
        <v>91</v>
      </c>
      <c r="B13" s="11" t="s">
        <v>92</v>
      </c>
      <c r="C13" s="10" t="s">
        <v>62</v>
      </c>
      <c r="D13" s="10" t="s">
        <v>31</v>
      </c>
      <c r="E13" s="11" t="s">
        <v>79</v>
      </c>
      <c r="F13" s="12"/>
      <c r="G13" s="12"/>
      <c r="H13" s="12"/>
      <c r="I13" s="10" t="n">
        <f aca="false">COUNTIFS('Master Checklist'!$B:$B,$A13,'Master Checklist'!$D:$D,"Build")</f>
        <v>4</v>
      </c>
      <c r="J13" s="10" t="n">
        <f aca="false">COUNTIFS('Master Checklist'!$B:$B,$A13,'Master Checklist'!$D:$D,"Test")</f>
        <v>1</v>
      </c>
      <c r="K13" s="10" t="n">
        <f aca="false">COUNTIF('Master Checklist'!$B:$B,$A13)</f>
        <v>5</v>
      </c>
      <c r="L13" s="10" t="s">
        <v>93</v>
      </c>
      <c r="M13" s="10" t="n">
        <f aca="false">COUNTIFS('Master Checklist'!$B:$B,$A13,'Master Checklist'!$Y:$Y,"Done")</f>
        <v>0</v>
      </c>
      <c r="N13" s="13" t="n">
        <f aca="false">IF(K13=0,0,M13/K13)</f>
        <v>0</v>
      </c>
      <c r="O13" s="10" t="n">
        <f aca="false">COUNTIFS('Master Checklist'!$B:$B,$A13,'Master Checklist'!$Y:$Y,"Blocked")</f>
        <v>0</v>
      </c>
      <c r="P13" s="11"/>
    </row>
    <row r="14" customFormat="false" ht="15" hidden="false" customHeight="false" outlineLevel="0" collapsed="false">
      <c r="A14" s="10" t="s">
        <v>94</v>
      </c>
      <c r="B14" s="11" t="s">
        <v>95</v>
      </c>
      <c r="C14" s="10" t="s">
        <v>62</v>
      </c>
      <c r="D14" s="10" t="s">
        <v>33</v>
      </c>
      <c r="E14" s="11" t="s">
        <v>96</v>
      </c>
      <c r="F14" s="12"/>
      <c r="G14" s="12"/>
      <c r="H14" s="12"/>
      <c r="I14" s="10" t="n">
        <f aca="false">COUNTIFS('Master Checklist'!$B:$B,$A14,'Master Checklist'!$D:$D,"Build")</f>
        <v>26</v>
      </c>
      <c r="J14" s="10" t="n">
        <f aca="false">COUNTIFS('Master Checklist'!$B:$B,$A14,'Master Checklist'!$D:$D,"Test")</f>
        <v>6</v>
      </c>
      <c r="K14" s="10" t="n">
        <f aca="false">COUNTIF('Master Checklist'!$B:$B,$A14)</f>
        <v>32</v>
      </c>
      <c r="L14" s="10" t="s">
        <v>64</v>
      </c>
      <c r="M14" s="10" t="n">
        <f aca="false">COUNTIFS('Master Checklist'!$B:$B,$A14,'Master Checklist'!$Y:$Y,"Done")</f>
        <v>0</v>
      </c>
      <c r="N14" s="13" t="n">
        <f aca="false">IF(K14=0,0,M14/K14)</f>
        <v>0</v>
      </c>
      <c r="O14" s="10" t="n">
        <f aca="false">COUNTIFS('Master Checklist'!$B:$B,$A14,'Master Checklist'!$Y:$Y,"Blocked")</f>
        <v>0</v>
      </c>
      <c r="P14" s="11"/>
    </row>
    <row r="15" customFormat="false" ht="15" hidden="false" customHeight="false" outlineLevel="0" collapsed="false">
      <c r="A15" s="10" t="s">
        <v>97</v>
      </c>
      <c r="B15" s="11" t="s">
        <v>98</v>
      </c>
      <c r="C15" s="10" t="s">
        <v>62</v>
      </c>
      <c r="D15" s="10" t="s">
        <v>33</v>
      </c>
      <c r="E15" s="11" t="s">
        <v>99</v>
      </c>
      <c r="F15" s="12"/>
      <c r="G15" s="12"/>
      <c r="H15" s="12"/>
      <c r="I15" s="10" t="n">
        <f aca="false">COUNTIFS('Master Checklist'!$B:$B,$A15,'Master Checklist'!$D:$D,"Build")</f>
        <v>38</v>
      </c>
      <c r="J15" s="10" t="n">
        <f aca="false">COUNTIFS('Master Checklist'!$B:$B,$A15,'Master Checklist'!$D:$D,"Test")</f>
        <v>6</v>
      </c>
      <c r="K15" s="10" t="n">
        <f aca="false">COUNTIF('Master Checklist'!$B:$B,$A15)</f>
        <v>44</v>
      </c>
      <c r="L15" s="10" t="s">
        <v>87</v>
      </c>
      <c r="M15" s="10" t="n">
        <f aca="false">COUNTIFS('Master Checklist'!$B:$B,$A15,'Master Checklist'!$Y:$Y,"Done")</f>
        <v>0</v>
      </c>
      <c r="N15" s="13" t="n">
        <f aca="false">IF(K15=0,0,M15/K15)</f>
        <v>0</v>
      </c>
      <c r="O15" s="10" t="n">
        <f aca="false">COUNTIFS('Master Checklist'!$B:$B,$A15,'Master Checklist'!$Y:$Y,"Blocked")</f>
        <v>0</v>
      </c>
      <c r="P15" s="11"/>
    </row>
    <row r="16" customFormat="false" ht="15" hidden="false" customHeight="false" outlineLevel="0" collapsed="false">
      <c r="A16" s="10" t="s">
        <v>100</v>
      </c>
      <c r="B16" s="11" t="s">
        <v>101</v>
      </c>
      <c r="C16" s="10" t="s">
        <v>62</v>
      </c>
      <c r="D16" s="10" t="s">
        <v>33</v>
      </c>
      <c r="E16" s="11" t="s">
        <v>102</v>
      </c>
      <c r="F16" s="12"/>
      <c r="G16" s="12"/>
      <c r="H16" s="12"/>
      <c r="I16" s="10" t="n">
        <f aca="false">COUNTIFS('Master Checklist'!$B:$B,$A16,'Master Checklist'!$D:$D,"Build")</f>
        <v>62</v>
      </c>
      <c r="J16" s="10" t="n">
        <f aca="false">COUNTIFS('Master Checklist'!$B:$B,$A16,'Master Checklist'!$D:$D,"Test")</f>
        <v>14</v>
      </c>
      <c r="K16" s="10" t="n">
        <f aca="false">COUNTIF('Master Checklist'!$B:$B,$A16)</f>
        <v>76</v>
      </c>
      <c r="L16" s="10" t="s">
        <v>64</v>
      </c>
      <c r="M16" s="10" t="n">
        <f aca="false">COUNTIFS('Master Checklist'!$B:$B,$A16,'Master Checklist'!$Y:$Y,"Done")</f>
        <v>0</v>
      </c>
      <c r="N16" s="13" t="n">
        <f aca="false">IF(K16=0,0,M16/K16)</f>
        <v>0</v>
      </c>
      <c r="O16" s="10" t="n">
        <f aca="false">COUNTIFS('Master Checklist'!$B:$B,$A16,'Master Checklist'!$Y:$Y,"Blocked")</f>
        <v>0</v>
      </c>
      <c r="P16" s="11"/>
    </row>
    <row r="17" customFormat="false" ht="15" hidden="false" customHeight="false" outlineLevel="0" collapsed="false">
      <c r="A17" s="10" t="s">
        <v>103</v>
      </c>
      <c r="B17" s="11" t="s">
        <v>104</v>
      </c>
      <c r="C17" s="10" t="s">
        <v>62</v>
      </c>
      <c r="D17" s="10" t="s">
        <v>32</v>
      </c>
      <c r="E17" s="11" t="s">
        <v>105</v>
      </c>
      <c r="F17" s="12"/>
      <c r="G17" s="12"/>
      <c r="H17" s="12"/>
      <c r="I17" s="10" t="n">
        <f aca="false">COUNTIFS('Master Checklist'!$B:$B,$A17,'Master Checklist'!$D:$D,"Build")</f>
        <v>14</v>
      </c>
      <c r="J17" s="10" t="n">
        <f aca="false">COUNTIFS('Master Checklist'!$B:$B,$A17,'Master Checklist'!$D:$D,"Test")</f>
        <v>6</v>
      </c>
      <c r="K17" s="10" t="n">
        <f aca="false">COUNTIF('Master Checklist'!$B:$B,$A17)</f>
        <v>20</v>
      </c>
      <c r="L17" s="10" t="s">
        <v>64</v>
      </c>
      <c r="M17" s="10" t="n">
        <f aca="false">COUNTIFS('Master Checklist'!$B:$B,$A17,'Master Checklist'!$Y:$Y,"Done")</f>
        <v>0</v>
      </c>
      <c r="N17" s="13" t="n">
        <f aca="false">IF(K17=0,0,M17/K17)</f>
        <v>0</v>
      </c>
      <c r="O17" s="10" t="n">
        <f aca="false">COUNTIFS('Master Checklist'!$B:$B,$A17,'Master Checklist'!$Y:$Y,"Blocked")</f>
        <v>0</v>
      </c>
      <c r="P17" s="11"/>
    </row>
    <row r="18" customFormat="false" ht="15" hidden="false" customHeight="false" outlineLevel="0" collapsed="false">
      <c r="A18" s="10" t="s">
        <v>106</v>
      </c>
      <c r="B18" s="11" t="s">
        <v>107</v>
      </c>
      <c r="C18" s="10" t="s">
        <v>62</v>
      </c>
      <c r="D18" s="10" t="s">
        <v>29</v>
      </c>
      <c r="E18" s="11" t="s">
        <v>108</v>
      </c>
      <c r="F18" s="12"/>
      <c r="G18" s="12"/>
      <c r="H18" s="12"/>
      <c r="I18" s="10" t="n">
        <f aca="false">COUNTIFS('Master Checklist'!$B:$B,$A18,'Master Checklist'!$D:$D,"Build")</f>
        <v>101</v>
      </c>
      <c r="J18" s="10" t="n">
        <f aca="false">COUNTIFS('Master Checklist'!$B:$B,$A18,'Master Checklist'!$D:$D,"Test")</f>
        <v>20</v>
      </c>
      <c r="K18" s="10" t="n">
        <f aca="false">COUNTIF('Master Checklist'!$B:$B,$A18)</f>
        <v>121</v>
      </c>
      <c r="L18" s="10" t="s">
        <v>76</v>
      </c>
      <c r="M18" s="10" t="n">
        <f aca="false">COUNTIFS('Master Checklist'!$B:$B,$A18,'Master Checklist'!$Y:$Y,"Done")</f>
        <v>0</v>
      </c>
      <c r="N18" s="13" t="n">
        <f aca="false">IF(K18=0,0,M18/K18)</f>
        <v>0</v>
      </c>
      <c r="O18" s="10" t="n">
        <f aca="false">COUNTIFS('Master Checklist'!$B:$B,$A18,'Master Checklist'!$Y:$Y,"Blocked")</f>
        <v>0</v>
      </c>
      <c r="P18" s="11"/>
    </row>
    <row r="19" customFormat="false" ht="15" hidden="false" customHeight="false" outlineLevel="0" collapsed="false">
      <c r="A19" s="10" t="s">
        <v>109</v>
      </c>
      <c r="B19" s="11" t="s">
        <v>110</v>
      </c>
      <c r="C19" s="10" t="s">
        <v>62</v>
      </c>
      <c r="D19" s="10" t="s">
        <v>29</v>
      </c>
      <c r="E19" s="11" t="s">
        <v>111</v>
      </c>
      <c r="F19" s="12"/>
      <c r="G19" s="12"/>
      <c r="H19" s="12"/>
      <c r="I19" s="10" t="n">
        <f aca="false">COUNTIFS('Master Checklist'!$B:$B,$A19,'Master Checklist'!$D:$D,"Build")</f>
        <v>53</v>
      </c>
      <c r="J19" s="10" t="n">
        <f aca="false">COUNTIFS('Master Checklist'!$B:$B,$A19,'Master Checklist'!$D:$D,"Test")</f>
        <v>13</v>
      </c>
      <c r="K19" s="10" t="n">
        <f aca="false">COUNTIF('Master Checklist'!$B:$B,$A19)</f>
        <v>66</v>
      </c>
      <c r="L19" s="10" t="s">
        <v>64</v>
      </c>
      <c r="M19" s="10" t="n">
        <f aca="false">COUNTIFS('Master Checklist'!$B:$B,$A19,'Master Checklist'!$Y:$Y,"Done")</f>
        <v>0</v>
      </c>
      <c r="N19" s="13" t="n">
        <f aca="false">IF(K19=0,0,M19/K19)</f>
        <v>0</v>
      </c>
      <c r="O19" s="10" t="n">
        <f aca="false">COUNTIFS('Master Checklist'!$B:$B,$A19,'Master Checklist'!$Y:$Y,"Blocked")</f>
        <v>0</v>
      </c>
      <c r="P19" s="11"/>
    </row>
    <row r="20" customFormat="false" ht="15" hidden="false" customHeight="false" outlineLevel="0" collapsed="false">
      <c r="A20" s="10" t="s">
        <v>112</v>
      </c>
      <c r="B20" s="11" t="s">
        <v>113</v>
      </c>
      <c r="C20" s="10" t="s">
        <v>62</v>
      </c>
      <c r="D20" s="10" t="s">
        <v>31</v>
      </c>
      <c r="E20" s="11" t="s">
        <v>114</v>
      </c>
      <c r="F20" s="12"/>
      <c r="G20" s="12"/>
      <c r="H20" s="12"/>
      <c r="I20" s="10" t="n">
        <f aca="false">COUNTIFS('Master Checklist'!$B:$B,$A20,'Master Checklist'!$D:$D,"Build")</f>
        <v>23</v>
      </c>
      <c r="J20" s="10" t="n">
        <f aca="false">COUNTIFS('Master Checklist'!$B:$B,$A20,'Master Checklist'!$D:$D,"Test")</f>
        <v>6</v>
      </c>
      <c r="K20" s="10" t="n">
        <f aca="false">COUNTIF('Master Checklist'!$B:$B,$A20)</f>
        <v>29</v>
      </c>
      <c r="L20" s="10" t="s">
        <v>115</v>
      </c>
      <c r="M20" s="10" t="n">
        <f aca="false">COUNTIFS('Master Checklist'!$B:$B,$A20,'Master Checklist'!$Y:$Y,"Done")</f>
        <v>0</v>
      </c>
      <c r="N20" s="13" t="n">
        <f aca="false">IF(K20=0,0,M20/K20)</f>
        <v>0</v>
      </c>
      <c r="O20" s="10" t="n">
        <f aca="false">COUNTIFS('Master Checklist'!$B:$B,$A20,'Master Checklist'!$Y:$Y,"Blocked")</f>
        <v>0</v>
      </c>
      <c r="P20" s="11"/>
    </row>
    <row r="21" customFormat="false" ht="15" hidden="false" customHeight="false" outlineLevel="0" collapsed="false">
      <c r="A21" s="10" t="s">
        <v>116</v>
      </c>
      <c r="B21" s="11" t="s">
        <v>117</v>
      </c>
      <c r="C21" s="10" t="s">
        <v>62</v>
      </c>
      <c r="D21" s="10" t="s">
        <v>31</v>
      </c>
      <c r="E21" s="11" t="s">
        <v>118</v>
      </c>
      <c r="F21" s="12"/>
      <c r="G21" s="12"/>
      <c r="H21" s="12"/>
      <c r="I21" s="10" t="n">
        <f aca="false">COUNTIFS('Master Checklist'!$B:$B,$A21,'Master Checklist'!$D:$D,"Build")</f>
        <v>78</v>
      </c>
      <c r="J21" s="10" t="n">
        <f aca="false">COUNTIFS('Master Checklist'!$B:$B,$A21,'Master Checklist'!$D:$D,"Test")</f>
        <v>7</v>
      </c>
      <c r="K21" s="10" t="n">
        <f aca="false">COUNTIF('Master Checklist'!$B:$B,$A21)</f>
        <v>85</v>
      </c>
      <c r="L21" s="10" t="s">
        <v>119</v>
      </c>
      <c r="M21" s="10" t="n">
        <f aca="false">COUNTIFS('Master Checklist'!$B:$B,$A21,'Master Checklist'!$Y:$Y,"Done")</f>
        <v>0</v>
      </c>
      <c r="N21" s="13" t="n">
        <f aca="false">IF(K21=0,0,M21/K21)</f>
        <v>0</v>
      </c>
      <c r="O21" s="10" t="n">
        <f aca="false">COUNTIFS('Master Checklist'!$B:$B,$A21,'Master Checklist'!$Y:$Y,"Blocked")</f>
        <v>0</v>
      </c>
      <c r="P21" s="11" t="s">
        <v>120</v>
      </c>
    </row>
    <row r="22" customFormat="false" ht="15" hidden="false" customHeight="false" outlineLevel="0" collapsed="false">
      <c r="A22" s="10" t="s">
        <v>121</v>
      </c>
      <c r="B22" s="11" t="s">
        <v>122</v>
      </c>
      <c r="C22" s="10" t="s">
        <v>62</v>
      </c>
      <c r="D22" s="10" t="s">
        <v>30</v>
      </c>
      <c r="E22" s="11" t="s">
        <v>123</v>
      </c>
      <c r="F22" s="12"/>
      <c r="G22" s="12"/>
      <c r="H22" s="12"/>
      <c r="I22" s="10" t="n">
        <f aca="false">COUNTIFS('Master Checklist'!$B:$B,$A22,'Master Checklist'!$D:$D,"Build")</f>
        <v>201</v>
      </c>
      <c r="J22" s="10" t="n">
        <f aca="false">COUNTIFS('Master Checklist'!$B:$B,$A22,'Master Checklist'!$D:$D,"Test")</f>
        <v>19</v>
      </c>
      <c r="K22" s="10" t="n">
        <f aca="false">COUNTIF('Master Checklist'!$B:$B,$A22)</f>
        <v>220</v>
      </c>
      <c r="L22" s="10" t="s">
        <v>119</v>
      </c>
      <c r="M22" s="10" t="n">
        <f aca="false">COUNTIFS('Master Checklist'!$B:$B,$A22,'Master Checklist'!$Y:$Y,"Done")</f>
        <v>0</v>
      </c>
      <c r="N22" s="13" t="n">
        <f aca="false">IF(K22=0,0,M22/K22)</f>
        <v>0</v>
      </c>
      <c r="O22" s="10" t="n">
        <f aca="false">COUNTIFS('Master Checklist'!$B:$B,$A22,'Master Checklist'!$Y:$Y,"Blocked")</f>
        <v>0</v>
      </c>
      <c r="P22" s="11"/>
    </row>
    <row r="23" customFormat="false" ht="15" hidden="false" customHeight="false" outlineLevel="0" collapsed="false">
      <c r="A23" s="10" t="s">
        <v>124</v>
      </c>
      <c r="B23" s="11" t="s">
        <v>125</v>
      </c>
      <c r="C23" s="10" t="s">
        <v>62</v>
      </c>
      <c r="D23" s="10" t="s">
        <v>34</v>
      </c>
      <c r="E23" s="11" t="s">
        <v>126</v>
      </c>
      <c r="F23" s="12"/>
      <c r="G23" s="12"/>
      <c r="H23" s="12"/>
      <c r="I23" s="10" t="n">
        <f aca="false">COUNTIFS('Master Checklist'!$B:$B,$A23,'Master Checklist'!$D:$D,"Build")</f>
        <v>69</v>
      </c>
      <c r="J23" s="10" t="n">
        <f aca="false">COUNTIFS('Master Checklist'!$B:$B,$A23,'Master Checklist'!$D:$D,"Test")</f>
        <v>12</v>
      </c>
      <c r="K23" s="10" t="n">
        <f aca="false">COUNTIF('Master Checklist'!$B:$B,$A23)</f>
        <v>81</v>
      </c>
      <c r="L23" s="10" t="s">
        <v>76</v>
      </c>
      <c r="M23" s="10" t="n">
        <f aca="false">COUNTIFS('Master Checklist'!$B:$B,$A23,'Master Checklist'!$Y:$Y,"Done")</f>
        <v>0</v>
      </c>
      <c r="N23" s="13" t="n">
        <f aca="false">IF(K23=0,0,M23/K23)</f>
        <v>0</v>
      </c>
      <c r="O23" s="10" t="n">
        <f aca="false">COUNTIFS('Master Checklist'!$B:$B,$A23,'Master Checklist'!$Y:$Y,"Blocked")</f>
        <v>0</v>
      </c>
      <c r="P23" s="11"/>
    </row>
    <row r="24" customFormat="false" ht="15" hidden="false" customHeight="false" outlineLevel="0" collapsed="false">
      <c r="A24" s="10" t="s">
        <v>127</v>
      </c>
      <c r="B24" s="11" t="s">
        <v>128</v>
      </c>
      <c r="C24" s="10" t="s">
        <v>62</v>
      </c>
      <c r="D24" s="10" t="s">
        <v>34</v>
      </c>
      <c r="E24" s="11" t="s">
        <v>129</v>
      </c>
      <c r="F24" s="12"/>
      <c r="G24" s="12"/>
      <c r="H24" s="12"/>
      <c r="I24" s="10" t="n">
        <f aca="false">COUNTIFS('Master Checklist'!$B:$B,$A24,'Master Checklist'!$D:$D,"Build")</f>
        <v>59</v>
      </c>
      <c r="J24" s="10" t="n">
        <f aca="false">COUNTIFS('Master Checklist'!$B:$B,$A24,'Master Checklist'!$D:$D,"Test")</f>
        <v>7</v>
      </c>
      <c r="K24" s="10" t="n">
        <f aca="false">COUNTIF('Master Checklist'!$B:$B,$A24)</f>
        <v>66</v>
      </c>
      <c r="L24" s="10" t="s">
        <v>130</v>
      </c>
      <c r="M24" s="10" t="n">
        <f aca="false">COUNTIFS('Master Checklist'!$B:$B,$A24,'Master Checklist'!$Y:$Y,"Done")</f>
        <v>0</v>
      </c>
      <c r="N24" s="13" t="n">
        <f aca="false">IF(K24=0,0,M24/K24)</f>
        <v>0</v>
      </c>
      <c r="O24" s="10" t="n">
        <f aca="false">COUNTIFS('Master Checklist'!$B:$B,$A24,'Master Checklist'!$Y:$Y,"Blocked")</f>
        <v>0</v>
      </c>
      <c r="P24" s="11" t="s">
        <v>131</v>
      </c>
    </row>
    <row r="25" customFormat="false" ht="15" hidden="false" customHeight="false" outlineLevel="0" collapsed="false">
      <c r="A25" s="10" t="s">
        <v>132</v>
      </c>
      <c r="B25" s="11" t="s">
        <v>133</v>
      </c>
      <c r="C25" s="10" t="s">
        <v>62</v>
      </c>
      <c r="D25" s="10" t="s">
        <v>34</v>
      </c>
      <c r="E25" s="11" t="s">
        <v>134</v>
      </c>
      <c r="F25" s="12"/>
      <c r="G25" s="12"/>
      <c r="H25" s="12"/>
      <c r="I25" s="10" t="n">
        <f aca="false">COUNTIFS('Master Checklist'!$B:$B,$A25,'Master Checklist'!$D:$D,"Build")</f>
        <v>22</v>
      </c>
      <c r="J25" s="10" t="n">
        <f aca="false">COUNTIFS('Master Checklist'!$B:$B,$A25,'Master Checklist'!$D:$D,"Test")</f>
        <v>6</v>
      </c>
      <c r="K25" s="10" t="n">
        <f aca="false">COUNTIF('Master Checklist'!$B:$B,$A25)</f>
        <v>28</v>
      </c>
      <c r="L25" s="10" t="s">
        <v>135</v>
      </c>
      <c r="M25" s="10" t="n">
        <f aca="false">COUNTIFS('Master Checklist'!$B:$B,$A25,'Master Checklist'!$Y:$Y,"Done")</f>
        <v>0</v>
      </c>
      <c r="N25" s="13" t="n">
        <f aca="false">IF(K25=0,0,M25/K25)</f>
        <v>0</v>
      </c>
      <c r="O25" s="10" t="n">
        <f aca="false">COUNTIFS('Master Checklist'!$B:$B,$A25,'Master Checklist'!$Y:$Y,"Blocked")</f>
        <v>0</v>
      </c>
      <c r="P25" s="11" t="s">
        <v>136</v>
      </c>
    </row>
    <row r="26" customFormat="false" ht="15" hidden="false" customHeight="false" outlineLevel="0" collapsed="false">
      <c r="A26" s="10" t="s">
        <v>137</v>
      </c>
      <c r="B26" s="11" t="s">
        <v>138</v>
      </c>
      <c r="C26" s="10" t="s">
        <v>62</v>
      </c>
      <c r="D26" s="10" t="s">
        <v>34</v>
      </c>
      <c r="E26" s="11" t="s">
        <v>139</v>
      </c>
      <c r="F26" s="12"/>
      <c r="G26" s="12"/>
      <c r="H26" s="12"/>
      <c r="I26" s="10" t="n">
        <f aca="false">COUNTIFS('Master Checklist'!$B:$B,$A26,'Master Checklist'!$D:$D,"Build")</f>
        <v>27</v>
      </c>
      <c r="J26" s="10" t="n">
        <f aca="false">COUNTIFS('Master Checklist'!$B:$B,$A26,'Master Checklist'!$D:$D,"Test")</f>
        <v>7</v>
      </c>
      <c r="K26" s="10" t="n">
        <f aca="false">COUNTIF('Master Checklist'!$B:$B,$A26)</f>
        <v>34</v>
      </c>
      <c r="L26" s="10" t="s">
        <v>76</v>
      </c>
      <c r="M26" s="10" t="n">
        <f aca="false">COUNTIFS('Master Checklist'!$B:$B,$A26,'Master Checklist'!$Y:$Y,"Done")</f>
        <v>0</v>
      </c>
      <c r="N26" s="13" t="n">
        <f aca="false">IF(K26=0,0,M26/K26)</f>
        <v>0</v>
      </c>
      <c r="O26" s="10" t="n">
        <f aca="false">COUNTIFS('Master Checklist'!$B:$B,$A26,'Master Checklist'!$Y:$Y,"Blocked")</f>
        <v>0</v>
      </c>
      <c r="P26" s="11"/>
    </row>
    <row r="27" customFormat="false" ht="15" hidden="false" customHeight="false" outlineLevel="0" collapsed="false">
      <c r="A27" s="10" t="s">
        <v>140</v>
      </c>
      <c r="B27" s="11" t="s">
        <v>141</v>
      </c>
      <c r="C27" s="10" t="s">
        <v>62</v>
      </c>
      <c r="D27" s="10" t="s">
        <v>29</v>
      </c>
      <c r="E27" s="11" t="s">
        <v>142</v>
      </c>
      <c r="F27" s="12"/>
      <c r="G27" s="12"/>
      <c r="H27" s="12"/>
      <c r="I27" s="10" t="n">
        <f aca="false">COUNTIFS('Master Checklist'!$B:$B,$A27,'Master Checklist'!$D:$D,"Build")</f>
        <v>49</v>
      </c>
      <c r="J27" s="10" t="n">
        <f aca="false">COUNTIFS('Master Checklist'!$B:$B,$A27,'Master Checklist'!$D:$D,"Test")</f>
        <v>12</v>
      </c>
      <c r="K27" s="10" t="n">
        <f aca="false">COUNTIF('Master Checklist'!$B:$B,$A27)</f>
        <v>61</v>
      </c>
      <c r="L27" s="10" t="s">
        <v>76</v>
      </c>
      <c r="M27" s="10" t="n">
        <f aca="false">COUNTIFS('Master Checklist'!$B:$B,$A27,'Master Checklist'!$Y:$Y,"Done")</f>
        <v>0</v>
      </c>
      <c r="N27" s="13" t="n">
        <f aca="false">IF(K27=0,0,M27/K27)</f>
        <v>0</v>
      </c>
      <c r="O27" s="10" t="n">
        <f aca="false">COUNTIFS('Master Checklist'!$B:$B,$A27,'Master Checklist'!$Y:$Y,"Blocked")</f>
        <v>0</v>
      </c>
      <c r="P27" s="11"/>
    </row>
    <row r="28" customFormat="false" ht="15" hidden="false" customHeight="false" outlineLevel="0" collapsed="false">
      <c r="A28" s="10" t="s">
        <v>143</v>
      </c>
      <c r="B28" s="11" t="s">
        <v>144</v>
      </c>
      <c r="C28" s="10" t="s">
        <v>62</v>
      </c>
      <c r="D28" s="10" t="s">
        <v>34</v>
      </c>
      <c r="E28" s="11" t="s">
        <v>145</v>
      </c>
      <c r="F28" s="12"/>
      <c r="G28" s="12"/>
      <c r="H28" s="12"/>
      <c r="I28" s="10" t="n">
        <f aca="false">COUNTIFS('Master Checklist'!$B:$B,$A28,'Master Checklist'!$D:$D,"Build")</f>
        <v>18</v>
      </c>
      <c r="J28" s="10" t="n">
        <f aca="false">COUNTIFS('Master Checklist'!$B:$B,$A28,'Master Checklist'!$D:$D,"Test")</f>
        <v>6</v>
      </c>
      <c r="K28" s="10" t="n">
        <f aca="false">COUNTIF('Master Checklist'!$B:$B,$A28)</f>
        <v>24</v>
      </c>
      <c r="L28" s="10" t="s">
        <v>146</v>
      </c>
      <c r="M28" s="10" t="n">
        <f aca="false">COUNTIFS('Master Checklist'!$B:$B,$A28,'Master Checklist'!$Y:$Y,"Done")</f>
        <v>0</v>
      </c>
      <c r="N28" s="13" t="n">
        <f aca="false">IF(K28=0,0,M28/K28)</f>
        <v>0</v>
      </c>
      <c r="O28" s="10" t="n">
        <f aca="false">COUNTIFS('Master Checklist'!$B:$B,$A28,'Master Checklist'!$Y:$Y,"Blocked")</f>
        <v>0</v>
      </c>
      <c r="P28" s="11"/>
    </row>
    <row r="29" customFormat="false" ht="15" hidden="false" customHeight="false" outlineLevel="0" collapsed="false">
      <c r="A29" s="10" t="s">
        <v>147</v>
      </c>
      <c r="B29" s="11" t="s">
        <v>148</v>
      </c>
      <c r="C29" s="10" t="s">
        <v>62</v>
      </c>
      <c r="D29" s="10" t="s">
        <v>35</v>
      </c>
      <c r="E29" s="11" t="s">
        <v>149</v>
      </c>
      <c r="F29" s="12"/>
      <c r="G29" s="12"/>
      <c r="H29" s="12"/>
      <c r="I29" s="10" t="n">
        <f aca="false">COUNTIFS('Master Checklist'!$B:$B,$A29,'Master Checklist'!$D:$D,"Build")</f>
        <v>21</v>
      </c>
      <c r="J29" s="10" t="n">
        <f aca="false">COUNTIFS('Master Checklist'!$B:$B,$A29,'Master Checklist'!$D:$D,"Test")</f>
        <v>0</v>
      </c>
      <c r="K29" s="10" t="n">
        <f aca="false">COUNTIF('Master Checklist'!$B:$B,$A29)</f>
        <v>21</v>
      </c>
      <c r="L29" s="10" t="s">
        <v>119</v>
      </c>
      <c r="M29" s="10" t="n">
        <f aca="false">COUNTIFS('Master Checklist'!$B:$B,$A29,'Master Checklist'!$Y:$Y,"Done")</f>
        <v>0</v>
      </c>
      <c r="N29" s="13" t="n">
        <f aca="false">IF(K29=0,0,M29/K29)</f>
        <v>0</v>
      </c>
      <c r="O29" s="10" t="n">
        <f aca="false">COUNTIFS('Master Checklist'!$B:$B,$A29,'Master Checklist'!$Y:$Y,"Blocked")</f>
        <v>0</v>
      </c>
      <c r="P29" s="11"/>
    </row>
    <row r="30" customFormat="false" ht="15" hidden="false" customHeight="false" outlineLevel="0" collapsed="false">
      <c r="A30" s="10" t="s">
        <v>150</v>
      </c>
      <c r="B30" s="11" t="s">
        <v>151</v>
      </c>
      <c r="C30" s="10" t="s">
        <v>62</v>
      </c>
      <c r="D30" s="10" t="s">
        <v>34</v>
      </c>
      <c r="E30" s="11" t="s">
        <v>152</v>
      </c>
      <c r="F30" s="12"/>
      <c r="G30" s="12"/>
      <c r="H30" s="12"/>
      <c r="I30" s="10" t="n">
        <f aca="false">COUNTIFS('Master Checklist'!$B:$B,$A30,'Master Checklist'!$D:$D,"Build")</f>
        <v>16</v>
      </c>
      <c r="J30" s="10" t="n">
        <f aca="false">COUNTIFS('Master Checklist'!$B:$B,$A30,'Master Checklist'!$D:$D,"Test")</f>
        <v>6</v>
      </c>
      <c r="K30" s="10" t="n">
        <f aca="false">COUNTIF('Master Checklist'!$B:$B,$A30)</f>
        <v>22</v>
      </c>
      <c r="L30" s="10" t="s">
        <v>130</v>
      </c>
      <c r="M30" s="10" t="n">
        <f aca="false">COUNTIFS('Master Checklist'!$B:$B,$A30,'Master Checklist'!$Y:$Y,"Done")</f>
        <v>0</v>
      </c>
      <c r="N30" s="13" t="n">
        <f aca="false">IF(K30=0,0,M30/K30)</f>
        <v>0</v>
      </c>
      <c r="O30" s="10" t="n">
        <f aca="false">COUNTIFS('Master Checklist'!$B:$B,$A30,'Master Checklist'!$Y:$Y,"Blocked")</f>
        <v>0</v>
      </c>
      <c r="P30" s="11"/>
    </row>
    <row r="31" customFormat="false" ht="15" hidden="false" customHeight="false" outlineLevel="0" collapsed="false">
      <c r="A31" s="10" t="s">
        <v>153</v>
      </c>
      <c r="B31" s="11" t="s">
        <v>154</v>
      </c>
      <c r="C31" s="10" t="s">
        <v>62</v>
      </c>
      <c r="D31" s="10" t="s">
        <v>35</v>
      </c>
      <c r="E31" s="11" t="s">
        <v>155</v>
      </c>
      <c r="F31" s="12"/>
      <c r="G31" s="12"/>
      <c r="H31" s="12"/>
      <c r="I31" s="10" t="n">
        <f aca="false">COUNTIFS('Master Checklist'!$B:$B,$A31,'Master Checklist'!$D:$D,"Build")</f>
        <v>11</v>
      </c>
      <c r="J31" s="10" t="n">
        <f aca="false">COUNTIFS('Master Checklist'!$B:$B,$A31,'Master Checklist'!$D:$D,"Test")</f>
        <v>0</v>
      </c>
      <c r="K31" s="10" t="n">
        <f aca="false">COUNTIF('Master Checklist'!$B:$B,$A31)</f>
        <v>11</v>
      </c>
      <c r="L31" s="10" t="s">
        <v>156</v>
      </c>
      <c r="M31" s="10" t="n">
        <f aca="false">COUNTIFS('Master Checklist'!$B:$B,$A31,'Master Checklist'!$Y:$Y,"Done")</f>
        <v>0</v>
      </c>
      <c r="N31" s="13" t="n">
        <f aca="false">IF(K31=0,0,M31/K31)</f>
        <v>0</v>
      </c>
      <c r="O31" s="10" t="n">
        <f aca="false">COUNTIFS('Master Checklist'!$B:$B,$A31,'Master Checklist'!$Y:$Y,"Blocked")</f>
        <v>0</v>
      </c>
      <c r="P31" s="11"/>
    </row>
    <row r="32" customFormat="false" ht="15" hidden="false" customHeight="false" outlineLevel="0" collapsed="false">
      <c r="A32" s="10" t="s">
        <v>157</v>
      </c>
      <c r="B32" s="11" t="s">
        <v>158</v>
      </c>
      <c r="C32" s="10" t="s">
        <v>62</v>
      </c>
      <c r="D32" s="10" t="s">
        <v>31</v>
      </c>
      <c r="E32" s="11" t="s">
        <v>79</v>
      </c>
      <c r="F32" s="12"/>
      <c r="G32" s="12"/>
      <c r="H32" s="12"/>
      <c r="I32" s="10" t="n">
        <f aca="false">COUNTIFS('Master Checklist'!$B:$B,$A32,'Master Checklist'!$D:$D,"Build")</f>
        <v>2</v>
      </c>
      <c r="J32" s="10" t="n">
        <f aca="false">COUNTIFS('Master Checklist'!$B:$B,$A32,'Master Checklist'!$D:$D,"Test")</f>
        <v>0</v>
      </c>
      <c r="K32" s="10" t="n">
        <f aca="false">COUNTIF('Master Checklist'!$B:$B,$A32)</f>
        <v>2</v>
      </c>
      <c r="L32" s="10" t="s">
        <v>80</v>
      </c>
      <c r="M32" s="10" t="n">
        <f aca="false">COUNTIFS('Master Checklist'!$B:$B,$A32,'Master Checklist'!$Y:$Y,"Done")</f>
        <v>0</v>
      </c>
      <c r="N32" s="13" t="n">
        <f aca="false">IF(K32=0,0,M32/K32)</f>
        <v>0</v>
      </c>
      <c r="O32" s="10" t="n">
        <f aca="false">COUNTIFS('Master Checklist'!$B:$B,$A32,'Master Checklist'!$Y:$Y,"Blocked")</f>
        <v>0</v>
      </c>
      <c r="P32" s="11"/>
    </row>
    <row r="33" customFormat="false" ht="15" hidden="false" customHeight="false" outlineLevel="0" collapsed="false">
      <c r="A33" s="10" t="s">
        <v>159</v>
      </c>
      <c r="B33" s="11" t="s">
        <v>160</v>
      </c>
      <c r="C33" s="10" t="s">
        <v>62</v>
      </c>
      <c r="D33" s="10" t="s">
        <v>35</v>
      </c>
      <c r="E33" s="11" t="s">
        <v>161</v>
      </c>
      <c r="F33" s="12"/>
      <c r="G33" s="12"/>
      <c r="H33" s="12"/>
      <c r="I33" s="10" t="n">
        <f aca="false">COUNTIFS('Master Checklist'!$B:$B,$A33,'Master Checklist'!$D:$D,"Build")</f>
        <v>22</v>
      </c>
      <c r="J33" s="10" t="n">
        <f aca="false">COUNTIFS('Master Checklist'!$B:$B,$A33,'Master Checklist'!$D:$D,"Test")</f>
        <v>0</v>
      </c>
      <c r="K33" s="10" t="n">
        <f aca="false">COUNTIF('Master Checklist'!$B:$B,$A33)</f>
        <v>22</v>
      </c>
      <c r="L33" s="10" t="s">
        <v>119</v>
      </c>
      <c r="M33" s="10" t="n">
        <f aca="false">COUNTIFS('Master Checklist'!$B:$B,$A33,'Master Checklist'!$Y:$Y,"Done")</f>
        <v>0</v>
      </c>
      <c r="N33" s="13" t="n">
        <f aca="false">IF(K33=0,0,M33/K33)</f>
        <v>0</v>
      </c>
      <c r="O33" s="10" t="n">
        <f aca="false">COUNTIFS('Master Checklist'!$B:$B,$A33,'Master Checklist'!$Y:$Y,"Blocked")</f>
        <v>0</v>
      </c>
      <c r="P33" s="11"/>
    </row>
    <row r="34" customFormat="false" ht="15" hidden="false" customHeight="false" outlineLevel="0" collapsed="false">
      <c r="A34" s="10" t="s">
        <v>162</v>
      </c>
      <c r="B34" s="11" t="s">
        <v>163</v>
      </c>
      <c r="C34" s="10" t="s">
        <v>62</v>
      </c>
      <c r="D34" s="10" t="s">
        <v>35</v>
      </c>
      <c r="E34" s="11" t="s">
        <v>164</v>
      </c>
      <c r="F34" s="12"/>
      <c r="G34" s="12"/>
      <c r="H34" s="12"/>
      <c r="I34" s="10" t="n">
        <f aca="false">COUNTIFS('Master Checklist'!$B:$B,$A34,'Master Checklist'!$D:$D,"Build")</f>
        <v>10</v>
      </c>
      <c r="J34" s="10" t="n">
        <f aca="false">COUNTIFS('Master Checklist'!$B:$B,$A34,'Master Checklist'!$D:$D,"Test")</f>
        <v>0</v>
      </c>
      <c r="K34" s="10" t="n">
        <f aca="false">COUNTIF('Master Checklist'!$B:$B,$A34)</f>
        <v>10</v>
      </c>
      <c r="L34" s="10" t="s">
        <v>80</v>
      </c>
      <c r="M34" s="10" t="n">
        <f aca="false">COUNTIFS('Master Checklist'!$B:$B,$A34,'Master Checklist'!$Y:$Y,"Done")</f>
        <v>0</v>
      </c>
      <c r="N34" s="13" t="n">
        <f aca="false">IF(K34=0,0,M34/K34)</f>
        <v>0</v>
      </c>
      <c r="O34" s="10" t="n">
        <f aca="false">COUNTIFS('Master Checklist'!$B:$B,$A34,'Master Checklist'!$Y:$Y,"Blocked")</f>
        <v>0</v>
      </c>
      <c r="P34" s="11"/>
    </row>
    <row r="35" customFormat="false" ht="15" hidden="false" customHeight="false" outlineLevel="0" collapsed="false">
      <c r="A35" s="14" t="s">
        <v>165</v>
      </c>
      <c r="B35" s="15" t="s">
        <v>166</v>
      </c>
      <c r="C35" s="14" t="s">
        <v>167</v>
      </c>
      <c r="D35" s="14" t="s">
        <v>28</v>
      </c>
      <c r="E35" s="15" t="s">
        <v>168</v>
      </c>
      <c r="F35" s="12"/>
      <c r="G35" s="12"/>
      <c r="H35" s="12"/>
      <c r="I35" s="14" t="n">
        <f aca="false">COUNTIFS('Master Checklist'!$B:$B,$A35,'Master Checklist'!$D:$D,"Build")</f>
        <v>143</v>
      </c>
      <c r="J35" s="14" t="n">
        <f aca="false">COUNTIFS('Master Checklist'!$B:$B,$A35,'Master Checklist'!$D:$D,"Test")</f>
        <v>13</v>
      </c>
      <c r="K35" s="14" t="n">
        <f aca="false">COUNTIF('Master Checklist'!$B:$B,$A35)</f>
        <v>156</v>
      </c>
      <c r="L35" s="14" t="s">
        <v>64</v>
      </c>
      <c r="M35" s="14" t="n">
        <f aca="false">COUNTIFS('Master Checklist'!$B:$B,$A35,'Master Checklist'!$Y:$Y,"Done")</f>
        <v>0</v>
      </c>
      <c r="N35" s="16" t="n">
        <f aca="false">IF(K35=0,0,M35/K35)</f>
        <v>0</v>
      </c>
      <c r="O35" s="14" t="n">
        <f aca="false">COUNTIFS('Master Checklist'!$B:$B,$A35,'Master Checklist'!$Y:$Y,"Blocked")</f>
        <v>0</v>
      </c>
      <c r="P35" s="15"/>
    </row>
    <row r="36" customFormat="false" ht="15" hidden="false" customHeight="false" outlineLevel="0" collapsed="false">
      <c r="A36" s="14" t="s">
        <v>169</v>
      </c>
      <c r="B36" s="15" t="s">
        <v>170</v>
      </c>
      <c r="C36" s="14" t="s">
        <v>167</v>
      </c>
      <c r="D36" s="14" t="s">
        <v>28</v>
      </c>
      <c r="E36" s="15" t="s">
        <v>171</v>
      </c>
      <c r="F36" s="12"/>
      <c r="G36" s="12"/>
      <c r="H36" s="12"/>
      <c r="I36" s="14" t="n">
        <f aca="false">COUNTIFS('Master Checklist'!$B:$B,$A36,'Master Checklist'!$D:$D,"Build")</f>
        <v>72</v>
      </c>
      <c r="J36" s="14" t="n">
        <f aca="false">COUNTIFS('Master Checklist'!$B:$B,$A36,'Master Checklist'!$D:$D,"Test")</f>
        <v>14</v>
      </c>
      <c r="K36" s="14" t="n">
        <f aca="false">COUNTIF('Master Checklist'!$B:$B,$A36)</f>
        <v>86</v>
      </c>
      <c r="L36" s="14" t="s">
        <v>71</v>
      </c>
      <c r="M36" s="14" t="n">
        <f aca="false">COUNTIFS('Master Checklist'!$B:$B,$A36,'Master Checklist'!$Y:$Y,"Done")</f>
        <v>0</v>
      </c>
      <c r="N36" s="16" t="n">
        <f aca="false">IF(K36=0,0,M36/K36)</f>
        <v>0</v>
      </c>
      <c r="O36" s="14" t="n">
        <f aca="false">COUNTIFS('Master Checklist'!$B:$B,$A36,'Master Checklist'!$Y:$Y,"Blocked")</f>
        <v>0</v>
      </c>
      <c r="P36" s="15"/>
    </row>
    <row r="37" customFormat="false" ht="15" hidden="false" customHeight="false" outlineLevel="0" collapsed="false">
      <c r="A37" s="14" t="s">
        <v>172</v>
      </c>
      <c r="B37" s="15" t="s">
        <v>173</v>
      </c>
      <c r="C37" s="14" t="s">
        <v>167</v>
      </c>
      <c r="D37" s="14" t="s">
        <v>29</v>
      </c>
      <c r="E37" s="15" t="s">
        <v>174</v>
      </c>
      <c r="F37" s="12"/>
      <c r="G37" s="12"/>
      <c r="H37" s="12"/>
      <c r="I37" s="14" t="n">
        <f aca="false">COUNTIFS('Master Checklist'!$B:$B,$A37,'Master Checklist'!$D:$D,"Build")</f>
        <v>65</v>
      </c>
      <c r="J37" s="14" t="n">
        <f aca="false">COUNTIFS('Master Checklist'!$B:$B,$A37,'Master Checklist'!$D:$D,"Test")</f>
        <v>13</v>
      </c>
      <c r="K37" s="14" t="n">
        <f aca="false">COUNTIF('Master Checklist'!$B:$B,$A37)</f>
        <v>78</v>
      </c>
      <c r="L37" s="14" t="s">
        <v>64</v>
      </c>
      <c r="M37" s="14" t="n">
        <f aca="false">COUNTIFS('Master Checklist'!$B:$B,$A37,'Master Checklist'!$Y:$Y,"Done")</f>
        <v>0</v>
      </c>
      <c r="N37" s="16" t="n">
        <f aca="false">IF(K37=0,0,M37/K37)</f>
        <v>0</v>
      </c>
      <c r="O37" s="14" t="n">
        <f aca="false">COUNTIFS('Master Checklist'!$B:$B,$A37,'Master Checklist'!$Y:$Y,"Blocked")</f>
        <v>0</v>
      </c>
      <c r="P37" s="15"/>
    </row>
    <row r="38" customFormat="false" ht="15" hidden="false" customHeight="false" outlineLevel="0" collapsed="false">
      <c r="A38" s="14" t="s">
        <v>175</v>
      </c>
      <c r="B38" s="15" t="s">
        <v>176</v>
      </c>
      <c r="C38" s="14" t="s">
        <v>167</v>
      </c>
      <c r="D38" s="14" t="s">
        <v>32</v>
      </c>
      <c r="E38" s="15" t="s">
        <v>177</v>
      </c>
      <c r="F38" s="12"/>
      <c r="G38" s="12"/>
      <c r="H38" s="12"/>
      <c r="I38" s="14" t="n">
        <f aca="false">COUNTIFS('Master Checklist'!$B:$B,$A38,'Master Checklist'!$D:$D,"Build")</f>
        <v>49</v>
      </c>
      <c r="J38" s="14" t="n">
        <f aca="false">COUNTIFS('Master Checklist'!$B:$B,$A38,'Master Checklist'!$D:$D,"Test")</f>
        <v>0</v>
      </c>
      <c r="K38" s="14" t="n">
        <f aca="false">COUNTIF('Master Checklist'!$B:$B,$A38)</f>
        <v>49</v>
      </c>
      <c r="L38" s="14" t="s">
        <v>64</v>
      </c>
      <c r="M38" s="14" t="n">
        <f aca="false">COUNTIFS('Master Checklist'!$B:$B,$A38,'Master Checklist'!$Y:$Y,"Done")</f>
        <v>0</v>
      </c>
      <c r="N38" s="16" t="n">
        <f aca="false">IF(K38=0,0,M38/K38)</f>
        <v>0</v>
      </c>
      <c r="O38" s="14" t="n">
        <f aca="false">COUNTIFS('Master Checklist'!$B:$B,$A38,'Master Checklist'!$Y:$Y,"Blocked")</f>
        <v>0</v>
      </c>
      <c r="P38" s="15"/>
    </row>
    <row r="39" customFormat="false" ht="15" hidden="false" customHeight="false" outlineLevel="0" collapsed="false">
      <c r="A39" s="14" t="s">
        <v>178</v>
      </c>
      <c r="B39" s="15" t="s">
        <v>179</v>
      </c>
      <c r="C39" s="14" t="s">
        <v>180</v>
      </c>
      <c r="D39" s="14" t="s">
        <v>35</v>
      </c>
      <c r="E39" s="15" t="s">
        <v>177</v>
      </c>
      <c r="F39" s="12"/>
      <c r="G39" s="12"/>
      <c r="H39" s="12"/>
      <c r="I39" s="14" t="n">
        <f aca="false">COUNTIFS('Master Checklist'!$B:$B,$A39,'Master Checklist'!$D:$D,"Build")</f>
        <v>9</v>
      </c>
      <c r="J39" s="14" t="n">
        <f aca="false">COUNTIFS('Master Checklist'!$B:$B,$A39,'Master Checklist'!$D:$D,"Test")</f>
        <v>0</v>
      </c>
      <c r="K39" s="14" t="n">
        <f aca="false">COUNTIF('Master Checklist'!$B:$B,$A39)</f>
        <v>9</v>
      </c>
      <c r="L39" s="14" t="s">
        <v>87</v>
      </c>
      <c r="M39" s="14" t="n">
        <f aca="false">COUNTIFS('Master Checklist'!$B:$B,$A39,'Master Checklist'!$Y:$Y,"Done")</f>
        <v>0</v>
      </c>
      <c r="N39" s="16" t="n">
        <f aca="false">IF(K39=0,0,M39/K39)</f>
        <v>0</v>
      </c>
      <c r="O39" s="14" t="n">
        <f aca="false">COUNTIFS('Master Checklist'!$B:$B,$A39,'Master Checklist'!$Y:$Y,"Blocked")</f>
        <v>0</v>
      </c>
      <c r="P39" s="15"/>
    </row>
    <row r="40" customFormat="false" ht="15" hidden="false" customHeight="false" outlineLevel="0" collapsed="false">
      <c r="A40" s="14" t="s">
        <v>181</v>
      </c>
      <c r="B40" s="15" t="s">
        <v>182</v>
      </c>
      <c r="C40" s="14" t="s">
        <v>180</v>
      </c>
      <c r="D40" s="14" t="s">
        <v>35</v>
      </c>
      <c r="E40" s="15" t="s">
        <v>177</v>
      </c>
      <c r="F40" s="12"/>
      <c r="G40" s="12"/>
      <c r="H40" s="12"/>
      <c r="I40" s="14" t="n">
        <f aca="false">COUNTIFS('Master Checklist'!$B:$B,$A40,'Master Checklist'!$D:$D,"Build")</f>
        <v>25</v>
      </c>
      <c r="J40" s="14" t="n">
        <f aca="false">COUNTIFS('Master Checklist'!$B:$B,$A40,'Master Checklist'!$D:$D,"Test")</f>
        <v>0</v>
      </c>
      <c r="K40" s="14" t="n">
        <f aca="false">COUNTIF('Master Checklist'!$B:$B,$A40)</f>
        <v>25</v>
      </c>
      <c r="L40" s="14" t="s">
        <v>64</v>
      </c>
      <c r="M40" s="14" t="n">
        <f aca="false">COUNTIFS('Master Checklist'!$B:$B,$A40,'Master Checklist'!$Y:$Y,"Done")</f>
        <v>0</v>
      </c>
      <c r="N40" s="16" t="n">
        <f aca="false">IF(K40=0,0,M40/K40)</f>
        <v>0</v>
      </c>
      <c r="O40" s="14" t="n">
        <f aca="false">COUNTIFS('Master Checklist'!$B:$B,$A40,'Master Checklist'!$Y:$Y,"Blocked")</f>
        <v>0</v>
      </c>
      <c r="P40" s="15"/>
    </row>
    <row r="41" customFormat="false" ht="15" hidden="false" customHeight="false" outlineLevel="0" collapsed="false">
      <c r="A41" s="14" t="s">
        <v>183</v>
      </c>
      <c r="B41" s="15" t="s">
        <v>184</v>
      </c>
      <c r="C41" s="14" t="s">
        <v>180</v>
      </c>
      <c r="D41" s="14" t="s">
        <v>36</v>
      </c>
      <c r="E41" s="15" t="s">
        <v>185</v>
      </c>
      <c r="F41" s="12"/>
      <c r="G41" s="12"/>
      <c r="H41" s="12"/>
      <c r="I41" s="14" t="n">
        <f aca="false">COUNTIFS('Master Checklist'!$B:$B,$A41,'Master Checklist'!$D:$D,"Build")</f>
        <v>0</v>
      </c>
      <c r="J41" s="14" t="n">
        <f aca="false">COUNTIFS('Master Checklist'!$B:$B,$A41,'Master Checklist'!$D:$D,"Test")</f>
        <v>78</v>
      </c>
      <c r="K41" s="14" t="n">
        <f aca="false">COUNTIF('Master Checklist'!$B:$B,$A41)</f>
        <v>78</v>
      </c>
      <c r="L41" s="14" t="s">
        <v>186</v>
      </c>
      <c r="M41" s="14" t="n">
        <f aca="false">COUNTIFS('Master Checklist'!$B:$B,$A41,'Master Checklist'!$Y:$Y,"Done")</f>
        <v>0</v>
      </c>
      <c r="N41" s="16" t="n">
        <f aca="false">IF(K41=0,0,M41/K41)</f>
        <v>0</v>
      </c>
      <c r="O41" s="14" t="n">
        <f aca="false">COUNTIFS('Master Checklist'!$B:$B,$A41,'Master Checklist'!$Y:$Y,"Blocked")</f>
        <v>0</v>
      </c>
      <c r="P41" s="15"/>
    </row>
    <row r="42" customFormat="false" ht="15" hidden="false" customHeight="false" outlineLevel="0" collapsed="false">
      <c r="A42" s="14" t="s">
        <v>187</v>
      </c>
      <c r="B42" s="15" t="s">
        <v>188</v>
      </c>
      <c r="C42" s="14" t="s">
        <v>180</v>
      </c>
      <c r="D42" s="14" t="s">
        <v>28</v>
      </c>
      <c r="E42" s="15" t="s">
        <v>177</v>
      </c>
      <c r="F42" s="12"/>
      <c r="G42" s="12"/>
      <c r="H42" s="12"/>
      <c r="I42" s="14" t="n">
        <f aca="false">COUNTIFS('Master Checklist'!$B:$B,$A42,'Master Checklist'!$D:$D,"Build")</f>
        <v>31</v>
      </c>
      <c r="J42" s="14" t="n">
        <f aca="false">COUNTIFS('Master Checklist'!$B:$B,$A42,'Master Checklist'!$D:$D,"Test")</f>
        <v>0</v>
      </c>
      <c r="K42" s="14" t="n">
        <f aca="false">COUNTIF('Master Checklist'!$B:$B,$A42)</f>
        <v>31</v>
      </c>
      <c r="L42" s="14" t="s">
        <v>80</v>
      </c>
      <c r="M42" s="14" t="n">
        <f aca="false">COUNTIFS('Master Checklist'!$B:$B,$A42,'Master Checklist'!$Y:$Y,"Done")</f>
        <v>0</v>
      </c>
      <c r="N42" s="16" t="n">
        <f aca="false">IF(K42=0,0,M42/K42)</f>
        <v>0</v>
      </c>
      <c r="O42" s="14" t="n">
        <f aca="false">COUNTIFS('Master Checklist'!$B:$B,$A42,'Master Checklist'!$Y:$Y,"Blocked")</f>
        <v>0</v>
      </c>
      <c r="P42" s="15"/>
    </row>
    <row r="43" customFormat="false" ht="15" hidden="false" customHeight="false" outlineLevel="0" collapsed="false">
      <c r="A43" s="14" t="s">
        <v>189</v>
      </c>
      <c r="B43" s="15" t="s">
        <v>190</v>
      </c>
      <c r="C43" s="14" t="s">
        <v>180</v>
      </c>
      <c r="D43" s="14" t="s">
        <v>35</v>
      </c>
      <c r="E43" s="15" t="s">
        <v>177</v>
      </c>
      <c r="F43" s="12"/>
      <c r="G43" s="12"/>
      <c r="H43" s="12"/>
      <c r="I43" s="14" t="n">
        <f aca="false">COUNTIFS('Master Checklist'!$B:$B,$A43,'Master Checklist'!$D:$D,"Build")</f>
        <v>38</v>
      </c>
      <c r="J43" s="14" t="n">
        <f aca="false">COUNTIFS('Master Checklist'!$B:$B,$A43,'Master Checklist'!$D:$D,"Test")</f>
        <v>0</v>
      </c>
      <c r="K43" s="14" t="n">
        <f aca="false">COUNTIF('Master Checklist'!$B:$B,$A43)</f>
        <v>38</v>
      </c>
      <c r="L43" s="14" t="s">
        <v>156</v>
      </c>
      <c r="M43" s="14" t="n">
        <f aca="false">COUNTIFS('Master Checklist'!$B:$B,$A43,'Master Checklist'!$Y:$Y,"Done")</f>
        <v>0</v>
      </c>
      <c r="N43" s="16" t="n">
        <f aca="false">IF(K43=0,0,M43/K43)</f>
        <v>0</v>
      </c>
      <c r="O43" s="14" t="n">
        <f aca="false">COUNTIFS('Master Checklist'!$B:$B,$A43,'Master Checklist'!$Y:$Y,"Blocked")</f>
        <v>0</v>
      </c>
      <c r="P43" s="15"/>
    </row>
    <row r="44" customFormat="false" ht="15" hidden="false" customHeight="false" outlineLevel="0" collapsed="false">
      <c r="A44" s="14" t="s">
        <v>191</v>
      </c>
      <c r="B44" s="15" t="s">
        <v>192</v>
      </c>
      <c r="C44" s="14" t="s">
        <v>180</v>
      </c>
      <c r="D44" s="14" t="s">
        <v>35</v>
      </c>
      <c r="E44" s="15" t="s">
        <v>177</v>
      </c>
      <c r="F44" s="12"/>
      <c r="G44" s="12"/>
      <c r="H44" s="12"/>
      <c r="I44" s="14" t="n">
        <f aca="false">COUNTIFS('Master Checklist'!$B:$B,$A44,'Master Checklist'!$D:$D,"Build")</f>
        <v>45</v>
      </c>
      <c r="J44" s="14" t="n">
        <f aca="false">COUNTIFS('Master Checklist'!$B:$B,$A44,'Master Checklist'!$D:$D,"Test")</f>
        <v>0</v>
      </c>
      <c r="K44" s="14" t="n">
        <f aca="false">COUNTIF('Master Checklist'!$B:$B,$A44)</f>
        <v>45</v>
      </c>
      <c r="L44" s="14" t="s">
        <v>119</v>
      </c>
      <c r="M44" s="14" t="n">
        <f aca="false">COUNTIFS('Master Checklist'!$B:$B,$A44,'Master Checklist'!$Y:$Y,"Done")</f>
        <v>0</v>
      </c>
      <c r="N44" s="16" t="n">
        <f aca="false">IF(K44=0,0,M44/K44)</f>
        <v>0</v>
      </c>
      <c r="O44" s="14" t="n">
        <f aca="false">COUNTIFS('Master Checklist'!$B:$B,$A44,'Master Checklist'!$Y:$Y,"Blocked")</f>
        <v>0</v>
      </c>
      <c r="P44" s="15"/>
    </row>
    <row r="45" customFormat="false" ht="15" hidden="false" customHeight="false" outlineLevel="0" collapsed="false">
      <c r="A45" s="14" t="s">
        <v>193</v>
      </c>
      <c r="B45" s="15" t="s">
        <v>194</v>
      </c>
      <c r="C45" s="14" t="s">
        <v>180</v>
      </c>
      <c r="D45" s="14" t="s">
        <v>35</v>
      </c>
      <c r="E45" s="15" t="s">
        <v>195</v>
      </c>
      <c r="F45" s="12"/>
      <c r="G45" s="12"/>
      <c r="H45" s="12"/>
      <c r="I45" s="14" t="n">
        <f aca="false">COUNTIFS('Master Checklist'!$B:$B,$A45,'Master Checklist'!$D:$D,"Build")</f>
        <v>26</v>
      </c>
      <c r="J45" s="14" t="n">
        <f aca="false">COUNTIFS('Master Checklist'!$B:$B,$A45,'Master Checklist'!$D:$D,"Test")</f>
        <v>0</v>
      </c>
      <c r="K45" s="14" t="n">
        <f aca="false">COUNTIF('Master Checklist'!$B:$B,$A45)</f>
        <v>26</v>
      </c>
      <c r="L45" s="14" t="s">
        <v>80</v>
      </c>
      <c r="M45" s="14" t="n">
        <f aca="false">COUNTIFS('Master Checklist'!$B:$B,$A45,'Master Checklist'!$Y:$Y,"Done")</f>
        <v>0</v>
      </c>
      <c r="N45" s="16" t="n">
        <f aca="false">IF(K45=0,0,M45/K45)</f>
        <v>0</v>
      </c>
      <c r="O45" s="14" t="n">
        <f aca="false">COUNTIFS('Master Checklist'!$B:$B,$A45,'Master Checklist'!$Y:$Y,"Blocked")</f>
        <v>0</v>
      </c>
      <c r="P45" s="15"/>
    </row>
    <row r="46" customFormat="false" ht="15" hidden="false" customHeight="false" outlineLevel="0" collapsed="false">
      <c r="A46" s="14" t="s">
        <v>196</v>
      </c>
      <c r="B46" s="15" t="s">
        <v>197</v>
      </c>
      <c r="C46" s="14" t="s">
        <v>198</v>
      </c>
      <c r="D46" s="14" t="s">
        <v>34</v>
      </c>
      <c r="E46" s="15" t="s">
        <v>199</v>
      </c>
      <c r="F46" s="12"/>
      <c r="G46" s="12"/>
      <c r="H46" s="12"/>
      <c r="I46" s="14" t="n">
        <f aca="false">COUNTIFS('Master Checklist'!$B:$B,$A46,'Master Checklist'!$D:$D,"Build")</f>
        <v>33</v>
      </c>
      <c r="J46" s="14" t="n">
        <f aca="false">COUNTIFS('Master Checklist'!$B:$B,$A46,'Master Checklist'!$D:$D,"Test")</f>
        <v>0</v>
      </c>
      <c r="K46" s="14" t="n">
        <f aca="false">COUNTIF('Master Checklist'!$B:$B,$A46)</f>
        <v>33</v>
      </c>
      <c r="L46" s="14" t="s">
        <v>93</v>
      </c>
      <c r="M46" s="14" t="n">
        <f aca="false">COUNTIFS('Master Checklist'!$B:$B,$A46,'Master Checklist'!$Y:$Y,"Done")</f>
        <v>0</v>
      </c>
      <c r="N46" s="16" t="n">
        <f aca="false">IF(K46=0,0,M46/K46)</f>
        <v>0</v>
      </c>
      <c r="O46" s="14" t="n">
        <f aca="false">COUNTIFS('Master Checklist'!$B:$B,$A46,'Master Checklist'!$Y:$Y,"Blocked")</f>
        <v>0</v>
      </c>
      <c r="P46" s="15"/>
    </row>
    <row r="47" customFormat="false" ht="15" hidden="false" customHeight="false" outlineLevel="0" collapsed="false">
      <c r="A47" s="14" t="s">
        <v>200</v>
      </c>
      <c r="B47" s="15" t="s">
        <v>201</v>
      </c>
      <c r="C47" s="14" t="s">
        <v>180</v>
      </c>
      <c r="D47" s="14" t="s">
        <v>35</v>
      </c>
      <c r="E47" s="15" t="s">
        <v>177</v>
      </c>
      <c r="F47" s="12"/>
      <c r="G47" s="12"/>
      <c r="H47" s="12"/>
      <c r="I47" s="14" t="n">
        <f aca="false">COUNTIFS('Master Checklist'!$B:$B,$A47,'Master Checklist'!$D:$D,"Build")</f>
        <v>12</v>
      </c>
      <c r="J47" s="14" t="n">
        <f aca="false">COUNTIFS('Master Checklist'!$B:$B,$A47,'Master Checklist'!$D:$D,"Test")</f>
        <v>0</v>
      </c>
      <c r="K47" s="14" t="n">
        <f aca="false">COUNTIF('Master Checklist'!$B:$B,$A47)</f>
        <v>12</v>
      </c>
      <c r="L47" s="14" t="s">
        <v>80</v>
      </c>
      <c r="M47" s="14" t="n">
        <f aca="false">COUNTIFS('Master Checklist'!$B:$B,$A47,'Master Checklist'!$Y:$Y,"Done")</f>
        <v>0</v>
      </c>
      <c r="N47" s="16" t="n">
        <f aca="false">IF(K47=0,0,M47/K47)</f>
        <v>0</v>
      </c>
      <c r="O47" s="14" t="n">
        <f aca="false">COUNTIFS('Master Checklist'!$B:$B,$A47,'Master Checklist'!$Y:$Y,"Blocked")</f>
        <v>0</v>
      </c>
      <c r="P47" s="15"/>
    </row>
    <row r="48" customFormat="false" ht="15" hidden="false" customHeight="false" outlineLevel="0" collapsed="false">
      <c r="A48" s="10"/>
      <c r="B48" s="11" t="s">
        <v>37</v>
      </c>
      <c r="C48" s="10"/>
      <c r="D48" s="10"/>
      <c r="E48" s="11"/>
      <c r="F48" s="10"/>
      <c r="G48" s="10"/>
      <c r="H48" s="10"/>
      <c r="I48" s="10" t="n">
        <f aca="false">SUM(I5:I47)</f>
        <v>1795</v>
      </c>
      <c r="J48" s="10" t="n">
        <f aca="false">SUM(J5:J47)</f>
        <v>325</v>
      </c>
      <c r="K48" s="10" t="n">
        <f aca="false">SUM(K5:K47)</f>
        <v>2120</v>
      </c>
      <c r="L48" s="10"/>
      <c r="M48" s="10" t="n">
        <f aca="false">SUM(M5:M47)</f>
        <v>0</v>
      </c>
      <c r="N48" s="10"/>
      <c r="O48" s="10" t="n">
        <f aca="false">SUM(O5:O47)</f>
        <v>0</v>
      </c>
      <c r="P48" s="11"/>
    </row>
  </sheetData>
  <autoFilter ref="A4:P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2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9"/>
    <col collapsed="false" customWidth="true" hidden="false" outlineLevel="0" max="3" min="3" style="0" width="42"/>
    <col collapsed="false" customWidth="true" hidden="false" outlineLevel="0" max="5" min="4" style="0" width="8"/>
    <col collapsed="false" customWidth="true" hidden="false" outlineLevel="0" max="6" min="6" style="0" width="9"/>
    <col collapsed="false" customWidth="true" hidden="false" outlineLevel="0" max="7" min="7" style="0" width="7"/>
    <col collapsed="false" customWidth="true" hidden="false" outlineLevel="0" max="8" min="8" style="0" width="24"/>
    <col collapsed="false" customWidth="true" hidden="false" outlineLevel="0" max="9" min="9" style="0" width="18"/>
    <col collapsed="false" customWidth="true" hidden="false" outlineLevel="0" max="10" min="10" style="0" width="10"/>
    <col collapsed="false" customWidth="true" hidden="false" outlineLevel="0" max="11" min="11" style="0" width="12"/>
    <col collapsed="false" customWidth="true" hidden="false" outlineLevel="0" max="12" min="12" style="0" width="16"/>
    <col collapsed="false" customWidth="true" hidden="false" outlineLevel="0" max="13" min="13" style="0" width="9"/>
    <col collapsed="false" customWidth="true" hidden="false" outlineLevel="0" max="14" min="14" style="0" width="13"/>
    <col collapsed="false" customWidth="true" hidden="false" outlineLevel="0" max="15" min="15" style="0" width="6"/>
    <col collapsed="false" customWidth="true" hidden="false" outlineLevel="0" max="16" min="16" style="0" width="26"/>
    <col collapsed="false" customWidth="true" hidden="false" outlineLevel="0" max="17" min="17" style="0" width="24"/>
    <col collapsed="false" customWidth="true" hidden="false" outlineLevel="0" max="18" min="18" style="0" width="60"/>
    <col collapsed="false" customWidth="true" hidden="false" outlineLevel="0" max="19" min="19" style="0" width="22"/>
    <col collapsed="false" customWidth="true" hidden="false" outlineLevel="0" max="20" min="20" style="0" width="30"/>
    <col collapsed="false" customWidth="true" hidden="false" outlineLevel="0" max="21" min="21" style="0" width="16"/>
    <col collapsed="false" customWidth="true" hidden="false" outlineLevel="0" max="22" min="22" style="0" width="45"/>
    <col collapsed="false" customWidth="true" hidden="false" outlineLevel="0" max="23" min="23" style="0" width="11"/>
    <col collapsed="false" customWidth="true" hidden="false" outlineLevel="0" max="24" min="24" style="0" width="18"/>
    <col collapsed="false" customWidth="true" hidden="false" outlineLevel="0" max="27" min="25" style="0" width="12"/>
    <col collapsed="false" customWidth="true" hidden="false" outlineLevel="0" max="28" min="28" style="0" width="30"/>
    <col collapsed="false" customWidth="true" hidden="false" outlineLevel="0" max="29" min="29" style="0" width="22"/>
  </cols>
  <sheetData>
    <row r="1" customFormat="false" ht="23.85" hidden="false" customHeight="false" outlineLevel="0" collapsed="false">
      <c r="A1" s="6" t="s">
        <v>202</v>
      </c>
      <c r="B1" s="6" t="s">
        <v>50</v>
      </c>
      <c r="C1" s="6" t="s">
        <v>203</v>
      </c>
      <c r="D1" s="6" t="s">
        <v>204</v>
      </c>
      <c r="E1" s="6" t="s">
        <v>205</v>
      </c>
      <c r="F1" s="6" t="s">
        <v>206</v>
      </c>
      <c r="G1" s="6" t="s">
        <v>207</v>
      </c>
      <c r="H1" s="6" t="s">
        <v>18</v>
      </c>
      <c r="I1" s="6" t="s">
        <v>208</v>
      </c>
      <c r="J1" s="6" t="s">
        <v>209</v>
      </c>
      <c r="K1" s="6" t="s">
        <v>210</v>
      </c>
      <c r="L1" s="6" t="s">
        <v>211</v>
      </c>
      <c r="M1" s="6" t="s">
        <v>212</v>
      </c>
      <c r="N1" s="6" t="s">
        <v>213</v>
      </c>
      <c r="O1" s="6" t="s">
        <v>39</v>
      </c>
      <c r="P1" s="6" t="s">
        <v>214</v>
      </c>
      <c r="Q1" s="6" t="s">
        <v>215</v>
      </c>
      <c r="R1" s="6" t="s">
        <v>216</v>
      </c>
      <c r="S1" s="6" t="s">
        <v>217</v>
      </c>
      <c r="T1" s="6" t="s">
        <v>218</v>
      </c>
      <c r="U1" s="6" t="s">
        <v>219</v>
      </c>
      <c r="V1" s="6" t="s">
        <v>220</v>
      </c>
      <c r="W1" s="6" t="s">
        <v>221</v>
      </c>
      <c r="X1" s="6" t="s">
        <v>222</v>
      </c>
      <c r="Y1" s="6" t="s">
        <v>223</v>
      </c>
      <c r="Z1" s="6" t="s">
        <v>224</v>
      </c>
      <c r="AA1" s="6" t="s">
        <v>225</v>
      </c>
      <c r="AB1" s="6" t="s">
        <v>226</v>
      </c>
      <c r="AC1" s="6" t="s">
        <v>227</v>
      </c>
    </row>
    <row r="2" customFormat="false" ht="32.8" hidden="false" customHeight="false" outlineLevel="0" collapsed="false">
      <c r="A2" s="10" t="s">
        <v>228</v>
      </c>
      <c r="B2" s="17" t="s">
        <v>165</v>
      </c>
      <c r="C2" s="18" t="s">
        <v>166</v>
      </c>
      <c r="D2" s="17" t="s">
        <v>19</v>
      </c>
      <c r="E2" s="17" t="s">
        <v>229</v>
      </c>
      <c r="F2" s="17" t="s">
        <v>230</v>
      </c>
      <c r="G2" s="17" t="s">
        <v>231</v>
      </c>
      <c r="H2" s="17" t="s">
        <v>28</v>
      </c>
      <c r="I2" s="17" t="s">
        <v>232</v>
      </c>
      <c r="J2" s="17" t="s">
        <v>233</v>
      </c>
      <c r="K2" s="19"/>
      <c r="L2" s="19"/>
      <c r="M2" s="19"/>
      <c r="N2" s="19"/>
      <c r="O2" s="17" t="n">
        <v>0</v>
      </c>
      <c r="P2" s="18" t="s">
        <v>234</v>
      </c>
      <c r="Q2" s="18" t="s">
        <v>235</v>
      </c>
      <c r="R2" s="18" t="s">
        <v>236</v>
      </c>
      <c r="S2" s="17" t="s">
        <v>237</v>
      </c>
      <c r="T2" s="18" t="s">
        <v>238</v>
      </c>
      <c r="U2" s="19"/>
      <c r="V2" s="18" t="s">
        <v>239</v>
      </c>
      <c r="W2" s="17" t="s">
        <v>240</v>
      </c>
      <c r="X2" s="17" t="s">
        <v>241</v>
      </c>
      <c r="Y2" s="17" t="s">
        <v>242</v>
      </c>
      <c r="Z2" s="19"/>
      <c r="AA2" s="19"/>
      <c r="AB2" s="17"/>
      <c r="AC2" s="19"/>
    </row>
    <row r="3" customFormat="false" ht="22.35" hidden="false" customHeight="false" outlineLevel="0" collapsed="false">
      <c r="A3" s="10" t="s">
        <v>243</v>
      </c>
      <c r="B3" s="17" t="s">
        <v>165</v>
      </c>
      <c r="C3" s="18" t="s">
        <v>166</v>
      </c>
      <c r="D3" s="17" t="s">
        <v>19</v>
      </c>
      <c r="E3" s="17" t="s">
        <v>244</v>
      </c>
      <c r="F3" s="17" t="s">
        <v>230</v>
      </c>
      <c r="G3" s="17" t="s">
        <v>231</v>
      </c>
      <c r="H3" s="17" t="s">
        <v>28</v>
      </c>
      <c r="I3" s="17" t="s">
        <v>232</v>
      </c>
      <c r="J3" s="17" t="s">
        <v>233</v>
      </c>
      <c r="K3" s="19"/>
      <c r="L3" s="19"/>
      <c r="M3" s="19"/>
      <c r="N3" s="19"/>
      <c r="O3" s="17" t="n">
        <v>0</v>
      </c>
      <c r="P3" s="18" t="s">
        <v>234</v>
      </c>
      <c r="Q3" s="18" t="s">
        <v>235</v>
      </c>
      <c r="R3" s="18" t="s">
        <v>245</v>
      </c>
      <c r="S3" s="17" t="s">
        <v>228</v>
      </c>
      <c r="T3" s="18" t="s">
        <v>246</v>
      </c>
      <c r="U3" s="19"/>
      <c r="V3" s="18" t="s">
        <v>247</v>
      </c>
      <c r="W3" s="17" t="s">
        <v>240</v>
      </c>
      <c r="X3" s="17" t="s">
        <v>248</v>
      </c>
      <c r="Y3" s="17" t="s">
        <v>242</v>
      </c>
      <c r="Z3" s="19"/>
      <c r="AA3" s="19"/>
      <c r="AB3" s="17"/>
      <c r="AC3" s="19"/>
    </row>
    <row r="4" customFormat="false" ht="22.35" hidden="false" customHeight="false" outlineLevel="0" collapsed="false">
      <c r="A4" s="10" t="s">
        <v>249</v>
      </c>
      <c r="B4" s="17" t="s">
        <v>165</v>
      </c>
      <c r="C4" s="18" t="s">
        <v>166</v>
      </c>
      <c r="D4" s="17" t="s">
        <v>19</v>
      </c>
      <c r="E4" s="17" t="s">
        <v>229</v>
      </c>
      <c r="F4" s="17" t="s">
        <v>230</v>
      </c>
      <c r="G4" s="17" t="s">
        <v>231</v>
      </c>
      <c r="H4" s="17" t="s">
        <v>28</v>
      </c>
      <c r="I4" s="17" t="s">
        <v>232</v>
      </c>
      <c r="J4" s="17" t="s">
        <v>233</v>
      </c>
      <c r="K4" s="19"/>
      <c r="L4" s="19"/>
      <c r="M4" s="19"/>
      <c r="N4" s="19"/>
      <c r="O4" s="17" t="n">
        <v>0</v>
      </c>
      <c r="P4" s="18" t="s">
        <v>234</v>
      </c>
      <c r="Q4" s="18" t="s">
        <v>235</v>
      </c>
      <c r="R4" s="18" t="s">
        <v>250</v>
      </c>
      <c r="S4" s="17" t="s">
        <v>243</v>
      </c>
      <c r="T4" s="18" t="s">
        <v>251</v>
      </c>
      <c r="U4" s="19"/>
      <c r="V4" s="18" t="s">
        <v>252</v>
      </c>
      <c r="W4" s="17" t="s">
        <v>240</v>
      </c>
      <c r="X4" s="17" t="s">
        <v>253</v>
      </c>
      <c r="Y4" s="17" t="s">
        <v>242</v>
      </c>
      <c r="Z4" s="19"/>
      <c r="AA4" s="19"/>
      <c r="AB4" s="17"/>
      <c r="AC4" s="19"/>
    </row>
    <row r="5" customFormat="false" ht="22.35" hidden="false" customHeight="false" outlineLevel="0" collapsed="false">
      <c r="A5" s="10" t="s">
        <v>254</v>
      </c>
      <c r="B5" s="17" t="s">
        <v>165</v>
      </c>
      <c r="C5" s="18" t="s">
        <v>166</v>
      </c>
      <c r="D5" s="17" t="s">
        <v>19</v>
      </c>
      <c r="E5" s="17" t="s">
        <v>229</v>
      </c>
      <c r="F5" s="17" t="s">
        <v>230</v>
      </c>
      <c r="G5" s="17" t="s">
        <v>231</v>
      </c>
      <c r="H5" s="17" t="s">
        <v>28</v>
      </c>
      <c r="I5" s="17" t="s">
        <v>232</v>
      </c>
      <c r="J5" s="17" t="s">
        <v>233</v>
      </c>
      <c r="K5" s="19"/>
      <c r="L5" s="19"/>
      <c r="M5" s="19"/>
      <c r="N5" s="19"/>
      <c r="O5" s="17" t="n">
        <v>0</v>
      </c>
      <c r="P5" s="18" t="s">
        <v>234</v>
      </c>
      <c r="Q5" s="18" t="s">
        <v>235</v>
      </c>
      <c r="R5" s="18" t="s">
        <v>255</v>
      </c>
      <c r="S5" s="17" t="s">
        <v>237</v>
      </c>
      <c r="T5" s="18" t="s">
        <v>256</v>
      </c>
      <c r="U5" s="19"/>
      <c r="V5" s="18" t="s">
        <v>257</v>
      </c>
      <c r="W5" s="17" t="s">
        <v>240</v>
      </c>
      <c r="X5" s="17" t="s">
        <v>258</v>
      </c>
      <c r="Y5" s="17" t="s">
        <v>242</v>
      </c>
      <c r="Z5" s="19"/>
      <c r="AA5" s="19"/>
      <c r="AB5" s="17"/>
      <c r="AC5" s="19"/>
    </row>
    <row r="6" customFormat="false" ht="22.35" hidden="false" customHeight="false" outlineLevel="0" collapsed="false">
      <c r="A6" s="10" t="s">
        <v>259</v>
      </c>
      <c r="B6" s="17" t="s">
        <v>165</v>
      </c>
      <c r="C6" s="18" t="s">
        <v>166</v>
      </c>
      <c r="D6" s="17" t="s">
        <v>19</v>
      </c>
      <c r="E6" s="17" t="s">
        <v>229</v>
      </c>
      <c r="F6" s="17" t="s">
        <v>230</v>
      </c>
      <c r="G6" s="17" t="s">
        <v>231</v>
      </c>
      <c r="H6" s="17" t="s">
        <v>28</v>
      </c>
      <c r="I6" s="17" t="s">
        <v>232</v>
      </c>
      <c r="J6" s="17" t="s">
        <v>233</v>
      </c>
      <c r="K6" s="19"/>
      <c r="L6" s="19"/>
      <c r="M6" s="19"/>
      <c r="N6" s="19"/>
      <c r="O6" s="17" t="n">
        <v>0</v>
      </c>
      <c r="P6" s="18" t="s">
        <v>234</v>
      </c>
      <c r="Q6" s="18" t="s">
        <v>235</v>
      </c>
      <c r="R6" s="18" t="s">
        <v>260</v>
      </c>
      <c r="S6" s="17" t="s">
        <v>243</v>
      </c>
      <c r="T6" s="18" t="s">
        <v>261</v>
      </c>
      <c r="U6" s="19"/>
      <c r="V6" s="18" t="s">
        <v>262</v>
      </c>
      <c r="W6" s="17" t="s">
        <v>240</v>
      </c>
      <c r="X6" s="17" t="s">
        <v>263</v>
      </c>
      <c r="Y6" s="17" t="s">
        <v>242</v>
      </c>
      <c r="Z6" s="19"/>
      <c r="AA6" s="19"/>
      <c r="AB6" s="17"/>
      <c r="AC6" s="19"/>
    </row>
    <row r="7" customFormat="false" ht="22.35" hidden="false" customHeight="false" outlineLevel="0" collapsed="false">
      <c r="A7" s="10" t="s">
        <v>264</v>
      </c>
      <c r="B7" s="17" t="s">
        <v>165</v>
      </c>
      <c r="C7" s="18" t="s">
        <v>166</v>
      </c>
      <c r="D7" s="17" t="s">
        <v>19</v>
      </c>
      <c r="E7" s="17" t="s">
        <v>229</v>
      </c>
      <c r="F7" s="17" t="s">
        <v>230</v>
      </c>
      <c r="G7" s="17" t="s">
        <v>231</v>
      </c>
      <c r="H7" s="17" t="s">
        <v>28</v>
      </c>
      <c r="I7" s="17" t="s">
        <v>232</v>
      </c>
      <c r="J7" s="17" t="s">
        <v>233</v>
      </c>
      <c r="K7" s="19"/>
      <c r="L7" s="19"/>
      <c r="M7" s="19"/>
      <c r="N7" s="19"/>
      <c r="O7" s="17" t="n">
        <v>0</v>
      </c>
      <c r="P7" s="18" t="s">
        <v>234</v>
      </c>
      <c r="Q7" s="18" t="s">
        <v>235</v>
      </c>
      <c r="R7" s="18" t="s">
        <v>265</v>
      </c>
      <c r="S7" s="17" t="s">
        <v>243</v>
      </c>
      <c r="T7" s="18" t="s">
        <v>266</v>
      </c>
      <c r="U7" s="19"/>
      <c r="V7" s="18" t="s">
        <v>267</v>
      </c>
      <c r="W7" s="17" t="s">
        <v>240</v>
      </c>
      <c r="X7" s="17" t="s">
        <v>268</v>
      </c>
      <c r="Y7" s="17" t="s">
        <v>242</v>
      </c>
      <c r="Z7" s="19"/>
      <c r="AA7" s="19"/>
      <c r="AB7" s="17"/>
      <c r="AC7" s="19"/>
    </row>
    <row r="8" customFormat="false" ht="22.35" hidden="false" customHeight="false" outlineLevel="0" collapsed="false">
      <c r="A8" s="10" t="s">
        <v>269</v>
      </c>
      <c r="B8" s="17" t="s">
        <v>165</v>
      </c>
      <c r="C8" s="18" t="s">
        <v>166</v>
      </c>
      <c r="D8" s="17" t="s">
        <v>19</v>
      </c>
      <c r="E8" s="17" t="s">
        <v>244</v>
      </c>
      <c r="F8" s="17" t="s">
        <v>230</v>
      </c>
      <c r="G8" s="17" t="s">
        <v>231</v>
      </c>
      <c r="H8" s="17" t="s">
        <v>28</v>
      </c>
      <c r="I8" s="17" t="s">
        <v>232</v>
      </c>
      <c r="J8" s="17" t="s">
        <v>233</v>
      </c>
      <c r="K8" s="19"/>
      <c r="L8" s="19"/>
      <c r="M8" s="19"/>
      <c r="N8" s="19"/>
      <c r="O8" s="17" t="n">
        <v>0</v>
      </c>
      <c r="P8" s="18" t="s">
        <v>234</v>
      </c>
      <c r="Q8" s="18" t="s">
        <v>270</v>
      </c>
      <c r="R8" s="18" t="s">
        <v>271</v>
      </c>
      <c r="S8" s="17" t="s">
        <v>272</v>
      </c>
      <c r="T8" s="18" t="s">
        <v>273</v>
      </c>
      <c r="U8" s="19"/>
      <c r="V8" s="18" t="s">
        <v>274</v>
      </c>
      <c r="W8" s="17" t="s">
        <v>240</v>
      </c>
      <c r="X8" s="17" t="s">
        <v>275</v>
      </c>
      <c r="Y8" s="17" t="s">
        <v>242</v>
      </c>
      <c r="Z8" s="19"/>
      <c r="AA8" s="19"/>
      <c r="AB8" s="17"/>
      <c r="AC8" s="19"/>
    </row>
    <row r="9" customFormat="false" ht="22.35" hidden="false" customHeight="false" outlineLevel="0" collapsed="false">
      <c r="A9" s="10" t="s">
        <v>276</v>
      </c>
      <c r="B9" s="17" t="s">
        <v>165</v>
      </c>
      <c r="C9" s="18" t="s">
        <v>166</v>
      </c>
      <c r="D9" s="17" t="s">
        <v>19</v>
      </c>
      <c r="E9" s="17" t="s">
        <v>229</v>
      </c>
      <c r="F9" s="17" t="s">
        <v>230</v>
      </c>
      <c r="G9" s="17" t="s">
        <v>231</v>
      </c>
      <c r="H9" s="17" t="s">
        <v>28</v>
      </c>
      <c r="I9" s="17" t="s">
        <v>277</v>
      </c>
      <c r="J9" s="17" t="s">
        <v>233</v>
      </c>
      <c r="K9" s="19"/>
      <c r="L9" s="19"/>
      <c r="M9" s="19"/>
      <c r="N9" s="19"/>
      <c r="O9" s="17" t="n">
        <v>0</v>
      </c>
      <c r="P9" s="18" t="s">
        <v>234</v>
      </c>
      <c r="Q9" s="18" t="s">
        <v>270</v>
      </c>
      <c r="R9" s="18" t="s">
        <v>278</v>
      </c>
      <c r="S9" s="17" t="s">
        <v>269</v>
      </c>
      <c r="T9" s="18" t="s">
        <v>279</v>
      </c>
      <c r="U9" s="19"/>
      <c r="V9" s="18" t="s">
        <v>280</v>
      </c>
      <c r="W9" s="17" t="s">
        <v>240</v>
      </c>
      <c r="X9" s="17" t="s">
        <v>281</v>
      </c>
      <c r="Y9" s="17" t="s">
        <v>242</v>
      </c>
      <c r="Z9" s="19"/>
      <c r="AA9" s="19"/>
      <c r="AB9" s="17"/>
      <c r="AC9" s="19"/>
    </row>
    <row r="10" customFormat="false" ht="22.35" hidden="false" customHeight="false" outlineLevel="0" collapsed="false">
      <c r="A10" s="10" t="s">
        <v>282</v>
      </c>
      <c r="B10" s="17" t="s">
        <v>165</v>
      </c>
      <c r="C10" s="18" t="s">
        <v>166</v>
      </c>
      <c r="D10" s="17" t="s">
        <v>19</v>
      </c>
      <c r="E10" s="17" t="s">
        <v>229</v>
      </c>
      <c r="F10" s="17" t="s">
        <v>230</v>
      </c>
      <c r="G10" s="17" t="s">
        <v>231</v>
      </c>
      <c r="H10" s="17" t="s">
        <v>28</v>
      </c>
      <c r="I10" s="17" t="s">
        <v>283</v>
      </c>
      <c r="J10" s="17" t="s">
        <v>233</v>
      </c>
      <c r="K10" s="19"/>
      <c r="L10" s="19"/>
      <c r="M10" s="19"/>
      <c r="N10" s="19"/>
      <c r="O10" s="17" t="n">
        <v>0</v>
      </c>
      <c r="P10" s="18" t="s">
        <v>234</v>
      </c>
      <c r="Q10" s="18" t="s">
        <v>270</v>
      </c>
      <c r="R10" s="18" t="s">
        <v>284</v>
      </c>
      <c r="S10" s="17" t="s">
        <v>276</v>
      </c>
      <c r="T10" s="18" t="s">
        <v>285</v>
      </c>
      <c r="U10" s="19"/>
      <c r="V10" s="18" t="s">
        <v>286</v>
      </c>
      <c r="W10" s="17" t="s">
        <v>240</v>
      </c>
      <c r="X10" s="17" t="s">
        <v>287</v>
      </c>
      <c r="Y10" s="17" t="s">
        <v>242</v>
      </c>
      <c r="Z10" s="19"/>
      <c r="AA10" s="19"/>
      <c r="AB10" s="17"/>
      <c r="AC10" s="19"/>
    </row>
    <row r="11" customFormat="false" ht="22.35" hidden="false" customHeight="false" outlineLevel="0" collapsed="false">
      <c r="A11" s="10" t="s">
        <v>288</v>
      </c>
      <c r="B11" s="17" t="s">
        <v>165</v>
      </c>
      <c r="C11" s="18" t="s">
        <v>166</v>
      </c>
      <c r="D11" s="17" t="s">
        <v>19</v>
      </c>
      <c r="E11" s="17" t="s">
        <v>75</v>
      </c>
      <c r="F11" s="17" t="s">
        <v>230</v>
      </c>
      <c r="G11" s="17" t="s">
        <v>231</v>
      </c>
      <c r="H11" s="17" t="s">
        <v>28</v>
      </c>
      <c r="I11" s="17" t="s">
        <v>289</v>
      </c>
      <c r="J11" s="17" t="s">
        <v>233</v>
      </c>
      <c r="K11" s="19"/>
      <c r="L11" s="19"/>
      <c r="M11" s="19"/>
      <c r="N11" s="19"/>
      <c r="O11" s="17" t="n">
        <v>1</v>
      </c>
      <c r="P11" s="18" t="s">
        <v>290</v>
      </c>
      <c r="Q11" s="18" t="s">
        <v>291</v>
      </c>
      <c r="R11" s="18" t="s">
        <v>292</v>
      </c>
      <c r="S11" s="17" t="s">
        <v>228</v>
      </c>
      <c r="T11" s="18" t="s">
        <v>293</v>
      </c>
      <c r="U11" s="19"/>
      <c r="V11" s="18" t="s">
        <v>294</v>
      </c>
      <c r="W11" s="17" t="s">
        <v>240</v>
      </c>
      <c r="X11" s="17" t="s">
        <v>295</v>
      </c>
      <c r="Y11" s="17" t="s">
        <v>242</v>
      </c>
      <c r="Z11" s="19"/>
      <c r="AA11" s="19"/>
      <c r="AB11" s="17"/>
      <c r="AC11" s="19"/>
    </row>
    <row r="12" customFormat="false" ht="22.35" hidden="false" customHeight="false" outlineLevel="0" collapsed="false">
      <c r="A12" s="10" t="s">
        <v>296</v>
      </c>
      <c r="B12" s="17" t="s">
        <v>165</v>
      </c>
      <c r="C12" s="18" t="s">
        <v>166</v>
      </c>
      <c r="D12" s="17" t="s">
        <v>19</v>
      </c>
      <c r="E12" s="17" t="s">
        <v>75</v>
      </c>
      <c r="F12" s="17" t="s">
        <v>230</v>
      </c>
      <c r="G12" s="17" t="s">
        <v>231</v>
      </c>
      <c r="H12" s="17" t="s">
        <v>28</v>
      </c>
      <c r="I12" s="17" t="s">
        <v>289</v>
      </c>
      <c r="J12" s="17" t="s">
        <v>233</v>
      </c>
      <c r="K12" s="19"/>
      <c r="L12" s="19"/>
      <c r="M12" s="19"/>
      <c r="N12" s="19"/>
      <c r="O12" s="17" t="n">
        <v>1</v>
      </c>
      <c r="P12" s="18" t="s">
        <v>290</v>
      </c>
      <c r="Q12" s="18" t="s">
        <v>291</v>
      </c>
      <c r="R12" s="18" t="s">
        <v>297</v>
      </c>
      <c r="S12" s="17" t="s">
        <v>288</v>
      </c>
      <c r="T12" s="18" t="s">
        <v>298</v>
      </c>
      <c r="U12" s="19"/>
      <c r="V12" s="18" t="s">
        <v>299</v>
      </c>
      <c r="W12" s="17" t="s">
        <v>240</v>
      </c>
      <c r="X12" s="17" t="s">
        <v>300</v>
      </c>
      <c r="Y12" s="17" t="s">
        <v>242</v>
      </c>
      <c r="Z12" s="19"/>
      <c r="AA12" s="19"/>
      <c r="AB12" s="17"/>
      <c r="AC12" s="19"/>
    </row>
    <row r="13" customFormat="false" ht="22.35" hidden="false" customHeight="false" outlineLevel="0" collapsed="false">
      <c r="A13" s="10" t="s">
        <v>301</v>
      </c>
      <c r="B13" s="17" t="s">
        <v>165</v>
      </c>
      <c r="C13" s="18" t="s">
        <v>166</v>
      </c>
      <c r="D13" s="17" t="s">
        <v>19</v>
      </c>
      <c r="E13" s="17" t="s">
        <v>75</v>
      </c>
      <c r="F13" s="17" t="s">
        <v>230</v>
      </c>
      <c r="G13" s="17" t="s">
        <v>231</v>
      </c>
      <c r="H13" s="17" t="s">
        <v>28</v>
      </c>
      <c r="I13" s="17" t="s">
        <v>289</v>
      </c>
      <c r="J13" s="17" t="s">
        <v>233</v>
      </c>
      <c r="K13" s="19"/>
      <c r="L13" s="19"/>
      <c r="M13" s="19"/>
      <c r="N13" s="19"/>
      <c r="O13" s="17" t="n">
        <v>1</v>
      </c>
      <c r="P13" s="18" t="s">
        <v>290</v>
      </c>
      <c r="Q13" s="18" t="s">
        <v>291</v>
      </c>
      <c r="R13" s="18" t="s">
        <v>302</v>
      </c>
      <c r="S13" s="17" t="s">
        <v>288</v>
      </c>
      <c r="T13" s="18" t="s">
        <v>303</v>
      </c>
      <c r="U13" s="19"/>
      <c r="V13" s="18" t="s">
        <v>304</v>
      </c>
      <c r="W13" s="17" t="s">
        <v>240</v>
      </c>
      <c r="X13" s="17" t="s">
        <v>295</v>
      </c>
      <c r="Y13" s="17" t="s">
        <v>242</v>
      </c>
      <c r="Z13" s="19"/>
      <c r="AA13" s="19"/>
      <c r="AB13" s="17"/>
      <c r="AC13" s="19"/>
    </row>
    <row r="14" customFormat="false" ht="22.35" hidden="false" customHeight="false" outlineLevel="0" collapsed="false">
      <c r="A14" s="10" t="s">
        <v>305</v>
      </c>
      <c r="B14" s="17" t="s">
        <v>165</v>
      </c>
      <c r="C14" s="18" t="s">
        <v>166</v>
      </c>
      <c r="D14" s="17" t="s">
        <v>19</v>
      </c>
      <c r="E14" s="17" t="s">
        <v>75</v>
      </c>
      <c r="F14" s="17" t="s">
        <v>230</v>
      </c>
      <c r="G14" s="17" t="s">
        <v>231</v>
      </c>
      <c r="H14" s="17" t="s">
        <v>28</v>
      </c>
      <c r="I14" s="17" t="s">
        <v>289</v>
      </c>
      <c r="J14" s="17" t="s">
        <v>233</v>
      </c>
      <c r="K14" s="19"/>
      <c r="L14" s="19"/>
      <c r="M14" s="19"/>
      <c r="N14" s="19"/>
      <c r="O14" s="17" t="n">
        <v>1</v>
      </c>
      <c r="P14" s="18" t="s">
        <v>290</v>
      </c>
      <c r="Q14" s="18" t="s">
        <v>291</v>
      </c>
      <c r="R14" s="18" t="s">
        <v>306</v>
      </c>
      <c r="S14" s="17" t="s">
        <v>296</v>
      </c>
      <c r="T14" s="18" t="s">
        <v>307</v>
      </c>
      <c r="U14" s="19"/>
      <c r="V14" s="18" t="s">
        <v>308</v>
      </c>
      <c r="W14" s="17" t="s">
        <v>240</v>
      </c>
      <c r="X14" s="17" t="s">
        <v>295</v>
      </c>
      <c r="Y14" s="17" t="s">
        <v>242</v>
      </c>
      <c r="Z14" s="19"/>
      <c r="AA14" s="19"/>
      <c r="AB14" s="17"/>
      <c r="AC14" s="19"/>
    </row>
    <row r="15" customFormat="false" ht="22.35" hidden="false" customHeight="false" outlineLevel="0" collapsed="false">
      <c r="A15" s="10" t="s">
        <v>309</v>
      </c>
      <c r="B15" s="17" t="s">
        <v>165</v>
      </c>
      <c r="C15" s="18" t="s">
        <v>166</v>
      </c>
      <c r="D15" s="17" t="s">
        <v>19</v>
      </c>
      <c r="E15" s="17" t="s">
        <v>75</v>
      </c>
      <c r="F15" s="17" t="s">
        <v>230</v>
      </c>
      <c r="G15" s="17" t="s">
        <v>231</v>
      </c>
      <c r="H15" s="17" t="s">
        <v>28</v>
      </c>
      <c r="I15" s="17" t="s">
        <v>289</v>
      </c>
      <c r="J15" s="17" t="s">
        <v>233</v>
      </c>
      <c r="K15" s="19"/>
      <c r="L15" s="19"/>
      <c r="M15" s="19"/>
      <c r="N15" s="19"/>
      <c r="O15" s="17" t="n">
        <v>1</v>
      </c>
      <c r="P15" s="18" t="s">
        <v>290</v>
      </c>
      <c r="Q15" s="18" t="s">
        <v>291</v>
      </c>
      <c r="R15" s="18" t="s">
        <v>310</v>
      </c>
      <c r="S15" s="17" t="s">
        <v>311</v>
      </c>
      <c r="T15" s="18" t="s">
        <v>312</v>
      </c>
      <c r="U15" s="19"/>
      <c r="V15" s="18" t="s">
        <v>313</v>
      </c>
      <c r="W15" s="17" t="s">
        <v>240</v>
      </c>
      <c r="X15" s="17" t="s">
        <v>314</v>
      </c>
      <c r="Y15" s="17" t="s">
        <v>242</v>
      </c>
      <c r="Z15" s="19"/>
      <c r="AA15" s="19"/>
      <c r="AB15" s="17"/>
      <c r="AC15" s="19"/>
    </row>
    <row r="16" customFormat="false" ht="22.35" hidden="false" customHeight="false" outlineLevel="0" collapsed="false">
      <c r="A16" s="10" t="s">
        <v>315</v>
      </c>
      <c r="B16" s="17" t="s">
        <v>165</v>
      </c>
      <c r="C16" s="18" t="s">
        <v>166</v>
      </c>
      <c r="D16" s="17" t="s">
        <v>19</v>
      </c>
      <c r="E16" s="17" t="s">
        <v>75</v>
      </c>
      <c r="F16" s="17" t="s">
        <v>230</v>
      </c>
      <c r="G16" s="17" t="s">
        <v>231</v>
      </c>
      <c r="H16" s="17" t="s">
        <v>28</v>
      </c>
      <c r="I16" s="17" t="s">
        <v>316</v>
      </c>
      <c r="J16" s="17" t="s">
        <v>233</v>
      </c>
      <c r="K16" s="19"/>
      <c r="L16" s="19"/>
      <c r="M16" s="19"/>
      <c r="N16" s="19"/>
      <c r="O16" s="17" t="n">
        <v>1</v>
      </c>
      <c r="P16" s="18" t="s">
        <v>290</v>
      </c>
      <c r="Q16" s="18" t="s">
        <v>317</v>
      </c>
      <c r="R16" s="18" t="s">
        <v>318</v>
      </c>
      <c r="S16" s="17" t="s">
        <v>249</v>
      </c>
      <c r="T16" s="18" t="s">
        <v>319</v>
      </c>
      <c r="U16" s="19"/>
      <c r="V16" s="18" t="s">
        <v>320</v>
      </c>
      <c r="W16" s="17" t="s">
        <v>240</v>
      </c>
      <c r="X16" s="17" t="s">
        <v>321</v>
      </c>
      <c r="Y16" s="17" t="s">
        <v>242</v>
      </c>
      <c r="Z16" s="19"/>
      <c r="AA16" s="19"/>
      <c r="AB16" s="17"/>
      <c r="AC16" s="19"/>
    </row>
    <row r="17" customFormat="false" ht="22.35" hidden="false" customHeight="false" outlineLevel="0" collapsed="false">
      <c r="A17" s="10" t="s">
        <v>322</v>
      </c>
      <c r="B17" s="17" t="s">
        <v>165</v>
      </c>
      <c r="C17" s="18" t="s">
        <v>166</v>
      </c>
      <c r="D17" s="17" t="s">
        <v>19</v>
      </c>
      <c r="E17" s="17" t="s">
        <v>75</v>
      </c>
      <c r="F17" s="17" t="s">
        <v>230</v>
      </c>
      <c r="G17" s="17" t="s">
        <v>231</v>
      </c>
      <c r="H17" s="17" t="s">
        <v>28</v>
      </c>
      <c r="I17" s="17" t="s">
        <v>316</v>
      </c>
      <c r="J17" s="17" t="s">
        <v>233</v>
      </c>
      <c r="K17" s="19"/>
      <c r="L17" s="19"/>
      <c r="M17" s="19"/>
      <c r="N17" s="19"/>
      <c r="O17" s="17" t="n">
        <v>1</v>
      </c>
      <c r="P17" s="18" t="s">
        <v>290</v>
      </c>
      <c r="Q17" s="18" t="s">
        <v>317</v>
      </c>
      <c r="R17" s="18" t="s">
        <v>323</v>
      </c>
      <c r="S17" s="17" t="s">
        <v>249</v>
      </c>
      <c r="T17" s="18" t="s">
        <v>324</v>
      </c>
      <c r="U17" s="19"/>
      <c r="V17" s="18" t="s">
        <v>325</v>
      </c>
      <c r="W17" s="17" t="s">
        <v>240</v>
      </c>
      <c r="X17" s="17" t="s">
        <v>326</v>
      </c>
      <c r="Y17" s="17" t="s">
        <v>242</v>
      </c>
      <c r="Z17" s="19"/>
      <c r="AA17" s="19"/>
      <c r="AB17" s="17"/>
      <c r="AC17" s="19"/>
    </row>
    <row r="18" customFormat="false" ht="32.8" hidden="false" customHeight="false" outlineLevel="0" collapsed="false">
      <c r="A18" s="10" t="s">
        <v>327</v>
      </c>
      <c r="B18" s="17" t="s">
        <v>165</v>
      </c>
      <c r="C18" s="18" t="s">
        <v>166</v>
      </c>
      <c r="D18" s="17" t="s">
        <v>19</v>
      </c>
      <c r="E18" s="17" t="s">
        <v>229</v>
      </c>
      <c r="F18" s="17" t="s">
        <v>230</v>
      </c>
      <c r="G18" s="17" t="s">
        <v>231</v>
      </c>
      <c r="H18" s="17" t="s">
        <v>28</v>
      </c>
      <c r="I18" s="17" t="s">
        <v>316</v>
      </c>
      <c r="J18" s="17" t="s">
        <v>233</v>
      </c>
      <c r="K18" s="19"/>
      <c r="L18" s="19"/>
      <c r="M18" s="19"/>
      <c r="N18" s="19"/>
      <c r="O18" s="17" t="n">
        <v>1</v>
      </c>
      <c r="P18" s="18" t="s">
        <v>290</v>
      </c>
      <c r="Q18" s="18" t="s">
        <v>317</v>
      </c>
      <c r="R18" s="18" t="s">
        <v>328</v>
      </c>
      <c r="S18" s="17" t="s">
        <v>288</v>
      </c>
      <c r="T18" s="18" t="s">
        <v>329</v>
      </c>
      <c r="U18" s="19"/>
      <c r="V18" s="18" t="s">
        <v>330</v>
      </c>
      <c r="W18" s="17" t="s">
        <v>240</v>
      </c>
      <c r="X18" s="17" t="s">
        <v>331</v>
      </c>
      <c r="Y18" s="17" t="s">
        <v>242</v>
      </c>
      <c r="Z18" s="19"/>
      <c r="AA18" s="19"/>
      <c r="AB18" s="17"/>
      <c r="AC18" s="19"/>
    </row>
    <row r="19" customFormat="false" ht="22.35" hidden="false" customHeight="false" outlineLevel="0" collapsed="false">
      <c r="A19" s="10" t="s">
        <v>332</v>
      </c>
      <c r="B19" s="17" t="s">
        <v>165</v>
      </c>
      <c r="C19" s="18" t="s">
        <v>166</v>
      </c>
      <c r="D19" s="17" t="s">
        <v>19</v>
      </c>
      <c r="E19" s="17" t="s">
        <v>75</v>
      </c>
      <c r="F19" s="17" t="s">
        <v>230</v>
      </c>
      <c r="G19" s="17" t="s">
        <v>231</v>
      </c>
      <c r="H19" s="17" t="s">
        <v>28</v>
      </c>
      <c r="I19" s="17" t="s">
        <v>333</v>
      </c>
      <c r="J19" s="17" t="s">
        <v>233</v>
      </c>
      <c r="K19" s="19"/>
      <c r="L19" s="19"/>
      <c r="M19" s="19"/>
      <c r="N19" s="19"/>
      <c r="O19" s="17" t="n">
        <v>1</v>
      </c>
      <c r="P19" s="18" t="s">
        <v>290</v>
      </c>
      <c r="Q19" s="18" t="s">
        <v>317</v>
      </c>
      <c r="R19" s="18" t="s">
        <v>334</v>
      </c>
      <c r="S19" s="17" t="s">
        <v>288</v>
      </c>
      <c r="T19" s="18" t="s">
        <v>335</v>
      </c>
      <c r="U19" s="19"/>
      <c r="V19" s="18" t="s">
        <v>336</v>
      </c>
      <c r="W19" s="17" t="s">
        <v>240</v>
      </c>
      <c r="X19" s="17" t="s">
        <v>337</v>
      </c>
      <c r="Y19" s="17" t="s">
        <v>242</v>
      </c>
      <c r="Z19" s="19"/>
      <c r="AA19" s="19"/>
      <c r="AB19" s="17"/>
      <c r="AC19" s="19"/>
    </row>
    <row r="20" customFormat="false" ht="22.35" hidden="false" customHeight="false" outlineLevel="0" collapsed="false">
      <c r="A20" s="10" t="s">
        <v>338</v>
      </c>
      <c r="B20" s="17" t="s">
        <v>165</v>
      </c>
      <c r="C20" s="18" t="s">
        <v>166</v>
      </c>
      <c r="D20" s="17" t="s">
        <v>19</v>
      </c>
      <c r="E20" s="17" t="s">
        <v>75</v>
      </c>
      <c r="F20" s="17" t="s">
        <v>230</v>
      </c>
      <c r="G20" s="17" t="s">
        <v>231</v>
      </c>
      <c r="H20" s="17" t="s">
        <v>28</v>
      </c>
      <c r="I20" s="17" t="s">
        <v>283</v>
      </c>
      <c r="J20" s="17" t="s">
        <v>233</v>
      </c>
      <c r="K20" s="19"/>
      <c r="L20" s="19"/>
      <c r="M20" s="19"/>
      <c r="N20" s="19"/>
      <c r="O20" s="17" t="n">
        <v>1</v>
      </c>
      <c r="P20" s="18" t="s">
        <v>290</v>
      </c>
      <c r="Q20" s="18" t="s">
        <v>317</v>
      </c>
      <c r="R20" s="18" t="s">
        <v>339</v>
      </c>
      <c r="S20" s="17" t="s">
        <v>332</v>
      </c>
      <c r="T20" s="18" t="s">
        <v>285</v>
      </c>
      <c r="U20" s="19"/>
      <c r="V20" s="18" t="s">
        <v>286</v>
      </c>
      <c r="W20" s="17" t="s">
        <v>240</v>
      </c>
      <c r="X20" s="17" t="s">
        <v>287</v>
      </c>
      <c r="Y20" s="17" t="s">
        <v>242</v>
      </c>
      <c r="Z20" s="19"/>
      <c r="AA20" s="19"/>
      <c r="AB20" s="17"/>
      <c r="AC20" s="19"/>
    </row>
    <row r="21" customFormat="false" ht="32.8" hidden="false" customHeight="false" outlineLevel="0" collapsed="false">
      <c r="A21" s="10" t="s">
        <v>340</v>
      </c>
      <c r="B21" s="17" t="s">
        <v>165</v>
      </c>
      <c r="C21" s="18" t="s">
        <v>166</v>
      </c>
      <c r="D21" s="17" t="s">
        <v>19</v>
      </c>
      <c r="E21" s="17" t="s">
        <v>244</v>
      </c>
      <c r="F21" s="17" t="s">
        <v>230</v>
      </c>
      <c r="G21" s="17" t="s">
        <v>231</v>
      </c>
      <c r="H21" s="17" t="s">
        <v>28</v>
      </c>
      <c r="I21" s="17" t="s">
        <v>333</v>
      </c>
      <c r="J21" s="17" t="s">
        <v>233</v>
      </c>
      <c r="K21" s="19"/>
      <c r="L21" s="19"/>
      <c r="M21" s="19"/>
      <c r="N21" s="19"/>
      <c r="O21" s="17" t="n">
        <v>1</v>
      </c>
      <c r="P21" s="18" t="s">
        <v>341</v>
      </c>
      <c r="Q21" s="18" t="s">
        <v>342</v>
      </c>
      <c r="R21" s="18" t="s">
        <v>343</v>
      </c>
      <c r="S21" s="17" t="s">
        <v>309</v>
      </c>
      <c r="T21" s="18" t="s">
        <v>344</v>
      </c>
      <c r="U21" s="19"/>
      <c r="V21" s="18" t="s">
        <v>345</v>
      </c>
      <c r="W21" s="17" t="s">
        <v>240</v>
      </c>
      <c r="X21" s="17" t="s">
        <v>346</v>
      </c>
      <c r="Y21" s="17" t="s">
        <v>242</v>
      </c>
      <c r="Z21" s="19"/>
      <c r="AA21" s="19"/>
      <c r="AB21" s="17"/>
      <c r="AC21" s="19"/>
    </row>
    <row r="22" customFormat="false" ht="22.35" hidden="false" customHeight="false" outlineLevel="0" collapsed="false">
      <c r="A22" s="10" t="s">
        <v>347</v>
      </c>
      <c r="B22" s="17" t="s">
        <v>165</v>
      </c>
      <c r="C22" s="18" t="s">
        <v>166</v>
      </c>
      <c r="D22" s="17" t="s">
        <v>19</v>
      </c>
      <c r="E22" s="17" t="s">
        <v>75</v>
      </c>
      <c r="F22" s="17" t="s">
        <v>230</v>
      </c>
      <c r="G22" s="17" t="s">
        <v>231</v>
      </c>
      <c r="H22" s="17" t="s">
        <v>28</v>
      </c>
      <c r="I22" s="17" t="s">
        <v>333</v>
      </c>
      <c r="J22" s="17" t="s">
        <v>233</v>
      </c>
      <c r="K22" s="19"/>
      <c r="L22" s="19"/>
      <c r="M22" s="19"/>
      <c r="N22" s="19"/>
      <c r="O22" s="17" t="n">
        <v>1</v>
      </c>
      <c r="P22" s="18" t="s">
        <v>341</v>
      </c>
      <c r="Q22" s="18" t="s">
        <v>342</v>
      </c>
      <c r="R22" s="18" t="s">
        <v>348</v>
      </c>
      <c r="S22" s="17" t="s">
        <v>288</v>
      </c>
      <c r="T22" s="18" t="s">
        <v>349</v>
      </c>
      <c r="U22" s="19"/>
      <c r="V22" s="18" t="s">
        <v>350</v>
      </c>
      <c r="W22" s="17" t="s">
        <v>240</v>
      </c>
      <c r="X22" s="17" t="s">
        <v>351</v>
      </c>
      <c r="Y22" s="17" t="s">
        <v>242</v>
      </c>
      <c r="Z22" s="19"/>
      <c r="AA22" s="19"/>
      <c r="AB22" s="17"/>
      <c r="AC22" s="19"/>
    </row>
    <row r="23" customFormat="false" ht="22.35" hidden="false" customHeight="false" outlineLevel="0" collapsed="false">
      <c r="A23" s="10" t="s">
        <v>352</v>
      </c>
      <c r="B23" s="17" t="s">
        <v>165</v>
      </c>
      <c r="C23" s="18" t="s">
        <v>166</v>
      </c>
      <c r="D23" s="17" t="s">
        <v>19</v>
      </c>
      <c r="E23" s="17" t="s">
        <v>229</v>
      </c>
      <c r="F23" s="17" t="s">
        <v>230</v>
      </c>
      <c r="G23" s="17" t="s">
        <v>231</v>
      </c>
      <c r="H23" s="17" t="s">
        <v>28</v>
      </c>
      <c r="I23" s="17" t="s">
        <v>316</v>
      </c>
      <c r="J23" s="17" t="s">
        <v>233</v>
      </c>
      <c r="K23" s="19"/>
      <c r="L23" s="19"/>
      <c r="M23" s="19"/>
      <c r="N23" s="19"/>
      <c r="O23" s="17" t="n">
        <v>1</v>
      </c>
      <c r="P23" s="18" t="s">
        <v>341</v>
      </c>
      <c r="Q23" s="18" t="s">
        <v>342</v>
      </c>
      <c r="R23" s="18" t="s">
        <v>353</v>
      </c>
      <c r="S23" s="17" t="s">
        <v>288</v>
      </c>
      <c r="T23" s="18" t="s">
        <v>354</v>
      </c>
      <c r="U23" s="19"/>
      <c r="V23" s="18" t="s">
        <v>355</v>
      </c>
      <c r="W23" s="17" t="s">
        <v>240</v>
      </c>
      <c r="X23" s="17" t="s">
        <v>356</v>
      </c>
      <c r="Y23" s="17" t="s">
        <v>242</v>
      </c>
      <c r="Z23" s="19"/>
      <c r="AA23" s="19"/>
      <c r="AB23" s="17"/>
      <c r="AC23" s="19"/>
    </row>
    <row r="24" customFormat="false" ht="22.35" hidden="false" customHeight="false" outlineLevel="0" collapsed="false">
      <c r="A24" s="10" t="s">
        <v>357</v>
      </c>
      <c r="B24" s="17" t="s">
        <v>165</v>
      </c>
      <c r="C24" s="18" t="s">
        <v>166</v>
      </c>
      <c r="D24" s="17" t="s">
        <v>19</v>
      </c>
      <c r="E24" s="17" t="s">
        <v>75</v>
      </c>
      <c r="F24" s="17" t="s">
        <v>230</v>
      </c>
      <c r="G24" s="17" t="s">
        <v>231</v>
      </c>
      <c r="H24" s="17" t="s">
        <v>28</v>
      </c>
      <c r="I24" s="17" t="s">
        <v>289</v>
      </c>
      <c r="J24" s="17" t="s">
        <v>233</v>
      </c>
      <c r="K24" s="19"/>
      <c r="L24" s="19"/>
      <c r="M24" s="19"/>
      <c r="N24" s="19"/>
      <c r="O24" s="17" t="n">
        <v>1</v>
      </c>
      <c r="P24" s="18" t="s">
        <v>341</v>
      </c>
      <c r="Q24" s="18" t="s">
        <v>358</v>
      </c>
      <c r="R24" s="18" t="s">
        <v>359</v>
      </c>
      <c r="S24" s="17" t="s">
        <v>288</v>
      </c>
      <c r="T24" s="18" t="s">
        <v>360</v>
      </c>
      <c r="U24" s="19"/>
      <c r="V24" s="18" t="s">
        <v>361</v>
      </c>
      <c r="W24" s="17" t="s">
        <v>240</v>
      </c>
      <c r="X24" s="17" t="s">
        <v>362</v>
      </c>
      <c r="Y24" s="17" t="s">
        <v>242</v>
      </c>
      <c r="Z24" s="19"/>
      <c r="AA24" s="19"/>
      <c r="AB24" s="17"/>
      <c r="AC24" s="19"/>
    </row>
    <row r="25" customFormat="false" ht="22.35" hidden="false" customHeight="false" outlineLevel="0" collapsed="false">
      <c r="A25" s="10" t="s">
        <v>363</v>
      </c>
      <c r="B25" s="17" t="s">
        <v>165</v>
      </c>
      <c r="C25" s="18" t="s">
        <v>166</v>
      </c>
      <c r="D25" s="17" t="s">
        <v>19</v>
      </c>
      <c r="E25" s="17" t="s">
        <v>75</v>
      </c>
      <c r="F25" s="17" t="s">
        <v>230</v>
      </c>
      <c r="G25" s="17" t="s">
        <v>231</v>
      </c>
      <c r="H25" s="17" t="s">
        <v>28</v>
      </c>
      <c r="I25" s="17" t="s">
        <v>289</v>
      </c>
      <c r="J25" s="17" t="s">
        <v>233</v>
      </c>
      <c r="K25" s="19"/>
      <c r="L25" s="19"/>
      <c r="M25" s="19"/>
      <c r="N25" s="19"/>
      <c r="O25" s="17" t="n">
        <v>1</v>
      </c>
      <c r="P25" s="18" t="s">
        <v>341</v>
      </c>
      <c r="Q25" s="18" t="s">
        <v>358</v>
      </c>
      <c r="R25" s="18" t="s">
        <v>364</v>
      </c>
      <c r="S25" s="17" t="s">
        <v>288</v>
      </c>
      <c r="T25" s="18" t="s">
        <v>365</v>
      </c>
      <c r="U25" s="19"/>
      <c r="V25" s="18" t="s">
        <v>366</v>
      </c>
      <c r="W25" s="17" t="s">
        <v>240</v>
      </c>
      <c r="X25" s="17" t="s">
        <v>367</v>
      </c>
      <c r="Y25" s="17" t="s">
        <v>242</v>
      </c>
      <c r="Z25" s="19"/>
      <c r="AA25" s="19"/>
      <c r="AB25" s="17"/>
      <c r="AC25" s="19"/>
    </row>
    <row r="26" customFormat="false" ht="22.35" hidden="false" customHeight="false" outlineLevel="0" collapsed="false">
      <c r="A26" s="10" t="s">
        <v>368</v>
      </c>
      <c r="B26" s="17" t="s">
        <v>165</v>
      </c>
      <c r="C26" s="18" t="s">
        <v>166</v>
      </c>
      <c r="D26" s="17" t="s">
        <v>19</v>
      </c>
      <c r="E26" s="17" t="s">
        <v>75</v>
      </c>
      <c r="F26" s="17" t="s">
        <v>230</v>
      </c>
      <c r="G26" s="17" t="s">
        <v>231</v>
      </c>
      <c r="H26" s="17" t="s">
        <v>28</v>
      </c>
      <c r="I26" s="17" t="s">
        <v>369</v>
      </c>
      <c r="J26" s="17" t="s">
        <v>233</v>
      </c>
      <c r="K26" s="19"/>
      <c r="L26" s="19"/>
      <c r="M26" s="19"/>
      <c r="N26" s="19"/>
      <c r="O26" s="17" t="n">
        <v>1</v>
      </c>
      <c r="P26" s="18" t="s">
        <v>341</v>
      </c>
      <c r="Q26" s="18" t="s">
        <v>358</v>
      </c>
      <c r="R26" s="18" t="s">
        <v>370</v>
      </c>
      <c r="S26" s="17" t="s">
        <v>363</v>
      </c>
      <c r="T26" s="18" t="s">
        <v>371</v>
      </c>
      <c r="U26" s="19"/>
      <c r="V26" s="18" t="s">
        <v>372</v>
      </c>
      <c r="W26" s="17" t="s">
        <v>240</v>
      </c>
      <c r="X26" s="17" t="s">
        <v>287</v>
      </c>
      <c r="Y26" s="17" t="s">
        <v>242</v>
      </c>
      <c r="Z26" s="19"/>
      <c r="AA26" s="19"/>
      <c r="AB26" s="17"/>
      <c r="AC26" s="19"/>
    </row>
    <row r="27" customFormat="false" ht="15" hidden="false" customHeight="false" outlineLevel="0" collapsed="false">
      <c r="A27" s="10" t="s">
        <v>373</v>
      </c>
      <c r="B27" s="17" t="s">
        <v>165</v>
      </c>
      <c r="C27" s="18" t="s">
        <v>166</v>
      </c>
      <c r="D27" s="17" t="s">
        <v>19</v>
      </c>
      <c r="E27" s="17" t="s">
        <v>229</v>
      </c>
      <c r="F27" s="17" t="s">
        <v>230</v>
      </c>
      <c r="G27" s="17" t="s">
        <v>231</v>
      </c>
      <c r="H27" s="17" t="s">
        <v>28</v>
      </c>
      <c r="I27" s="17" t="s">
        <v>289</v>
      </c>
      <c r="J27" s="17" t="s">
        <v>233</v>
      </c>
      <c r="K27" s="19"/>
      <c r="L27" s="19"/>
      <c r="M27" s="19"/>
      <c r="N27" s="19"/>
      <c r="O27" s="17" t="n">
        <v>1</v>
      </c>
      <c r="P27" s="18" t="s">
        <v>341</v>
      </c>
      <c r="Q27" s="18" t="s">
        <v>374</v>
      </c>
      <c r="R27" s="18" t="s">
        <v>375</v>
      </c>
      <c r="S27" s="17" t="s">
        <v>288</v>
      </c>
      <c r="T27" s="18" t="s">
        <v>376</v>
      </c>
      <c r="U27" s="19"/>
      <c r="V27" s="18" t="s">
        <v>377</v>
      </c>
      <c r="W27" s="17" t="s">
        <v>240</v>
      </c>
      <c r="X27" s="17" t="s">
        <v>378</v>
      </c>
      <c r="Y27" s="17" t="s">
        <v>242</v>
      </c>
      <c r="Z27" s="19"/>
      <c r="AA27" s="19"/>
      <c r="AB27" s="17"/>
      <c r="AC27" s="19"/>
    </row>
    <row r="28" customFormat="false" ht="22.35" hidden="false" customHeight="false" outlineLevel="0" collapsed="false">
      <c r="A28" s="10" t="s">
        <v>379</v>
      </c>
      <c r="B28" s="17" t="s">
        <v>165</v>
      </c>
      <c r="C28" s="18" t="s">
        <v>166</v>
      </c>
      <c r="D28" s="17" t="s">
        <v>19</v>
      </c>
      <c r="E28" s="17" t="s">
        <v>229</v>
      </c>
      <c r="F28" s="17" t="s">
        <v>230</v>
      </c>
      <c r="G28" s="17" t="s">
        <v>231</v>
      </c>
      <c r="H28" s="17" t="s">
        <v>28</v>
      </c>
      <c r="I28" s="17" t="s">
        <v>289</v>
      </c>
      <c r="J28" s="17" t="s">
        <v>233</v>
      </c>
      <c r="K28" s="19"/>
      <c r="L28" s="19"/>
      <c r="M28" s="19"/>
      <c r="N28" s="19"/>
      <c r="O28" s="17" t="n">
        <v>1</v>
      </c>
      <c r="P28" s="18" t="s">
        <v>341</v>
      </c>
      <c r="Q28" s="18" t="s">
        <v>374</v>
      </c>
      <c r="R28" s="18" t="s">
        <v>380</v>
      </c>
      <c r="S28" s="17" t="s">
        <v>373</v>
      </c>
      <c r="T28" s="18" t="s">
        <v>381</v>
      </c>
      <c r="U28" s="19"/>
      <c r="V28" s="18" t="s">
        <v>382</v>
      </c>
      <c r="W28" s="17" t="s">
        <v>383</v>
      </c>
      <c r="X28" s="17" t="s">
        <v>384</v>
      </c>
      <c r="Y28" s="17" t="s">
        <v>242</v>
      </c>
      <c r="Z28" s="19"/>
      <c r="AA28" s="19"/>
      <c r="AB28" s="17"/>
      <c r="AC28" s="19"/>
    </row>
    <row r="29" customFormat="false" ht="22.35" hidden="false" customHeight="false" outlineLevel="0" collapsed="false">
      <c r="A29" s="10" t="s">
        <v>385</v>
      </c>
      <c r="B29" s="17" t="s">
        <v>165</v>
      </c>
      <c r="C29" s="18" t="s">
        <v>166</v>
      </c>
      <c r="D29" s="17" t="s">
        <v>19</v>
      </c>
      <c r="E29" s="17" t="s">
        <v>75</v>
      </c>
      <c r="F29" s="17" t="s">
        <v>230</v>
      </c>
      <c r="G29" s="17" t="s">
        <v>231</v>
      </c>
      <c r="H29" s="17" t="s">
        <v>28</v>
      </c>
      <c r="I29" s="17" t="s">
        <v>289</v>
      </c>
      <c r="J29" s="17" t="s">
        <v>233</v>
      </c>
      <c r="K29" s="19"/>
      <c r="L29" s="19"/>
      <c r="M29" s="19"/>
      <c r="N29" s="19"/>
      <c r="O29" s="17" t="n">
        <v>1</v>
      </c>
      <c r="P29" s="18" t="s">
        <v>341</v>
      </c>
      <c r="Q29" s="18" t="s">
        <v>374</v>
      </c>
      <c r="R29" s="18" t="s">
        <v>386</v>
      </c>
      <c r="S29" s="17" t="s">
        <v>373</v>
      </c>
      <c r="T29" s="18" t="s">
        <v>387</v>
      </c>
      <c r="U29" s="19"/>
      <c r="V29" s="18" t="s">
        <v>388</v>
      </c>
      <c r="W29" s="17" t="s">
        <v>240</v>
      </c>
      <c r="X29" s="17" t="s">
        <v>287</v>
      </c>
      <c r="Y29" s="17" t="s">
        <v>242</v>
      </c>
      <c r="Z29" s="19"/>
      <c r="AA29" s="19"/>
      <c r="AB29" s="17"/>
      <c r="AC29" s="19"/>
    </row>
    <row r="30" customFormat="false" ht="22.35" hidden="false" customHeight="false" outlineLevel="0" collapsed="false">
      <c r="A30" s="10" t="s">
        <v>389</v>
      </c>
      <c r="B30" s="17" t="s">
        <v>165</v>
      </c>
      <c r="C30" s="18" t="s">
        <v>166</v>
      </c>
      <c r="D30" s="17" t="s">
        <v>19</v>
      </c>
      <c r="E30" s="17" t="s">
        <v>75</v>
      </c>
      <c r="F30" s="17" t="s">
        <v>230</v>
      </c>
      <c r="G30" s="17" t="s">
        <v>231</v>
      </c>
      <c r="H30" s="17" t="s">
        <v>28</v>
      </c>
      <c r="I30" s="17" t="s">
        <v>369</v>
      </c>
      <c r="J30" s="17" t="s">
        <v>233</v>
      </c>
      <c r="K30" s="19"/>
      <c r="L30" s="19"/>
      <c r="M30" s="19"/>
      <c r="N30" s="19"/>
      <c r="O30" s="17" t="n">
        <v>1</v>
      </c>
      <c r="P30" s="18" t="s">
        <v>341</v>
      </c>
      <c r="Q30" s="18" t="s">
        <v>374</v>
      </c>
      <c r="R30" s="18" t="s">
        <v>390</v>
      </c>
      <c r="S30" s="17" t="s">
        <v>269</v>
      </c>
      <c r="T30" s="18" t="s">
        <v>391</v>
      </c>
      <c r="U30" s="19"/>
      <c r="V30" s="18" t="s">
        <v>392</v>
      </c>
      <c r="W30" s="17" t="s">
        <v>240</v>
      </c>
      <c r="X30" s="17" t="s">
        <v>393</v>
      </c>
      <c r="Y30" s="17" t="s">
        <v>242</v>
      </c>
      <c r="Z30" s="19"/>
      <c r="AA30" s="19"/>
      <c r="AB30" s="17"/>
      <c r="AC30" s="19"/>
    </row>
    <row r="31" customFormat="false" ht="22.35" hidden="false" customHeight="false" outlineLevel="0" collapsed="false">
      <c r="A31" s="10" t="s">
        <v>394</v>
      </c>
      <c r="B31" s="17" t="s">
        <v>165</v>
      </c>
      <c r="C31" s="18" t="s">
        <v>166</v>
      </c>
      <c r="D31" s="17" t="s">
        <v>19</v>
      </c>
      <c r="E31" s="17" t="s">
        <v>75</v>
      </c>
      <c r="F31" s="17" t="s">
        <v>230</v>
      </c>
      <c r="G31" s="17" t="s">
        <v>231</v>
      </c>
      <c r="H31" s="17" t="s">
        <v>28</v>
      </c>
      <c r="I31" s="17" t="s">
        <v>283</v>
      </c>
      <c r="J31" s="17" t="s">
        <v>233</v>
      </c>
      <c r="K31" s="19"/>
      <c r="L31" s="19"/>
      <c r="M31" s="19"/>
      <c r="N31" s="19"/>
      <c r="O31" s="17" t="n">
        <v>1</v>
      </c>
      <c r="P31" s="18" t="s">
        <v>341</v>
      </c>
      <c r="Q31" s="18" t="s">
        <v>374</v>
      </c>
      <c r="R31" s="18" t="s">
        <v>395</v>
      </c>
      <c r="S31" s="17" t="s">
        <v>389</v>
      </c>
      <c r="T31" s="18" t="s">
        <v>285</v>
      </c>
      <c r="U31" s="19"/>
      <c r="V31" s="18" t="s">
        <v>286</v>
      </c>
      <c r="W31" s="17" t="s">
        <v>240</v>
      </c>
      <c r="X31" s="17" t="s">
        <v>287</v>
      </c>
      <c r="Y31" s="17" t="s">
        <v>242</v>
      </c>
      <c r="Z31" s="19"/>
      <c r="AA31" s="19"/>
      <c r="AB31" s="17"/>
      <c r="AC31" s="19"/>
    </row>
    <row r="32" customFormat="false" ht="22.35" hidden="false" customHeight="false" outlineLevel="0" collapsed="false">
      <c r="A32" s="10" t="s">
        <v>396</v>
      </c>
      <c r="B32" s="17" t="s">
        <v>169</v>
      </c>
      <c r="C32" s="18" t="s">
        <v>170</v>
      </c>
      <c r="D32" s="17" t="s">
        <v>19</v>
      </c>
      <c r="E32" s="17" t="s">
        <v>229</v>
      </c>
      <c r="F32" s="17" t="s">
        <v>230</v>
      </c>
      <c r="G32" s="17" t="s">
        <v>397</v>
      </c>
      <c r="H32" s="17" t="s">
        <v>28</v>
      </c>
      <c r="I32" s="17" t="s">
        <v>232</v>
      </c>
      <c r="J32" s="17" t="s">
        <v>233</v>
      </c>
      <c r="K32" s="19"/>
      <c r="L32" s="19"/>
      <c r="M32" s="19"/>
      <c r="N32" s="19"/>
      <c r="O32" s="17" t="n">
        <v>0</v>
      </c>
      <c r="P32" s="18" t="s">
        <v>398</v>
      </c>
      <c r="Q32" s="18" t="s">
        <v>399</v>
      </c>
      <c r="R32" s="18" t="s">
        <v>400</v>
      </c>
      <c r="S32" s="17" t="s">
        <v>237</v>
      </c>
      <c r="T32" s="18" t="s">
        <v>401</v>
      </c>
      <c r="U32" s="19"/>
      <c r="V32" s="18" t="s">
        <v>402</v>
      </c>
      <c r="W32" s="17" t="s">
        <v>240</v>
      </c>
      <c r="X32" s="17" t="s">
        <v>403</v>
      </c>
      <c r="Y32" s="17" t="s">
        <v>242</v>
      </c>
      <c r="Z32" s="19"/>
      <c r="AA32" s="19"/>
      <c r="AB32" s="17"/>
      <c r="AC32" s="19"/>
    </row>
    <row r="33" customFormat="false" ht="22.35" hidden="false" customHeight="false" outlineLevel="0" collapsed="false">
      <c r="A33" s="10" t="s">
        <v>404</v>
      </c>
      <c r="B33" s="17" t="s">
        <v>169</v>
      </c>
      <c r="C33" s="18" t="s">
        <v>170</v>
      </c>
      <c r="D33" s="17" t="s">
        <v>19</v>
      </c>
      <c r="E33" s="17" t="s">
        <v>244</v>
      </c>
      <c r="F33" s="17" t="s">
        <v>230</v>
      </c>
      <c r="G33" s="17" t="s">
        <v>397</v>
      </c>
      <c r="H33" s="17" t="s">
        <v>28</v>
      </c>
      <c r="I33" s="17" t="s">
        <v>232</v>
      </c>
      <c r="J33" s="17" t="s">
        <v>233</v>
      </c>
      <c r="K33" s="19"/>
      <c r="L33" s="19"/>
      <c r="M33" s="19"/>
      <c r="N33" s="19"/>
      <c r="O33" s="17" t="n">
        <v>0</v>
      </c>
      <c r="P33" s="18" t="s">
        <v>398</v>
      </c>
      <c r="Q33" s="18" t="s">
        <v>399</v>
      </c>
      <c r="R33" s="18" t="s">
        <v>405</v>
      </c>
      <c r="S33" s="17" t="s">
        <v>396</v>
      </c>
      <c r="T33" s="18" t="s">
        <v>406</v>
      </c>
      <c r="U33" s="19"/>
      <c r="V33" s="18" t="s">
        <v>407</v>
      </c>
      <c r="W33" s="17" t="s">
        <v>240</v>
      </c>
      <c r="X33" s="17" t="s">
        <v>408</v>
      </c>
      <c r="Y33" s="17" t="s">
        <v>242</v>
      </c>
      <c r="Z33" s="19"/>
      <c r="AA33" s="19"/>
      <c r="AB33" s="17"/>
      <c r="AC33" s="19"/>
    </row>
    <row r="34" customFormat="false" ht="22.35" hidden="false" customHeight="false" outlineLevel="0" collapsed="false">
      <c r="A34" s="10" t="s">
        <v>409</v>
      </c>
      <c r="B34" s="17" t="s">
        <v>169</v>
      </c>
      <c r="C34" s="18" t="s">
        <v>170</v>
      </c>
      <c r="D34" s="17" t="s">
        <v>19</v>
      </c>
      <c r="E34" s="17" t="s">
        <v>244</v>
      </c>
      <c r="F34" s="17" t="s">
        <v>230</v>
      </c>
      <c r="G34" s="17" t="s">
        <v>397</v>
      </c>
      <c r="H34" s="17" t="s">
        <v>28</v>
      </c>
      <c r="I34" s="17" t="s">
        <v>232</v>
      </c>
      <c r="J34" s="17" t="s">
        <v>233</v>
      </c>
      <c r="K34" s="19"/>
      <c r="L34" s="19"/>
      <c r="M34" s="19"/>
      <c r="N34" s="19"/>
      <c r="O34" s="17" t="n">
        <v>0</v>
      </c>
      <c r="P34" s="18" t="s">
        <v>398</v>
      </c>
      <c r="Q34" s="18" t="s">
        <v>399</v>
      </c>
      <c r="R34" s="18" t="s">
        <v>410</v>
      </c>
      <c r="S34" s="17" t="s">
        <v>404</v>
      </c>
      <c r="T34" s="18" t="s">
        <v>411</v>
      </c>
      <c r="U34" s="19"/>
      <c r="V34" s="18" t="s">
        <v>412</v>
      </c>
      <c r="W34" s="17" t="s">
        <v>240</v>
      </c>
      <c r="X34" s="17" t="s">
        <v>413</v>
      </c>
      <c r="Y34" s="17" t="s">
        <v>242</v>
      </c>
      <c r="Z34" s="19"/>
      <c r="AA34" s="19"/>
      <c r="AB34" s="17"/>
      <c r="AC34" s="19"/>
    </row>
    <row r="35" customFormat="false" ht="22.35" hidden="false" customHeight="false" outlineLevel="0" collapsed="false">
      <c r="A35" s="10" t="s">
        <v>414</v>
      </c>
      <c r="B35" s="17" t="s">
        <v>169</v>
      </c>
      <c r="C35" s="18" t="s">
        <v>170</v>
      </c>
      <c r="D35" s="17" t="s">
        <v>19</v>
      </c>
      <c r="E35" s="17" t="s">
        <v>229</v>
      </c>
      <c r="F35" s="17" t="s">
        <v>230</v>
      </c>
      <c r="G35" s="17" t="s">
        <v>397</v>
      </c>
      <c r="H35" s="17" t="s">
        <v>28</v>
      </c>
      <c r="I35" s="17" t="s">
        <v>232</v>
      </c>
      <c r="J35" s="17" t="s">
        <v>233</v>
      </c>
      <c r="K35" s="19"/>
      <c r="L35" s="19"/>
      <c r="M35" s="19"/>
      <c r="N35" s="19"/>
      <c r="O35" s="17" t="n">
        <v>0</v>
      </c>
      <c r="P35" s="18" t="s">
        <v>398</v>
      </c>
      <c r="Q35" s="18" t="s">
        <v>399</v>
      </c>
      <c r="R35" s="18" t="s">
        <v>415</v>
      </c>
      <c r="S35" s="17" t="s">
        <v>396</v>
      </c>
      <c r="T35" s="18" t="s">
        <v>416</v>
      </c>
      <c r="U35" s="19"/>
      <c r="V35" s="18" t="s">
        <v>417</v>
      </c>
      <c r="W35" s="17" t="s">
        <v>240</v>
      </c>
      <c r="X35" s="17" t="s">
        <v>418</v>
      </c>
      <c r="Y35" s="17" t="s">
        <v>242</v>
      </c>
      <c r="Z35" s="19"/>
      <c r="AA35" s="19"/>
      <c r="AB35" s="17"/>
      <c r="AC35" s="19"/>
    </row>
    <row r="36" customFormat="false" ht="22.35" hidden="false" customHeight="false" outlineLevel="0" collapsed="false">
      <c r="A36" s="10" t="s">
        <v>419</v>
      </c>
      <c r="B36" s="17" t="s">
        <v>169</v>
      </c>
      <c r="C36" s="18" t="s">
        <v>170</v>
      </c>
      <c r="D36" s="17" t="s">
        <v>19</v>
      </c>
      <c r="E36" s="17" t="s">
        <v>229</v>
      </c>
      <c r="F36" s="17" t="s">
        <v>230</v>
      </c>
      <c r="G36" s="17" t="s">
        <v>397</v>
      </c>
      <c r="H36" s="17" t="s">
        <v>28</v>
      </c>
      <c r="I36" s="17" t="s">
        <v>232</v>
      </c>
      <c r="J36" s="17" t="s">
        <v>233</v>
      </c>
      <c r="K36" s="19"/>
      <c r="L36" s="19"/>
      <c r="M36" s="19"/>
      <c r="N36" s="19"/>
      <c r="O36" s="17" t="n">
        <v>0</v>
      </c>
      <c r="P36" s="18" t="s">
        <v>398</v>
      </c>
      <c r="Q36" s="18" t="s">
        <v>399</v>
      </c>
      <c r="R36" s="18" t="s">
        <v>420</v>
      </c>
      <c r="S36" s="17" t="s">
        <v>237</v>
      </c>
      <c r="T36" s="18" t="s">
        <v>421</v>
      </c>
      <c r="U36" s="19"/>
      <c r="V36" s="18" t="s">
        <v>422</v>
      </c>
      <c r="W36" s="17" t="s">
        <v>240</v>
      </c>
      <c r="X36" s="17" t="s">
        <v>423</v>
      </c>
      <c r="Y36" s="17" t="s">
        <v>242</v>
      </c>
      <c r="Z36" s="19"/>
      <c r="AA36" s="19"/>
      <c r="AB36" s="17"/>
      <c r="AC36" s="19"/>
    </row>
    <row r="37" customFormat="false" ht="22.35" hidden="false" customHeight="false" outlineLevel="0" collapsed="false">
      <c r="A37" s="10" t="s">
        <v>424</v>
      </c>
      <c r="B37" s="17" t="s">
        <v>169</v>
      </c>
      <c r="C37" s="18" t="s">
        <v>170</v>
      </c>
      <c r="D37" s="17" t="s">
        <v>19</v>
      </c>
      <c r="E37" s="17" t="s">
        <v>229</v>
      </c>
      <c r="F37" s="17" t="s">
        <v>230</v>
      </c>
      <c r="G37" s="17" t="s">
        <v>397</v>
      </c>
      <c r="H37" s="17" t="s">
        <v>28</v>
      </c>
      <c r="I37" s="17" t="s">
        <v>232</v>
      </c>
      <c r="J37" s="17" t="s">
        <v>233</v>
      </c>
      <c r="K37" s="19"/>
      <c r="L37" s="19"/>
      <c r="M37" s="19"/>
      <c r="N37" s="19"/>
      <c r="O37" s="17" t="n">
        <v>0</v>
      </c>
      <c r="P37" s="18" t="s">
        <v>398</v>
      </c>
      <c r="Q37" s="18" t="s">
        <v>399</v>
      </c>
      <c r="R37" s="18" t="s">
        <v>425</v>
      </c>
      <c r="S37" s="17" t="s">
        <v>404</v>
      </c>
      <c r="T37" s="18" t="s">
        <v>426</v>
      </c>
      <c r="U37" s="19"/>
      <c r="V37" s="18" t="s">
        <v>427</v>
      </c>
      <c r="W37" s="17" t="s">
        <v>240</v>
      </c>
      <c r="X37" s="17" t="s">
        <v>428</v>
      </c>
      <c r="Y37" s="17" t="s">
        <v>242</v>
      </c>
      <c r="Z37" s="19"/>
      <c r="AA37" s="19"/>
      <c r="AB37" s="17"/>
      <c r="AC37" s="19"/>
    </row>
    <row r="38" customFormat="false" ht="22.35" hidden="false" customHeight="false" outlineLevel="0" collapsed="false">
      <c r="A38" s="10" t="s">
        <v>429</v>
      </c>
      <c r="B38" s="17" t="s">
        <v>169</v>
      </c>
      <c r="C38" s="18" t="s">
        <v>170</v>
      </c>
      <c r="D38" s="17" t="s">
        <v>19</v>
      </c>
      <c r="E38" s="17" t="s">
        <v>229</v>
      </c>
      <c r="F38" s="17" t="s">
        <v>230</v>
      </c>
      <c r="G38" s="17" t="s">
        <v>397</v>
      </c>
      <c r="H38" s="17" t="s">
        <v>28</v>
      </c>
      <c r="I38" s="17" t="s">
        <v>232</v>
      </c>
      <c r="J38" s="17" t="s">
        <v>233</v>
      </c>
      <c r="K38" s="19"/>
      <c r="L38" s="19"/>
      <c r="M38" s="19"/>
      <c r="N38" s="19"/>
      <c r="O38" s="17" t="n">
        <v>0</v>
      </c>
      <c r="P38" s="18" t="s">
        <v>398</v>
      </c>
      <c r="Q38" s="18" t="s">
        <v>399</v>
      </c>
      <c r="R38" s="18" t="s">
        <v>430</v>
      </c>
      <c r="S38" s="17" t="s">
        <v>396</v>
      </c>
      <c r="T38" s="18" t="s">
        <v>431</v>
      </c>
      <c r="U38" s="19"/>
      <c r="V38" s="18" t="s">
        <v>432</v>
      </c>
      <c r="W38" s="17" t="s">
        <v>240</v>
      </c>
      <c r="X38" s="17" t="s">
        <v>433</v>
      </c>
      <c r="Y38" s="17" t="s">
        <v>242</v>
      </c>
      <c r="Z38" s="19"/>
      <c r="AA38" s="19"/>
      <c r="AB38" s="17"/>
      <c r="AC38" s="19"/>
    </row>
    <row r="39" customFormat="false" ht="22.35" hidden="false" customHeight="false" outlineLevel="0" collapsed="false">
      <c r="A39" s="10" t="s">
        <v>434</v>
      </c>
      <c r="B39" s="17" t="s">
        <v>169</v>
      </c>
      <c r="C39" s="18" t="s">
        <v>170</v>
      </c>
      <c r="D39" s="17" t="s">
        <v>19</v>
      </c>
      <c r="E39" s="17" t="s">
        <v>229</v>
      </c>
      <c r="F39" s="17" t="s">
        <v>230</v>
      </c>
      <c r="G39" s="17" t="s">
        <v>397</v>
      </c>
      <c r="H39" s="17" t="s">
        <v>28</v>
      </c>
      <c r="I39" s="17" t="s">
        <v>232</v>
      </c>
      <c r="J39" s="17" t="s">
        <v>233</v>
      </c>
      <c r="K39" s="19"/>
      <c r="L39" s="19"/>
      <c r="M39" s="19"/>
      <c r="N39" s="19"/>
      <c r="O39" s="17" t="n">
        <v>0</v>
      </c>
      <c r="P39" s="18" t="s">
        <v>398</v>
      </c>
      <c r="Q39" s="18" t="s">
        <v>435</v>
      </c>
      <c r="R39" s="18" t="s">
        <v>436</v>
      </c>
      <c r="S39" s="17" t="s">
        <v>437</v>
      </c>
      <c r="T39" s="18" t="s">
        <v>438</v>
      </c>
      <c r="U39" s="19"/>
      <c r="V39" s="18" t="s">
        <v>439</v>
      </c>
      <c r="W39" s="17" t="s">
        <v>240</v>
      </c>
      <c r="X39" s="17" t="s">
        <v>440</v>
      </c>
      <c r="Y39" s="17" t="s">
        <v>242</v>
      </c>
      <c r="Z39" s="19"/>
      <c r="AA39" s="19"/>
      <c r="AB39" s="17"/>
      <c r="AC39" s="19"/>
    </row>
    <row r="40" customFormat="false" ht="32.8" hidden="false" customHeight="false" outlineLevel="0" collapsed="false">
      <c r="A40" s="10" t="s">
        <v>441</v>
      </c>
      <c r="B40" s="17" t="s">
        <v>169</v>
      </c>
      <c r="C40" s="18" t="s">
        <v>170</v>
      </c>
      <c r="D40" s="17" t="s">
        <v>19</v>
      </c>
      <c r="E40" s="17" t="s">
        <v>244</v>
      </c>
      <c r="F40" s="17" t="s">
        <v>230</v>
      </c>
      <c r="G40" s="17" t="s">
        <v>397</v>
      </c>
      <c r="H40" s="17" t="s">
        <v>28</v>
      </c>
      <c r="I40" s="17" t="s">
        <v>232</v>
      </c>
      <c r="J40" s="17" t="s">
        <v>233</v>
      </c>
      <c r="K40" s="19"/>
      <c r="L40" s="19"/>
      <c r="M40" s="19"/>
      <c r="N40" s="19"/>
      <c r="O40" s="17" t="n">
        <v>0</v>
      </c>
      <c r="P40" s="18" t="s">
        <v>398</v>
      </c>
      <c r="Q40" s="18" t="s">
        <v>435</v>
      </c>
      <c r="R40" s="18" t="s">
        <v>442</v>
      </c>
      <c r="S40" s="17" t="s">
        <v>443</v>
      </c>
      <c r="T40" s="18" t="s">
        <v>444</v>
      </c>
      <c r="U40" s="19"/>
      <c r="V40" s="18" t="s">
        <v>445</v>
      </c>
      <c r="W40" s="17" t="s">
        <v>240</v>
      </c>
      <c r="X40" s="17" t="s">
        <v>446</v>
      </c>
      <c r="Y40" s="17" t="s">
        <v>242</v>
      </c>
      <c r="Z40" s="19"/>
      <c r="AA40" s="19"/>
      <c r="AB40" s="17"/>
      <c r="AC40" s="19"/>
    </row>
    <row r="41" customFormat="false" ht="22.35" hidden="false" customHeight="false" outlineLevel="0" collapsed="false">
      <c r="A41" s="10" t="s">
        <v>447</v>
      </c>
      <c r="B41" s="17" t="s">
        <v>169</v>
      </c>
      <c r="C41" s="18" t="s">
        <v>170</v>
      </c>
      <c r="D41" s="17" t="s">
        <v>19</v>
      </c>
      <c r="E41" s="17" t="s">
        <v>229</v>
      </c>
      <c r="F41" s="17" t="s">
        <v>230</v>
      </c>
      <c r="G41" s="17" t="s">
        <v>397</v>
      </c>
      <c r="H41" s="17" t="s">
        <v>28</v>
      </c>
      <c r="I41" s="17" t="s">
        <v>283</v>
      </c>
      <c r="J41" s="17" t="s">
        <v>233</v>
      </c>
      <c r="K41" s="19"/>
      <c r="L41" s="19"/>
      <c r="M41" s="19"/>
      <c r="N41" s="19"/>
      <c r="O41" s="17" t="n">
        <v>0</v>
      </c>
      <c r="P41" s="18" t="s">
        <v>398</v>
      </c>
      <c r="Q41" s="18" t="s">
        <v>435</v>
      </c>
      <c r="R41" s="18" t="s">
        <v>448</v>
      </c>
      <c r="S41" s="17" t="s">
        <v>441</v>
      </c>
      <c r="T41" s="18" t="s">
        <v>285</v>
      </c>
      <c r="U41" s="19"/>
      <c r="V41" s="18" t="s">
        <v>286</v>
      </c>
      <c r="W41" s="17" t="s">
        <v>240</v>
      </c>
      <c r="X41" s="17" t="s">
        <v>287</v>
      </c>
      <c r="Y41" s="17" t="s">
        <v>242</v>
      </c>
      <c r="Z41" s="19"/>
      <c r="AA41" s="19"/>
      <c r="AB41" s="17"/>
      <c r="AC41" s="19"/>
    </row>
    <row r="42" customFormat="false" ht="22.35" hidden="false" customHeight="false" outlineLevel="0" collapsed="false">
      <c r="A42" s="10" t="s">
        <v>449</v>
      </c>
      <c r="B42" s="17" t="s">
        <v>169</v>
      </c>
      <c r="C42" s="18" t="s">
        <v>170</v>
      </c>
      <c r="D42" s="17" t="s">
        <v>19</v>
      </c>
      <c r="E42" s="17" t="s">
        <v>75</v>
      </c>
      <c r="F42" s="17" t="s">
        <v>230</v>
      </c>
      <c r="G42" s="17" t="s">
        <v>397</v>
      </c>
      <c r="H42" s="17" t="s">
        <v>28</v>
      </c>
      <c r="I42" s="17" t="s">
        <v>450</v>
      </c>
      <c r="J42" s="17" t="s">
        <v>233</v>
      </c>
      <c r="K42" s="19"/>
      <c r="L42" s="19"/>
      <c r="M42" s="19"/>
      <c r="N42" s="19"/>
      <c r="O42" s="17" t="n">
        <v>1</v>
      </c>
      <c r="P42" s="18" t="s">
        <v>451</v>
      </c>
      <c r="Q42" s="18" t="s">
        <v>452</v>
      </c>
      <c r="R42" s="18" t="s">
        <v>453</v>
      </c>
      <c r="S42" s="17" t="s">
        <v>434</v>
      </c>
      <c r="T42" s="18" t="s">
        <v>454</v>
      </c>
      <c r="U42" s="19"/>
      <c r="V42" s="18" t="s">
        <v>455</v>
      </c>
      <c r="W42" s="17" t="s">
        <v>240</v>
      </c>
      <c r="X42" s="17" t="s">
        <v>456</v>
      </c>
      <c r="Y42" s="17" t="s">
        <v>242</v>
      </c>
      <c r="Z42" s="19"/>
      <c r="AA42" s="19"/>
      <c r="AB42" s="17"/>
      <c r="AC42" s="19"/>
    </row>
    <row r="43" customFormat="false" ht="22.35" hidden="false" customHeight="false" outlineLevel="0" collapsed="false">
      <c r="A43" s="10" t="s">
        <v>457</v>
      </c>
      <c r="B43" s="17" t="s">
        <v>169</v>
      </c>
      <c r="C43" s="18" t="s">
        <v>170</v>
      </c>
      <c r="D43" s="17" t="s">
        <v>19</v>
      </c>
      <c r="E43" s="17" t="s">
        <v>75</v>
      </c>
      <c r="F43" s="17" t="s">
        <v>230</v>
      </c>
      <c r="G43" s="17" t="s">
        <v>397</v>
      </c>
      <c r="H43" s="17" t="s">
        <v>28</v>
      </c>
      <c r="I43" s="17" t="s">
        <v>450</v>
      </c>
      <c r="J43" s="17" t="s">
        <v>233</v>
      </c>
      <c r="K43" s="19"/>
      <c r="L43" s="19"/>
      <c r="M43" s="19"/>
      <c r="N43" s="19"/>
      <c r="O43" s="17" t="n">
        <v>1</v>
      </c>
      <c r="P43" s="18" t="s">
        <v>451</v>
      </c>
      <c r="Q43" s="18" t="s">
        <v>452</v>
      </c>
      <c r="R43" s="18" t="s">
        <v>458</v>
      </c>
      <c r="S43" s="17" t="s">
        <v>449</v>
      </c>
      <c r="T43" s="18" t="s">
        <v>459</v>
      </c>
      <c r="U43" s="19"/>
      <c r="V43" s="18" t="s">
        <v>460</v>
      </c>
      <c r="W43" s="17" t="s">
        <v>240</v>
      </c>
      <c r="X43" s="17" t="s">
        <v>461</v>
      </c>
      <c r="Y43" s="17" t="s">
        <v>242</v>
      </c>
      <c r="Z43" s="19"/>
      <c r="AA43" s="19"/>
      <c r="AB43" s="17"/>
      <c r="AC43" s="19"/>
    </row>
    <row r="44" customFormat="false" ht="22.35" hidden="false" customHeight="false" outlineLevel="0" collapsed="false">
      <c r="A44" s="10" t="s">
        <v>462</v>
      </c>
      <c r="B44" s="17" t="s">
        <v>169</v>
      </c>
      <c r="C44" s="18" t="s">
        <v>170</v>
      </c>
      <c r="D44" s="17" t="s">
        <v>19</v>
      </c>
      <c r="E44" s="17" t="s">
        <v>229</v>
      </c>
      <c r="F44" s="17" t="s">
        <v>230</v>
      </c>
      <c r="G44" s="17" t="s">
        <v>397</v>
      </c>
      <c r="H44" s="17" t="s">
        <v>28</v>
      </c>
      <c r="I44" s="17" t="s">
        <v>450</v>
      </c>
      <c r="J44" s="17" t="s">
        <v>233</v>
      </c>
      <c r="K44" s="19"/>
      <c r="L44" s="19"/>
      <c r="M44" s="19"/>
      <c r="N44" s="19"/>
      <c r="O44" s="17" t="n">
        <v>1</v>
      </c>
      <c r="P44" s="18" t="s">
        <v>451</v>
      </c>
      <c r="Q44" s="18" t="s">
        <v>452</v>
      </c>
      <c r="R44" s="18" t="s">
        <v>463</v>
      </c>
      <c r="S44" s="17" t="s">
        <v>464</v>
      </c>
      <c r="T44" s="18" t="s">
        <v>465</v>
      </c>
      <c r="U44" s="19"/>
      <c r="V44" s="18" t="s">
        <v>466</v>
      </c>
      <c r="W44" s="17" t="s">
        <v>240</v>
      </c>
      <c r="X44" s="17" t="s">
        <v>467</v>
      </c>
      <c r="Y44" s="17" t="s">
        <v>242</v>
      </c>
      <c r="Z44" s="19"/>
      <c r="AA44" s="19"/>
      <c r="AB44" s="17"/>
      <c r="AC44" s="19"/>
    </row>
    <row r="45" customFormat="false" ht="22.35" hidden="false" customHeight="false" outlineLevel="0" collapsed="false">
      <c r="A45" s="10" t="s">
        <v>468</v>
      </c>
      <c r="B45" s="17" t="s">
        <v>169</v>
      </c>
      <c r="C45" s="18" t="s">
        <v>170</v>
      </c>
      <c r="D45" s="17" t="s">
        <v>19</v>
      </c>
      <c r="E45" s="17" t="s">
        <v>244</v>
      </c>
      <c r="F45" s="17" t="s">
        <v>230</v>
      </c>
      <c r="G45" s="17" t="s">
        <v>397</v>
      </c>
      <c r="H45" s="17" t="s">
        <v>28</v>
      </c>
      <c r="I45" s="17" t="s">
        <v>450</v>
      </c>
      <c r="J45" s="17" t="s">
        <v>233</v>
      </c>
      <c r="K45" s="19"/>
      <c r="L45" s="19"/>
      <c r="M45" s="19"/>
      <c r="N45" s="19"/>
      <c r="O45" s="17" t="n">
        <v>1</v>
      </c>
      <c r="P45" s="18" t="s">
        <v>451</v>
      </c>
      <c r="Q45" s="18" t="s">
        <v>452</v>
      </c>
      <c r="R45" s="18" t="s">
        <v>469</v>
      </c>
      <c r="S45" s="17" t="s">
        <v>404</v>
      </c>
      <c r="T45" s="18" t="s">
        <v>470</v>
      </c>
      <c r="U45" s="19"/>
      <c r="V45" s="18" t="s">
        <v>471</v>
      </c>
      <c r="W45" s="17" t="s">
        <v>240</v>
      </c>
      <c r="X45" s="17" t="s">
        <v>472</v>
      </c>
      <c r="Y45" s="17" t="s">
        <v>242</v>
      </c>
      <c r="Z45" s="19"/>
      <c r="AA45" s="19"/>
      <c r="AB45" s="17"/>
      <c r="AC45" s="19"/>
    </row>
    <row r="46" customFormat="false" ht="22.35" hidden="false" customHeight="false" outlineLevel="0" collapsed="false">
      <c r="A46" s="10" t="s">
        <v>473</v>
      </c>
      <c r="B46" s="17" t="s">
        <v>169</v>
      </c>
      <c r="C46" s="18" t="s">
        <v>170</v>
      </c>
      <c r="D46" s="17" t="s">
        <v>19</v>
      </c>
      <c r="E46" s="17" t="s">
        <v>244</v>
      </c>
      <c r="F46" s="17" t="s">
        <v>230</v>
      </c>
      <c r="G46" s="17" t="s">
        <v>397</v>
      </c>
      <c r="H46" s="17" t="s">
        <v>28</v>
      </c>
      <c r="I46" s="17" t="s">
        <v>450</v>
      </c>
      <c r="J46" s="17" t="s">
        <v>233</v>
      </c>
      <c r="K46" s="19"/>
      <c r="L46" s="19"/>
      <c r="M46" s="19"/>
      <c r="N46" s="19"/>
      <c r="O46" s="17" t="n">
        <v>1</v>
      </c>
      <c r="P46" s="18" t="s">
        <v>451</v>
      </c>
      <c r="Q46" s="18" t="s">
        <v>452</v>
      </c>
      <c r="R46" s="18" t="s">
        <v>474</v>
      </c>
      <c r="S46" s="17" t="s">
        <v>475</v>
      </c>
      <c r="T46" s="18" t="s">
        <v>476</v>
      </c>
      <c r="U46" s="19"/>
      <c r="V46" s="18" t="s">
        <v>477</v>
      </c>
      <c r="W46" s="17" t="s">
        <v>240</v>
      </c>
      <c r="X46" s="17" t="s">
        <v>478</v>
      </c>
      <c r="Y46" s="17" t="s">
        <v>242</v>
      </c>
      <c r="Z46" s="19"/>
      <c r="AA46" s="19"/>
      <c r="AB46" s="17"/>
      <c r="AC46" s="19"/>
    </row>
    <row r="47" customFormat="false" ht="22.35" hidden="false" customHeight="false" outlineLevel="0" collapsed="false">
      <c r="A47" s="10" t="s">
        <v>479</v>
      </c>
      <c r="B47" s="17" t="s">
        <v>169</v>
      </c>
      <c r="C47" s="18" t="s">
        <v>170</v>
      </c>
      <c r="D47" s="17" t="s">
        <v>19</v>
      </c>
      <c r="E47" s="17" t="s">
        <v>75</v>
      </c>
      <c r="F47" s="17" t="s">
        <v>230</v>
      </c>
      <c r="G47" s="17" t="s">
        <v>397</v>
      </c>
      <c r="H47" s="17" t="s">
        <v>28</v>
      </c>
      <c r="I47" s="17" t="s">
        <v>450</v>
      </c>
      <c r="J47" s="17" t="s">
        <v>233</v>
      </c>
      <c r="K47" s="19"/>
      <c r="L47" s="19"/>
      <c r="M47" s="19"/>
      <c r="N47" s="19"/>
      <c r="O47" s="17" t="n">
        <v>1</v>
      </c>
      <c r="P47" s="18" t="s">
        <v>451</v>
      </c>
      <c r="Q47" s="18" t="s">
        <v>452</v>
      </c>
      <c r="R47" s="18" t="s">
        <v>480</v>
      </c>
      <c r="S47" s="17" t="s">
        <v>462</v>
      </c>
      <c r="T47" s="18" t="s">
        <v>481</v>
      </c>
      <c r="U47" s="19"/>
      <c r="V47" s="18" t="s">
        <v>482</v>
      </c>
      <c r="W47" s="17" t="s">
        <v>240</v>
      </c>
      <c r="X47" s="17" t="s">
        <v>483</v>
      </c>
      <c r="Y47" s="17" t="s">
        <v>242</v>
      </c>
      <c r="Z47" s="19"/>
      <c r="AA47" s="19"/>
      <c r="AB47" s="17"/>
      <c r="AC47" s="19"/>
    </row>
    <row r="48" customFormat="false" ht="22.35" hidden="false" customHeight="false" outlineLevel="0" collapsed="false">
      <c r="A48" s="10" t="s">
        <v>484</v>
      </c>
      <c r="B48" s="17" t="s">
        <v>169</v>
      </c>
      <c r="C48" s="18" t="s">
        <v>170</v>
      </c>
      <c r="D48" s="17" t="s">
        <v>19</v>
      </c>
      <c r="E48" s="17" t="s">
        <v>244</v>
      </c>
      <c r="F48" s="17" t="s">
        <v>230</v>
      </c>
      <c r="G48" s="17" t="s">
        <v>397</v>
      </c>
      <c r="H48" s="17" t="s">
        <v>28</v>
      </c>
      <c r="I48" s="17" t="s">
        <v>277</v>
      </c>
      <c r="J48" s="17" t="s">
        <v>233</v>
      </c>
      <c r="K48" s="19"/>
      <c r="L48" s="19"/>
      <c r="M48" s="19"/>
      <c r="N48" s="19"/>
      <c r="O48" s="17" t="n">
        <v>1</v>
      </c>
      <c r="P48" s="18" t="s">
        <v>451</v>
      </c>
      <c r="Q48" s="18" t="s">
        <v>485</v>
      </c>
      <c r="R48" s="18" t="s">
        <v>486</v>
      </c>
      <c r="S48" s="17" t="s">
        <v>462</v>
      </c>
      <c r="T48" s="18" t="s">
        <v>487</v>
      </c>
      <c r="U48" s="19"/>
      <c r="V48" s="18" t="s">
        <v>488</v>
      </c>
      <c r="W48" s="17" t="s">
        <v>240</v>
      </c>
      <c r="X48" s="17" t="s">
        <v>489</v>
      </c>
      <c r="Y48" s="17" t="s">
        <v>242</v>
      </c>
      <c r="Z48" s="19"/>
      <c r="AA48" s="19"/>
      <c r="AB48" s="17"/>
      <c r="AC48" s="19"/>
    </row>
    <row r="49" customFormat="false" ht="22.35" hidden="false" customHeight="false" outlineLevel="0" collapsed="false">
      <c r="A49" s="10" t="s">
        <v>490</v>
      </c>
      <c r="B49" s="17" t="s">
        <v>169</v>
      </c>
      <c r="C49" s="18" t="s">
        <v>170</v>
      </c>
      <c r="D49" s="17" t="s">
        <v>19</v>
      </c>
      <c r="E49" s="17" t="s">
        <v>75</v>
      </c>
      <c r="F49" s="17" t="s">
        <v>230</v>
      </c>
      <c r="G49" s="17" t="s">
        <v>397</v>
      </c>
      <c r="H49" s="17" t="s">
        <v>28</v>
      </c>
      <c r="I49" s="17" t="s">
        <v>277</v>
      </c>
      <c r="J49" s="17" t="s">
        <v>233</v>
      </c>
      <c r="K49" s="19"/>
      <c r="L49" s="19"/>
      <c r="M49" s="19"/>
      <c r="N49" s="19"/>
      <c r="O49" s="17" t="n">
        <v>1</v>
      </c>
      <c r="P49" s="18" t="s">
        <v>451</v>
      </c>
      <c r="Q49" s="18" t="s">
        <v>485</v>
      </c>
      <c r="R49" s="18" t="s">
        <v>491</v>
      </c>
      <c r="S49" s="17" t="s">
        <v>492</v>
      </c>
      <c r="T49" s="18" t="s">
        <v>487</v>
      </c>
      <c r="U49" s="19"/>
      <c r="V49" s="18" t="s">
        <v>493</v>
      </c>
      <c r="W49" s="17" t="s">
        <v>240</v>
      </c>
      <c r="X49" s="17" t="s">
        <v>433</v>
      </c>
      <c r="Y49" s="17" t="s">
        <v>242</v>
      </c>
      <c r="Z49" s="19"/>
      <c r="AA49" s="19"/>
      <c r="AB49" s="17"/>
      <c r="AC49" s="19"/>
    </row>
    <row r="50" customFormat="false" ht="22.35" hidden="false" customHeight="false" outlineLevel="0" collapsed="false">
      <c r="A50" s="10" t="s">
        <v>494</v>
      </c>
      <c r="B50" s="17" t="s">
        <v>169</v>
      </c>
      <c r="C50" s="18" t="s">
        <v>170</v>
      </c>
      <c r="D50" s="17" t="s">
        <v>19</v>
      </c>
      <c r="E50" s="17" t="s">
        <v>229</v>
      </c>
      <c r="F50" s="17" t="s">
        <v>230</v>
      </c>
      <c r="G50" s="17" t="s">
        <v>397</v>
      </c>
      <c r="H50" s="17" t="s">
        <v>28</v>
      </c>
      <c r="I50" s="17" t="s">
        <v>277</v>
      </c>
      <c r="J50" s="17" t="s">
        <v>233</v>
      </c>
      <c r="K50" s="19"/>
      <c r="L50" s="19"/>
      <c r="M50" s="19"/>
      <c r="N50" s="19"/>
      <c r="O50" s="17" t="n">
        <v>1</v>
      </c>
      <c r="P50" s="18" t="s">
        <v>451</v>
      </c>
      <c r="Q50" s="18" t="s">
        <v>485</v>
      </c>
      <c r="R50" s="18" t="s">
        <v>495</v>
      </c>
      <c r="S50" s="17" t="s">
        <v>473</v>
      </c>
      <c r="T50" s="18" t="s">
        <v>487</v>
      </c>
      <c r="U50" s="19"/>
      <c r="V50" s="18" t="s">
        <v>496</v>
      </c>
      <c r="W50" s="17" t="s">
        <v>240</v>
      </c>
      <c r="X50" s="17" t="s">
        <v>497</v>
      </c>
      <c r="Y50" s="17" t="s">
        <v>242</v>
      </c>
      <c r="Z50" s="19"/>
      <c r="AA50" s="19"/>
      <c r="AB50" s="17"/>
      <c r="AC50" s="19"/>
    </row>
    <row r="51" customFormat="false" ht="22.35" hidden="false" customHeight="false" outlineLevel="0" collapsed="false">
      <c r="A51" s="10" t="s">
        <v>498</v>
      </c>
      <c r="B51" s="17" t="s">
        <v>169</v>
      </c>
      <c r="C51" s="18" t="s">
        <v>170</v>
      </c>
      <c r="D51" s="17" t="s">
        <v>19</v>
      </c>
      <c r="E51" s="17" t="s">
        <v>75</v>
      </c>
      <c r="F51" s="17" t="s">
        <v>230</v>
      </c>
      <c r="G51" s="17" t="s">
        <v>397</v>
      </c>
      <c r="H51" s="17" t="s">
        <v>28</v>
      </c>
      <c r="I51" s="17" t="s">
        <v>283</v>
      </c>
      <c r="J51" s="17" t="s">
        <v>233</v>
      </c>
      <c r="K51" s="19"/>
      <c r="L51" s="19"/>
      <c r="M51" s="19"/>
      <c r="N51" s="19"/>
      <c r="O51" s="17" t="n">
        <v>1</v>
      </c>
      <c r="P51" s="18" t="s">
        <v>451</v>
      </c>
      <c r="Q51" s="18" t="s">
        <v>485</v>
      </c>
      <c r="R51" s="18" t="s">
        <v>499</v>
      </c>
      <c r="S51" s="17" t="s">
        <v>494</v>
      </c>
      <c r="T51" s="18" t="s">
        <v>285</v>
      </c>
      <c r="U51" s="19"/>
      <c r="V51" s="18" t="s">
        <v>286</v>
      </c>
      <c r="W51" s="17" t="s">
        <v>240</v>
      </c>
      <c r="X51" s="17" t="s">
        <v>287</v>
      </c>
      <c r="Y51" s="17" t="s">
        <v>242</v>
      </c>
      <c r="Z51" s="19"/>
      <c r="AA51" s="19"/>
      <c r="AB51" s="17"/>
      <c r="AC51" s="19"/>
    </row>
    <row r="52" customFormat="false" ht="22.35" hidden="false" customHeight="false" outlineLevel="0" collapsed="false">
      <c r="A52" s="10" t="s">
        <v>500</v>
      </c>
      <c r="B52" s="17" t="s">
        <v>169</v>
      </c>
      <c r="C52" s="18" t="s">
        <v>170</v>
      </c>
      <c r="D52" s="17" t="s">
        <v>19</v>
      </c>
      <c r="E52" s="17" t="s">
        <v>244</v>
      </c>
      <c r="F52" s="17" t="s">
        <v>230</v>
      </c>
      <c r="G52" s="17" t="s">
        <v>397</v>
      </c>
      <c r="H52" s="17" t="s">
        <v>28</v>
      </c>
      <c r="I52" s="17" t="s">
        <v>333</v>
      </c>
      <c r="J52" s="17" t="s">
        <v>233</v>
      </c>
      <c r="K52" s="19"/>
      <c r="L52" s="19"/>
      <c r="M52" s="19"/>
      <c r="N52" s="19"/>
      <c r="O52" s="17" t="n">
        <v>1</v>
      </c>
      <c r="P52" s="18" t="s">
        <v>501</v>
      </c>
      <c r="Q52" s="18" t="s">
        <v>342</v>
      </c>
      <c r="R52" s="18" t="s">
        <v>502</v>
      </c>
      <c r="S52" s="17" t="s">
        <v>479</v>
      </c>
      <c r="T52" s="18" t="s">
        <v>503</v>
      </c>
      <c r="U52" s="19"/>
      <c r="V52" s="18" t="s">
        <v>504</v>
      </c>
      <c r="W52" s="17" t="s">
        <v>240</v>
      </c>
      <c r="X52" s="17" t="s">
        <v>505</v>
      </c>
      <c r="Y52" s="17" t="s">
        <v>242</v>
      </c>
      <c r="Z52" s="19"/>
      <c r="AA52" s="19"/>
      <c r="AB52" s="17"/>
      <c r="AC52" s="19"/>
    </row>
    <row r="53" customFormat="false" ht="22.35" hidden="false" customHeight="false" outlineLevel="0" collapsed="false">
      <c r="A53" s="10" t="s">
        <v>506</v>
      </c>
      <c r="B53" s="17" t="s">
        <v>169</v>
      </c>
      <c r="C53" s="18" t="s">
        <v>170</v>
      </c>
      <c r="D53" s="17" t="s">
        <v>19</v>
      </c>
      <c r="E53" s="17" t="s">
        <v>75</v>
      </c>
      <c r="F53" s="17" t="s">
        <v>230</v>
      </c>
      <c r="G53" s="17" t="s">
        <v>397</v>
      </c>
      <c r="H53" s="17" t="s">
        <v>28</v>
      </c>
      <c r="I53" s="17" t="s">
        <v>333</v>
      </c>
      <c r="J53" s="17" t="s">
        <v>233</v>
      </c>
      <c r="K53" s="19"/>
      <c r="L53" s="19"/>
      <c r="M53" s="19"/>
      <c r="N53" s="19"/>
      <c r="O53" s="17" t="n">
        <v>1</v>
      </c>
      <c r="P53" s="18" t="s">
        <v>501</v>
      </c>
      <c r="Q53" s="18" t="s">
        <v>342</v>
      </c>
      <c r="R53" s="18" t="s">
        <v>507</v>
      </c>
      <c r="S53" s="17" t="s">
        <v>449</v>
      </c>
      <c r="T53" s="18" t="s">
        <v>508</v>
      </c>
      <c r="U53" s="19"/>
      <c r="V53" s="18" t="s">
        <v>509</v>
      </c>
      <c r="W53" s="17" t="s">
        <v>240</v>
      </c>
      <c r="X53" s="17" t="s">
        <v>510</v>
      </c>
      <c r="Y53" s="17" t="s">
        <v>242</v>
      </c>
      <c r="Z53" s="19"/>
      <c r="AA53" s="19"/>
      <c r="AB53" s="17"/>
      <c r="AC53" s="19"/>
    </row>
    <row r="54" customFormat="false" ht="22.35" hidden="false" customHeight="false" outlineLevel="0" collapsed="false">
      <c r="A54" s="10" t="s">
        <v>511</v>
      </c>
      <c r="B54" s="17" t="s">
        <v>169</v>
      </c>
      <c r="C54" s="18" t="s">
        <v>170</v>
      </c>
      <c r="D54" s="17" t="s">
        <v>19</v>
      </c>
      <c r="E54" s="17" t="s">
        <v>75</v>
      </c>
      <c r="F54" s="17" t="s">
        <v>230</v>
      </c>
      <c r="G54" s="17" t="s">
        <v>397</v>
      </c>
      <c r="H54" s="17" t="s">
        <v>28</v>
      </c>
      <c r="I54" s="17" t="s">
        <v>450</v>
      </c>
      <c r="J54" s="17" t="s">
        <v>233</v>
      </c>
      <c r="K54" s="19"/>
      <c r="L54" s="19"/>
      <c r="M54" s="19"/>
      <c r="N54" s="19"/>
      <c r="O54" s="17" t="n">
        <v>1</v>
      </c>
      <c r="P54" s="18" t="s">
        <v>501</v>
      </c>
      <c r="Q54" s="18" t="s">
        <v>342</v>
      </c>
      <c r="R54" s="18" t="s">
        <v>512</v>
      </c>
      <c r="S54" s="17" t="s">
        <v>424</v>
      </c>
      <c r="T54" s="18" t="s">
        <v>513</v>
      </c>
      <c r="U54" s="19"/>
      <c r="V54" s="18" t="s">
        <v>514</v>
      </c>
      <c r="W54" s="17" t="s">
        <v>240</v>
      </c>
      <c r="X54" s="17" t="s">
        <v>515</v>
      </c>
      <c r="Y54" s="17" t="s">
        <v>242</v>
      </c>
      <c r="Z54" s="19"/>
      <c r="AA54" s="19"/>
      <c r="AB54" s="17"/>
      <c r="AC54" s="19"/>
    </row>
    <row r="55" customFormat="false" ht="22.35" hidden="false" customHeight="false" outlineLevel="0" collapsed="false">
      <c r="A55" s="10" t="s">
        <v>516</v>
      </c>
      <c r="B55" s="17" t="s">
        <v>169</v>
      </c>
      <c r="C55" s="18" t="s">
        <v>170</v>
      </c>
      <c r="D55" s="17" t="s">
        <v>19</v>
      </c>
      <c r="E55" s="17" t="s">
        <v>75</v>
      </c>
      <c r="F55" s="17" t="s">
        <v>230</v>
      </c>
      <c r="G55" s="17" t="s">
        <v>397</v>
      </c>
      <c r="H55" s="17" t="s">
        <v>28</v>
      </c>
      <c r="I55" s="17" t="s">
        <v>333</v>
      </c>
      <c r="J55" s="17" t="s">
        <v>233</v>
      </c>
      <c r="K55" s="19"/>
      <c r="L55" s="19"/>
      <c r="M55" s="19"/>
      <c r="N55" s="19"/>
      <c r="O55" s="17" t="n">
        <v>1</v>
      </c>
      <c r="P55" s="18" t="s">
        <v>501</v>
      </c>
      <c r="Q55" s="18" t="s">
        <v>342</v>
      </c>
      <c r="R55" s="18" t="s">
        <v>517</v>
      </c>
      <c r="S55" s="17" t="s">
        <v>479</v>
      </c>
      <c r="T55" s="18" t="s">
        <v>518</v>
      </c>
      <c r="U55" s="19"/>
      <c r="V55" s="18" t="s">
        <v>519</v>
      </c>
      <c r="W55" s="17" t="s">
        <v>240</v>
      </c>
      <c r="X55" s="17" t="s">
        <v>520</v>
      </c>
      <c r="Y55" s="17" t="s">
        <v>242</v>
      </c>
      <c r="Z55" s="19"/>
      <c r="AA55" s="19"/>
      <c r="AB55" s="17"/>
      <c r="AC55" s="19"/>
    </row>
    <row r="56" customFormat="false" ht="22.35" hidden="false" customHeight="false" outlineLevel="0" collapsed="false">
      <c r="A56" s="10" t="s">
        <v>521</v>
      </c>
      <c r="B56" s="17" t="s">
        <v>169</v>
      </c>
      <c r="C56" s="18" t="s">
        <v>170</v>
      </c>
      <c r="D56" s="17" t="s">
        <v>19</v>
      </c>
      <c r="E56" s="17" t="s">
        <v>75</v>
      </c>
      <c r="F56" s="17" t="s">
        <v>230</v>
      </c>
      <c r="G56" s="17" t="s">
        <v>397</v>
      </c>
      <c r="H56" s="17" t="s">
        <v>28</v>
      </c>
      <c r="I56" s="17" t="s">
        <v>289</v>
      </c>
      <c r="J56" s="17" t="s">
        <v>233</v>
      </c>
      <c r="K56" s="19"/>
      <c r="L56" s="19"/>
      <c r="M56" s="19"/>
      <c r="N56" s="19"/>
      <c r="O56" s="17" t="n">
        <v>1</v>
      </c>
      <c r="P56" s="18" t="s">
        <v>501</v>
      </c>
      <c r="Q56" s="18" t="s">
        <v>522</v>
      </c>
      <c r="R56" s="18" t="s">
        <v>523</v>
      </c>
      <c r="S56" s="17" t="s">
        <v>449</v>
      </c>
      <c r="T56" s="18" t="s">
        <v>365</v>
      </c>
      <c r="U56" s="19"/>
      <c r="V56" s="18" t="s">
        <v>524</v>
      </c>
      <c r="W56" s="17" t="s">
        <v>240</v>
      </c>
      <c r="X56" s="17" t="s">
        <v>287</v>
      </c>
      <c r="Y56" s="17" t="s">
        <v>242</v>
      </c>
      <c r="Z56" s="19"/>
      <c r="AA56" s="19"/>
      <c r="AB56" s="17"/>
      <c r="AC56" s="19"/>
    </row>
    <row r="57" customFormat="false" ht="22.35" hidden="false" customHeight="false" outlineLevel="0" collapsed="false">
      <c r="A57" s="10" t="s">
        <v>525</v>
      </c>
      <c r="B57" s="17" t="s">
        <v>169</v>
      </c>
      <c r="C57" s="18" t="s">
        <v>170</v>
      </c>
      <c r="D57" s="17" t="s">
        <v>19</v>
      </c>
      <c r="E57" s="17" t="s">
        <v>75</v>
      </c>
      <c r="F57" s="17" t="s">
        <v>230</v>
      </c>
      <c r="G57" s="17" t="s">
        <v>397</v>
      </c>
      <c r="H57" s="17" t="s">
        <v>28</v>
      </c>
      <c r="I57" s="17" t="s">
        <v>450</v>
      </c>
      <c r="J57" s="17" t="s">
        <v>233</v>
      </c>
      <c r="K57" s="19"/>
      <c r="L57" s="19"/>
      <c r="M57" s="19"/>
      <c r="N57" s="19"/>
      <c r="O57" s="17" t="n">
        <v>1</v>
      </c>
      <c r="P57" s="18" t="s">
        <v>501</v>
      </c>
      <c r="Q57" s="18" t="s">
        <v>522</v>
      </c>
      <c r="R57" s="18" t="s">
        <v>526</v>
      </c>
      <c r="S57" s="17" t="s">
        <v>449</v>
      </c>
      <c r="T57" s="18" t="s">
        <v>527</v>
      </c>
      <c r="U57" s="19"/>
      <c r="V57" s="18" t="s">
        <v>528</v>
      </c>
      <c r="W57" s="17" t="s">
        <v>240</v>
      </c>
      <c r="X57" s="17" t="s">
        <v>529</v>
      </c>
      <c r="Y57" s="17" t="s">
        <v>242</v>
      </c>
      <c r="Z57" s="19"/>
      <c r="AA57" s="19"/>
      <c r="AB57" s="17"/>
      <c r="AC57" s="19"/>
    </row>
    <row r="58" customFormat="false" ht="22.35" hidden="false" customHeight="false" outlineLevel="0" collapsed="false">
      <c r="A58" s="10" t="s">
        <v>530</v>
      </c>
      <c r="B58" s="17" t="s">
        <v>169</v>
      </c>
      <c r="C58" s="18" t="s">
        <v>170</v>
      </c>
      <c r="D58" s="17" t="s">
        <v>19</v>
      </c>
      <c r="E58" s="17" t="s">
        <v>75</v>
      </c>
      <c r="F58" s="17" t="s">
        <v>230</v>
      </c>
      <c r="G58" s="17" t="s">
        <v>397</v>
      </c>
      <c r="H58" s="17" t="s">
        <v>28</v>
      </c>
      <c r="I58" s="17" t="s">
        <v>289</v>
      </c>
      <c r="J58" s="17" t="s">
        <v>233</v>
      </c>
      <c r="K58" s="19"/>
      <c r="L58" s="19"/>
      <c r="M58" s="19"/>
      <c r="N58" s="19"/>
      <c r="O58" s="17" t="n">
        <v>1</v>
      </c>
      <c r="P58" s="18" t="s">
        <v>501</v>
      </c>
      <c r="Q58" s="18" t="s">
        <v>522</v>
      </c>
      <c r="R58" s="18" t="s">
        <v>531</v>
      </c>
      <c r="S58" s="17" t="s">
        <v>479</v>
      </c>
      <c r="T58" s="18" t="s">
        <v>532</v>
      </c>
      <c r="U58" s="19"/>
      <c r="V58" s="18" t="s">
        <v>533</v>
      </c>
      <c r="W58" s="17" t="s">
        <v>240</v>
      </c>
      <c r="X58" s="17" t="s">
        <v>287</v>
      </c>
      <c r="Y58" s="17" t="s">
        <v>242</v>
      </c>
      <c r="Z58" s="19"/>
      <c r="AA58" s="19"/>
      <c r="AB58" s="17"/>
      <c r="AC58" s="19"/>
    </row>
    <row r="59" customFormat="false" ht="22.35" hidden="false" customHeight="false" outlineLevel="0" collapsed="false">
      <c r="A59" s="10" t="s">
        <v>534</v>
      </c>
      <c r="B59" s="17" t="s">
        <v>169</v>
      </c>
      <c r="C59" s="18" t="s">
        <v>170</v>
      </c>
      <c r="D59" s="17" t="s">
        <v>19</v>
      </c>
      <c r="E59" s="17" t="s">
        <v>75</v>
      </c>
      <c r="F59" s="17" t="s">
        <v>230</v>
      </c>
      <c r="G59" s="17" t="s">
        <v>397</v>
      </c>
      <c r="H59" s="17" t="s">
        <v>28</v>
      </c>
      <c r="I59" s="17" t="s">
        <v>369</v>
      </c>
      <c r="J59" s="17" t="s">
        <v>233</v>
      </c>
      <c r="K59" s="19"/>
      <c r="L59" s="19"/>
      <c r="M59" s="19"/>
      <c r="N59" s="19"/>
      <c r="O59" s="17" t="n">
        <v>1</v>
      </c>
      <c r="P59" s="18" t="s">
        <v>501</v>
      </c>
      <c r="Q59" s="18" t="s">
        <v>522</v>
      </c>
      <c r="R59" s="18" t="s">
        <v>535</v>
      </c>
      <c r="S59" s="17" t="s">
        <v>530</v>
      </c>
      <c r="T59" s="18" t="s">
        <v>371</v>
      </c>
      <c r="U59" s="19"/>
      <c r="V59" s="18" t="s">
        <v>536</v>
      </c>
      <c r="W59" s="17" t="s">
        <v>240</v>
      </c>
      <c r="X59" s="17" t="s">
        <v>287</v>
      </c>
      <c r="Y59" s="17" t="s">
        <v>242</v>
      </c>
      <c r="Z59" s="19"/>
      <c r="AA59" s="19"/>
      <c r="AB59" s="17"/>
      <c r="AC59" s="19"/>
    </row>
    <row r="60" customFormat="false" ht="22.35" hidden="false" customHeight="false" outlineLevel="0" collapsed="false">
      <c r="A60" s="10" t="s">
        <v>537</v>
      </c>
      <c r="B60" s="17" t="s">
        <v>169</v>
      </c>
      <c r="C60" s="18" t="s">
        <v>170</v>
      </c>
      <c r="D60" s="17" t="s">
        <v>19</v>
      </c>
      <c r="E60" s="17" t="s">
        <v>229</v>
      </c>
      <c r="F60" s="17" t="s">
        <v>230</v>
      </c>
      <c r="G60" s="17" t="s">
        <v>397</v>
      </c>
      <c r="H60" s="17" t="s">
        <v>28</v>
      </c>
      <c r="I60" s="17" t="s">
        <v>289</v>
      </c>
      <c r="J60" s="17" t="s">
        <v>233</v>
      </c>
      <c r="K60" s="19"/>
      <c r="L60" s="19"/>
      <c r="M60" s="19"/>
      <c r="N60" s="19"/>
      <c r="O60" s="17" t="n">
        <v>1</v>
      </c>
      <c r="P60" s="18" t="s">
        <v>501</v>
      </c>
      <c r="Q60" s="18" t="s">
        <v>374</v>
      </c>
      <c r="R60" s="18" t="s">
        <v>538</v>
      </c>
      <c r="S60" s="17" t="s">
        <v>462</v>
      </c>
      <c r="T60" s="18" t="s">
        <v>376</v>
      </c>
      <c r="U60" s="19"/>
      <c r="V60" s="18" t="s">
        <v>539</v>
      </c>
      <c r="W60" s="17" t="s">
        <v>240</v>
      </c>
      <c r="X60" s="17" t="s">
        <v>378</v>
      </c>
      <c r="Y60" s="17" t="s">
        <v>242</v>
      </c>
      <c r="Z60" s="19"/>
      <c r="AA60" s="19"/>
      <c r="AB60" s="17"/>
      <c r="AC60" s="19"/>
    </row>
    <row r="61" customFormat="false" ht="22.35" hidden="false" customHeight="false" outlineLevel="0" collapsed="false">
      <c r="A61" s="10" t="s">
        <v>540</v>
      </c>
      <c r="B61" s="17" t="s">
        <v>169</v>
      </c>
      <c r="C61" s="18" t="s">
        <v>170</v>
      </c>
      <c r="D61" s="17" t="s">
        <v>19</v>
      </c>
      <c r="E61" s="17" t="s">
        <v>229</v>
      </c>
      <c r="F61" s="17" t="s">
        <v>230</v>
      </c>
      <c r="G61" s="17" t="s">
        <v>397</v>
      </c>
      <c r="H61" s="17" t="s">
        <v>28</v>
      </c>
      <c r="I61" s="17" t="s">
        <v>289</v>
      </c>
      <c r="J61" s="17" t="s">
        <v>233</v>
      </c>
      <c r="K61" s="19"/>
      <c r="L61" s="19"/>
      <c r="M61" s="19"/>
      <c r="N61" s="19"/>
      <c r="O61" s="17" t="n">
        <v>1</v>
      </c>
      <c r="P61" s="18" t="s">
        <v>501</v>
      </c>
      <c r="Q61" s="18" t="s">
        <v>374</v>
      </c>
      <c r="R61" s="18" t="s">
        <v>541</v>
      </c>
      <c r="S61" s="17" t="s">
        <v>537</v>
      </c>
      <c r="T61" s="18" t="s">
        <v>381</v>
      </c>
      <c r="U61" s="19"/>
      <c r="V61" s="18" t="s">
        <v>382</v>
      </c>
      <c r="W61" s="17" t="s">
        <v>383</v>
      </c>
      <c r="X61" s="17" t="s">
        <v>384</v>
      </c>
      <c r="Y61" s="17" t="s">
        <v>242</v>
      </c>
      <c r="Z61" s="19"/>
      <c r="AA61" s="19"/>
      <c r="AB61" s="17"/>
      <c r="AC61" s="19"/>
    </row>
    <row r="62" customFormat="false" ht="22.35" hidden="false" customHeight="false" outlineLevel="0" collapsed="false">
      <c r="A62" s="10" t="s">
        <v>542</v>
      </c>
      <c r="B62" s="17" t="s">
        <v>169</v>
      </c>
      <c r="C62" s="18" t="s">
        <v>170</v>
      </c>
      <c r="D62" s="17" t="s">
        <v>19</v>
      </c>
      <c r="E62" s="17" t="s">
        <v>75</v>
      </c>
      <c r="F62" s="17" t="s">
        <v>230</v>
      </c>
      <c r="G62" s="17" t="s">
        <v>397</v>
      </c>
      <c r="H62" s="17" t="s">
        <v>28</v>
      </c>
      <c r="I62" s="17" t="s">
        <v>369</v>
      </c>
      <c r="J62" s="17" t="s">
        <v>233</v>
      </c>
      <c r="K62" s="19"/>
      <c r="L62" s="19"/>
      <c r="M62" s="19"/>
      <c r="N62" s="19"/>
      <c r="O62" s="17" t="n">
        <v>1</v>
      </c>
      <c r="P62" s="18" t="s">
        <v>501</v>
      </c>
      <c r="Q62" s="18" t="s">
        <v>374</v>
      </c>
      <c r="R62" s="18" t="s">
        <v>543</v>
      </c>
      <c r="S62" s="17" t="s">
        <v>434</v>
      </c>
      <c r="T62" s="18" t="s">
        <v>544</v>
      </c>
      <c r="U62" s="19"/>
      <c r="V62" s="18" t="s">
        <v>545</v>
      </c>
      <c r="W62" s="17" t="s">
        <v>240</v>
      </c>
      <c r="X62" s="17" t="s">
        <v>287</v>
      </c>
      <c r="Y62" s="17" t="s">
        <v>242</v>
      </c>
      <c r="Z62" s="19"/>
      <c r="AA62" s="19"/>
      <c r="AB62" s="17"/>
      <c r="AC62" s="19"/>
    </row>
    <row r="63" customFormat="false" ht="22.35" hidden="false" customHeight="false" outlineLevel="0" collapsed="false">
      <c r="A63" s="10" t="s">
        <v>546</v>
      </c>
      <c r="B63" s="17" t="s">
        <v>169</v>
      </c>
      <c r="C63" s="18" t="s">
        <v>170</v>
      </c>
      <c r="D63" s="17" t="s">
        <v>19</v>
      </c>
      <c r="E63" s="17" t="s">
        <v>75</v>
      </c>
      <c r="F63" s="17" t="s">
        <v>230</v>
      </c>
      <c r="G63" s="17" t="s">
        <v>397</v>
      </c>
      <c r="H63" s="17" t="s">
        <v>28</v>
      </c>
      <c r="I63" s="17" t="s">
        <v>283</v>
      </c>
      <c r="J63" s="17" t="s">
        <v>233</v>
      </c>
      <c r="K63" s="19"/>
      <c r="L63" s="19"/>
      <c r="M63" s="19"/>
      <c r="N63" s="19"/>
      <c r="O63" s="17" t="n">
        <v>1</v>
      </c>
      <c r="P63" s="18" t="s">
        <v>501</v>
      </c>
      <c r="Q63" s="18" t="s">
        <v>374</v>
      </c>
      <c r="R63" s="18" t="s">
        <v>547</v>
      </c>
      <c r="S63" s="17" t="s">
        <v>542</v>
      </c>
      <c r="T63" s="18" t="s">
        <v>285</v>
      </c>
      <c r="U63" s="19"/>
      <c r="V63" s="18" t="s">
        <v>286</v>
      </c>
      <c r="W63" s="17" t="s">
        <v>240</v>
      </c>
      <c r="X63" s="17" t="s">
        <v>287</v>
      </c>
      <c r="Y63" s="17" t="s">
        <v>242</v>
      </c>
      <c r="Z63" s="19"/>
      <c r="AA63" s="19"/>
      <c r="AB63" s="17"/>
      <c r="AC63" s="19"/>
    </row>
    <row r="64" customFormat="false" ht="22.35" hidden="false" customHeight="false" outlineLevel="0" collapsed="false">
      <c r="A64" s="10" t="s">
        <v>443</v>
      </c>
      <c r="B64" s="17" t="s">
        <v>169</v>
      </c>
      <c r="C64" s="18" t="s">
        <v>170</v>
      </c>
      <c r="D64" s="17" t="s">
        <v>19</v>
      </c>
      <c r="E64" s="17" t="s">
        <v>244</v>
      </c>
      <c r="F64" s="17" t="s">
        <v>230</v>
      </c>
      <c r="G64" s="17" t="s">
        <v>548</v>
      </c>
      <c r="H64" s="17" t="s">
        <v>28</v>
      </c>
      <c r="I64" s="17" t="s">
        <v>232</v>
      </c>
      <c r="J64" s="17" t="s">
        <v>233</v>
      </c>
      <c r="K64" s="19"/>
      <c r="L64" s="19"/>
      <c r="M64" s="19"/>
      <c r="N64" s="19"/>
      <c r="O64" s="17" t="n">
        <v>0</v>
      </c>
      <c r="P64" s="18" t="s">
        <v>549</v>
      </c>
      <c r="Q64" s="18" t="s">
        <v>550</v>
      </c>
      <c r="R64" s="18" t="s">
        <v>551</v>
      </c>
      <c r="S64" s="17" t="s">
        <v>237</v>
      </c>
      <c r="T64" s="18" t="s">
        <v>552</v>
      </c>
      <c r="U64" s="19"/>
      <c r="V64" s="18" t="s">
        <v>553</v>
      </c>
      <c r="W64" s="17" t="s">
        <v>240</v>
      </c>
      <c r="X64" s="17" t="s">
        <v>554</v>
      </c>
      <c r="Y64" s="17" t="s">
        <v>242</v>
      </c>
      <c r="Z64" s="19"/>
      <c r="AA64" s="19"/>
      <c r="AB64" s="17"/>
      <c r="AC64" s="19"/>
    </row>
    <row r="65" customFormat="false" ht="22.35" hidden="false" customHeight="false" outlineLevel="0" collapsed="false">
      <c r="A65" s="10" t="s">
        <v>555</v>
      </c>
      <c r="B65" s="17" t="s">
        <v>169</v>
      </c>
      <c r="C65" s="18" t="s">
        <v>170</v>
      </c>
      <c r="D65" s="17" t="s">
        <v>19</v>
      </c>
      <c r="E65" s="17" t="s">
        <v>244</v>
      </c>
      <c r="F65" s="17" t="s">
        <v>230</v>
      </c>
      <c r="G65" s="17" t="s">
        <v>548</v>
      </c>
      <c r="H65" s="17" t="s">
        <v>28</v>
      </c>
      <c r="I65" s="17" t="s">
        <v>232</v>
      </c>
      <c r="J65" s="17" t="s">
        <v>233</v>
      </c>
      <c r="K65" s="19"/>
      <c r="L65" s="19"/>
      <c r="M65" s="19"/>
      <c r="N65" s="19"/>
      <c r="O65" s="17" t="n">
        <v>0</v>
      </c>
      <c r="P65" s="18" t="s">
        <v>549</v>
      </c>
      <c r="Q65" s="18" t="s">
        <v>550</v>
      </c>
      <c r="R65" s="18" t="s">
        <v>556</v>
      </c>
      <c r="S65" s="17" t="s">
        <v>237</v>
      </c>
      <c r="T65" s="18" t="s">
        <v>552</v>
      </c>
      <c r="U65" s="19"/>
      <c r="V65" s="18" t="s">
        <v>557</v>
      </c>
      <c r="W65" s="17" t="s">
        <v>240</v>
      </c>
      <c r="X65" s="17" t="s">
        <v>558</v>
      </c>
      <c r="Y65" s="17" t="s">
        <v>242</v>
      </c>
      <c r="Z65" s="19"/>
      <c r="AA65" s="19"/>
      <c r="AB65" s="17"/>
      <c r="AC65" s="19"/>
    </row>
    <row r="66" customFormat="false" ht="22.35" hidden="false" customHeight="false" outlineLevel="0" collapsed="false">
      <c r="A66" s="10" t="s">
        <v>559</v>
      </c>
      <c r="B66" s="17" t="s">
        <v>169</v>
      </c>
      <c r="C66" s="18" t="s">
        <v>170</v>
      </c>
      <c r="D66" s="17" t="s">
        <v>19</v>
      </c>
      <c r="E66" s="17" t="s">
        <v>244</v>
      </c>
      <c r="F66" s="17" t="s">
        <v>230</v>
      </c>
      <c r="G66" s="17" t="s">
        <v>548</v>
      </c>
      <c r="H66" s="17" t="s">
        <v>28</v>
      </c>
      <c r="I66" s="17" t="s">
        <v>232</v>
      </c>
      <c r="J66" s="17" t="s">
        <v>233</v>
      </c>
      <c r="K66" s="19"/>
      <c r="L66" s="19"/>
      <c r="M66" s="19"/>
      <c r="N66" s="19"/>
      <c r="O66" s="17" t="n">
        <v>0</v>
      </c>
      <c r="P66" s="18" t="s">
        <v>549</v>
      </c>
      <c r="Q66" s="18" t="s">
        <v>550</v>
      </c>
      <c r="R66" s="18" t="s">
        <v>560</v>
      </c>
      <c r="S66" s="17" t="s">
        <v>259</v>
      </c>
      <c r="T66" s="18" t="s">
        <v>552</v>
      </c>
      <c r="U66" s="19"/>
      <c r="V66" s="18" t="s">
        <v>561</v>
      </c>
      <c r="W66" s="17" t="s">
        <v>240</v>
      </c>
      <c r="X66" s="17" t="s">
        <v>562</v>
      </c>
      <c r="Y66" s="17" t="s">
        <v>242</v>
      </c>
      <c r="Z66" s="19"/>
      <c r="AA66" s="19"/>
      <c r="AB66" s="17"/>
      <c r="AC66" s="19"/>
    </row>
    <row r="67" customFormat="false" ht="22.35" hidden="false" customHeight="false" outlineLevel="0" collapsed="false">
      <c r="A67" s="10" t="s">
        <v>563</v>
      </c>
      <c r="B67" s="17" t="s">
        <v>169</v>
      </c>
      <c r="C67" s="18" t="s">
        <v>170</v>
      </c>
      <c r="D67" s="17" t="s">
        <v>19</v>
      </c>
      <c r="E67" s="17" t="s">
        <v>244</v>
      </c>
      <c r="F67" s="17" t="s">
        <v>230</v>
      </c>
      <c r="G67" s="17" t="s">
        <v>548</v>
      </c>
      <c r="H67" s="17" t="s">
        <v>28</v>
      </c>
      <c r="I67" s="17" t="s">
        <v>232</v>
      </c>
      <c r="J67" s="17" t="s">
        <v>233</v>
      </c>
      <c r="K67" s="19"/>
      <c r="L67" s="19"/>
      <c r="M67" s="19"/>
      <c r="N67" s="19"/>
      <c r="O67" s="17" t="n">
        <v>0</v>
      </c>
      <c r="P67" s="18" t="s">
        <v>549</v>
      </c>
      <c r="Q67" s="18" t="s">
        <v>550</v>
      </c>
      <c r="R67" s="18" t="s">
        <v>564</v>
      </c>
      <c r="S67" s="17" t="s">
        <v>237</v>
      </c>
      <c r="T67" s="18" t="s">
        <v>565</v>
      </c>
      <c r="U67" s="19"/>
      <c r="V67" s="18" t="s">
        <v>566</v>
      </c>
      <c r="W67" s="17" t="s">
        <v>240</v>
      </c>
      <c r="X67" s="17" t="s">
        <v>567</v>
      </c>
      <c r="Y67" s="17" t="s">
        <v>242</v>
      </c>
      <c r="Z67" s="19"/>
      <c r="AA67" s="19"/>
      <c r="AB67" s="17"/>
      <c r="AC67" s="19"/>
    </row>
    <row r="68" customFormat="false" ht="22.35" hidden="false" customHeight="false" outlineLevel="0" collapsed="false">
      <c r="A68" s="10" t="s">
        <v>568</v>
      </c>
      <c r="B68" s="17" t="s">
        <v>169</v>
      </c>
      <c r="C68" s="18" t="s">
        <v>170</v>
      </c>
      <c r="D68" s="17" t="s">
        <v>19</v>
      </c>
      <c r="E68" s="17" t="s">
        <v>244</v>
      </c>
      <c r="F68" s="17" t="s">
        <v>230</v>
      </c>
      <c r="G68" s="17" t="s">
        <v>548</v>
      </c>
      <c r="H68" s="17" t="s">
        <v>28</v>
      </c>
      <c r="I68" s="17" t="s">
        <v>232</v>
      </c>
      <c r="J68" s="17" t="s">
        <v>233</v>
      </c>
      <c r="K68" s="19"/>
      <c r="L68" s="19"/>
      <c r="M68" s="19"/>
      <c r="N68" s="19"/>
      <c r="O68" s="17" t="n">
        <v>0</v>
      </c>
      <c r="P68" s="18" t="s">
        <v>549</v>
      </c>
      <c r="Q68" s="18" t="s">
        <v>550</v>
      </c>
      <c r="R68" s="18" t="s">
        <v>569</v>
      </c>
      <c r="S68" s="17" t="s">
        <v>237</v>
      </c>
      <c r="T68" s="18" t="s">
        <v>570</v>
      </c>
      <c r="U68" s="19"/>
      <c r="V68" s="18" t="s">
        <v>571</v>
      </c>
      <c r="W68" s="17" t="s">
        <v>240</v>
      </c>
      <c r="X68" s="17" t="s">
        <v>572</v>
      </c>
      <c r="Y68" s="17" t="s">
        <v>242</v>
      </c>
      <c r="Z68" s="19"/>
      <c r="AA68" s="19"/>
      <c r="AB68" s="17"/>
      <c r="AC68" s="19"/>
    </row>
    <row r="69" customFormat="false" ht="22.35" hidden="false" customHeight="false" outlineLevel="0" collapsed="false">
      <c r="A69" s="10" t="s">
        <v>573</v>
      </c>
      <c r="B69" s="17" t="s">
        <v>169</v>
      </c>
      <c r="C69" s="18" t="s">
        <v>170</v>
      </c>
      <c r="D69" s="17" t="s">
        <v>19</v>
      </c>
      <c r="E69" s="17" t="s">
        <v>244</v>
      </c>
      <c r="F69" s="17" t="s">
        <v>230</v>
      </c>
      <c r="G69" s="17" t="s">
        <v>548</v>
      </c>
      <c r="H69" s="17" t="s">
        <v>28</v>
      </c>
      <c r="I69" s="17" t="s">
        <v>232</v>
      </c>
      <c r="J69" s="17" t="s">
        <v>233</v>
      </c>
      <c r="K69" s="19"/>
      <c r="L69" s="19"/>
      <c r="M69" s="19"/>
      <c r="N69" s="19"/>
      <c r="O69" s="17" t="n">
        <v>0</v>
      </c>
      <c r="P69" s="18" t="s">
        <v>549</v>
      </c>
      <c r="Q69" s="18" t="s">
        <v>550</v>
      </c>
      <c r="R69" s="18" t="s">
        <v>574</v>
      </c>
      <c r="S69" s="17" t="s">
        <v>237</v>
      </c>
      <c r="T69" s="18" t="s">
        <v>552</v>
      </c>
      <c r="U69" s="19"/>
      <c r="V69" s="18" t="s">
        <v>575</v>
      </c>
      <c r="W69" s="17" t="s">
        <v>240</v>
      </c>
      <c r="X69" s="17" t="s">
        <v>576</v>
      </c>
      <c r="Y69" s="17" t="s">
        <v>242</v>
      </c>
      <c r="Z69" s="19"/>
      <c r="AA69" s="19"/>
      <c r="AB69" s="17"/>
      <c r="AC69" s="19"/>
    </row>
    <row r="70" customFormat="false" ht="22.35" hidden="false" customHeight="false" outlineLevel="0" collapsed="false">
      <c r="A70" s="10" t="s">
        <v>577</v>
      </c>
      <c r="B70" s="17" t="s">
        <v>169</v>
      </c>
      <c r="C70" s="18" t="s">
        <v>170</v>
      </c>
      <c r="D70" s="17" t="s">
        <v>19</v>
      </c>
      <c r="E70" s="17" t="s">
        <v>229</v>
      </c>
      <c r="F70" s="17" t="s">
        <v>230</v>
      </c>
      <c r="G70" s="17" t="s">
        <v>548</v>
      </c>
      <c r="H70" s="17" t="s">
        <v>28</v>
      </c>
      <c r="I70" s="17" t="s">
        <v>232</v>
      </c>
      <c r="J70" s="17" t="s">
        <v>233</v>
      </c>
      <c r="K70" s="19"/>
      <c r="L70" s="19"/>
      <c r="M70" s="19"/>
      <c r="N70" s="19"/>
      <c r="O70" s="17" t="n">
        <v>0</v>
      </c>
      <c r="P70" s="18" t="s">
        <v>549</v>
      </c>
      <c r="Q70" s="18" t="s">
        <v>550</v>
      </c>
      <c r="R70" s="18" t="s">
        <v>578</v>
      </c>
      <c r="S70" s="17" t="s">
        <v>237</v>
      </c>
      <c r="T70" s="18" t="s">
        <v>552</v>
      </c>
      <c r="U70" s="19"/>
      <c r="V70" s="18" t="s">
        <v>579</v>
      </c>
      <c r="W70" s="17" t="s">
        <v>240</v>
      </c>
      <c r="X70" s="17" t="s">
        <v>580</v>
      </c>
      <c r="Y70" s="17" t="s">
        <v>242</v>
      </c>
      <c r="Z70" s="19"/>
      <c r="AA70" s="19"/>
      <c r="AB70" s="17"/>
      <c r="AC70" s="19"/>
    </row>
    <row r="71" customFormat="false" ht="22.35" hidden="false" customHeight="false" outlineLevel="0" collapsed="false">
      <c r="A71" s="10" t="s">
        <v>581</v>
      </c>
      <c r="B71" s="17" t="s">
        <v>169</v>
      </c>
      <c r="C71" s="18" t="s">
        <v>170</v>
      </c>
      <c r="D71" s="17" t="s">
        <v>19</v>
      </c>
      <c r="E71" s="17" t="s">
        <v>229</v>
      </c>
      <c r="F71" s="17" t="s">
        <v>230</v>
      </c>
      <c r="G71" s="17" t="s">
        <v>548</v>
      </c>
      <c r="H71" s="17" t="s">
        <v>28</v>
      </c>
      <c r="I71" s="17" t="s">
        <v>232</v>
      </c>
      <c r="J71" s="17" t="s">
        <v>233</v>
      </c>
      <c r="K71" s="19"/>
      <c r="L71" s="19"/>
      <c r="M71" s="19"/>
      <c r="N71" s="19"/>
      <c r="O71" s="17" t="n">
        <v>0</v>
      </c>
      <c r="P71" s="18" t="s">
        <v>549</v>
      </c>
      <c r="Q71" s="18" t="s">
        <v>582</v>
      </c>
      <c r="R71" s="18" t="s">
        <v>583</v>
      </c>
      <c r="S71" s="17" t="s">
        <v>443</v>
      </c>
      <c r="T71" s="18" t="s">
        <v>584</v>
      </c>
      <c r="U71" s="19"/>
      <c r="V71" s="18" t="s">
        <v>585</v>
      </c>
      <c r="W71" s="17" t="s">
        <v>240</v>
      </c>
      <c r="X71" s="17" t="s">
        <v>586</v>
      </c>
      <c r="Y71" s="17" t="s">
        <v>242</v>
      </c>
      <c r="Z71" s="19"/>
      <c r="AA71" s="19"/>
      <c r="AB71" s="17"/>
      <c r="AC71" s="19"/>
    </row>
    <row r="72" customFormat="false" ht="22.35" hidden="false" customHeight="false" outlineLevel="0" collapsed="false">
      <c r="A72" s="10" t="s">
        <v>587</v>
      </c>
      <c r="B72" s="17" t="s">
        <v>169</v>
      </c>
      <c r="C72" s="18" t="s">
        <v>170</v>
      </c>
      <c r="D72" s="17" t="s">
        <v>19</v>
      </c>
      <c r="E72" s="17" t="s">
        <v>229</v>
      </c>
      <c r="F72" s="17" t="s">
        <v>230</v>
      </c>
      <c r="G72" s="17" t="s">
        <v>548</v>
      </c>
      <c r="H72" s="17" t="s">
        <v>28</v>
      </c>
      <c r="I72" s="17" t="s">
        <v>232</v>
      </c>
      <c r="J72" s="17" t="s">
        <v>233</v>
      </c>
      <c r="K72" s="19"/>
      <c r="L72" s="19"/>
      <c r="M72" s="19"/>
      <c r="N72" s="19"/>
      <c r="O72" s="17" t="n">
        <v>0</v>
      </c>
      <c r="P72" s="18" t="s">
        <v>549</v>
      </c>
      <c r="Q72" s="18" t="s">
        <v>582</v>
      </c>
      <c r="R72" s="18" t="s">
        <v>588</v>
      </c>
      <c r="S72" s="17" t="s">
        <v>237</v>
      </c>
      <c r="T72" s="18" t="s">
        <v>589</v>
      </c>
      <c r="U72" s="19"/>
      <c r="V72" s="18" t="s">
        <v>590</v>
      </c>
      <c r="W72" s="17" t="s">
        <v>240</v>
      </c>
      <c r="X72" s="17" t="s">
        <v>591</v>
      </c>
      <c r="Y72" s="17" t="s">
        <v>242</v>
      </c>
      <c r="Z72" s="19"/>
      <c r="AA72" s="19"/>
      <c r="AB72" s="17"/>
      <c r="AC72" s="19"/>
    </row>
    <row r="73" customFormat="false" ht="22.35" hidden="false" customHeight="false" outlineLevel="0" collapsed="false">
      <c r="A73" s="10" t="s">
        <v>592</v>
      </c>
      <c r="B73" s="17" t="s">
        <v>169</v>
      </c>
      <c r="C73" s="18" t="s">
        <v>170</v>
      </c>
      <c r="D73" s="17" t="s">
        <v>19</v>
      </c>
      <c r="E73" s="17" t="s">
        <v>229</v>
      </c>
      <c r="F73" s="17" t="s">
        <v>230</v>
      </c>
      <c r="G73" s="17" t="s">
        <v>548</v>
      </c>
      <c r="H73" s="17" t="s">
        <v>28</v>
      </c>
      <c r="I73" s="17" t="s">
        <v>232</v>
      </c>
      <c r="J73" s="17" t="s">
        <v>233</v>
      </c>
      <c r="K73" s="19"/>
      <c r="L73" s="19"/>
      <c r="M73" s="19"/>
      <c r="N73" s="19"/>
      <c r="O73" s="17" t="n">
        <v>0</v>
      </c>
      <c r="P73" s="18" t="s">
        <v>549</v>
      </c>
      <c r="Q73" s="18" t="s">
        <v>582</v>
      </c>
      <c r="R73" s="18" t="s">
        <v>593</v>
      </c>
      <c r="S73" s="17" t="s">
        <v>594</v>
      </c>
      <c r="T73" s="18" t="s">
        <v>595</v>
      </c>
      <c r="U73" s="19"/>
      <c r="V73" s="18" t="s">
        <v>596</v>
      </c>
      <c r="W73" s="17" t="s">
        <v>240</v>
      </c>
      <c r="X73" s="17" t="s">
        <v>597</v>
      </c>
      <c r="Y73" s="17" t="s">
        <v>242</v>
      </c>
      <c r="Z73" s="19"/>
      <c r="AA73" s="19"/>
      <c r="AB73" s="17"/>
      <c r="AC73" s="19"/>
    </row>
    <row r="74" customFormat="false" ht="22.35" hidden="false" customHeight="false" outlineLevel="0" collapsed="false">
      <c r="A74" s="10" t="s">
        <v>598</v>
      </c>
      <c r="B74" s="17" t="s">
        <v>169</v>
      </c>
      <c r="C74" s="18" t="s">
        <v>170</v>
      </c>
      <c r="D74" s="17" t="s">
        <v>19</v>
      </c>
      <c r="E74" s="17" t="s">
        <v>229</v>
      </c>
      <c r="F74" s="17" t="s">
        <v>230</v>
      </c>
      <c r="G74" s="17" t="s">
        <v>548</v>
      </c>
      <c r="H74" s="17" t="s">
        <v>28</v>
      </c>
      <c r="I74" s="17" t="s">
        <v>283</v>
      </c>
      <c r="J74" s="17" t="s">
        <v>233</v>
      </c>
      <c r="K74" s="19"/>
      <c r="L74" s="19"/>
      <c r="M74" s="19"/>
      <c r="N74" s="19"/>
      <c r="O74" s="17" t="n">
        <v>0</v>
      </c>
      <c r="P74" s="18" t="s">
        <v>549</v>
      </c>
      <c r="Q74" s="18" t="s">
        <v>582</v>
      </c>
      <c r="R74" s="18" t="s">
        <v>599</v>
      </c>
      <c r="S74" s="17" t="s">
        <v>592</v>
      </c>
      <c r="T74" s="18" t="s">
        <v>285</v>
      </c>
      <c r="U74" s="19"/>
      <c r="V74" s="18" t="s">
        <v>286</v>
      </c>
      <c r="W74" s="17" t="s">
        <v>240</v>
      </c>
      <c r="X74" s="17" t="s">
        <v>287</v>
      </c>
      <c r="Y74" s="17" t="s">
        <v>242</v>
      </c>
      <c r="Z74" s="19"/>
      <c r="AA74" s="19"/>
      <c r="AB74" s="17"/>
      <c r="AC74" s="19"/>
    </row>
    <row r="75" customFormat="false" ht="22.35" hidden="false" customHeight="false" outlineLevel="0" collapsed="false">
      <c r="A75" s="10" t="s">
        <v>600</v>
      </c>
      <c r="B75" s="17" t="s">
        <v>169</v>
      </c>
      <c r="C75" s="18" t="s">
        <v>170</v>
      </c>
      <c r="D75" s="17" t="s">
        <v>19</v>
      </c>
      <c r="E75" s="17" t="s">
        <v>75</v>
      </c>
      <c r="F75" s="17" t="s">
        <v>230</v>
      </c>
      <c r="G75" s="17" t="s">
        <v>548</v>
      </c>
      <c r="H75" s="17" t="s">
        <v>28</v>
      </c>
      <c r="I75" s="17" t="s">
        <v>316</v>
      </c>
      <c r="J75" s="17" t="s">
        <v>233</v>
      </c>
      <c r="K75" s="19"/>
      <c r="L75" s="19"/>
      <c r="M75" s="19"/>
      <c r="N75" s="19"/>
      <c r="O75" s="17" t="n">
        <v>1</v>
      </c>
      <c r="P75" s="18" t="s">
        <v>601</v>
      </c>
      <c r="Q75" s="18" t="s">
        <v>602</v>
      </c>
      <c r="R75" s="18" t="s">
        <v>603</v>
      </c>
      <c r="S75" s="17" t="s">
        <v>592</v>
      </c>
      <c r="T75" s="18" t="s">
        <v>604</v>
      </c>
      <c r="U75" s="19"/>
      <c r="V75" s="18" t="s">
        <v>605</v>
      </c>
      <c r="W75" s="17" t="s">
        <v>240</v>
      </c>
      <c r="X75" s="17" t="s">
        <v>606</v>
      </c>
      <c r="Y75" s="17" t="s">
        <v>242</v>
      </c>
      <c r="Z75" s="19"/>
      <c r="AA75" s="19"/>
      <c r="AB75" s="17"/>
      <c r="AC75" s="19"/>
    </row>
    <row r="76" customFormat="false" ht="22.35" hidden="false" customHeight="false" outlineLevel="0" collapsed="false">
      <c r="A76" s="10" t="s">
        <v>607</v>
      </c>
      <c r="B76" s="17" t="s">
        <v>169</v>
      </c>
      <c r="C76" s="18" t="s">
        <v>170</v>
      </c>
      <c r="D76" s="17" t="s">
        <v>19</v>
      </c>
      <c r="E76" s="17" t="s">
        <v>229</v>
      </c>
      <c r="F76" s="17" t="s">
        <v>230</v>
      </c>
      <c r="G76" s="17" t="s">
        <v>548</v>
      </c>
      <c r="H76" s="17" t="s">
        <v>28</v>
      </c>
      <c r="I76" s="17" t="s">
        <v>316</v>
      </c>
      <c r="J76" s="17" t="s">
        <v>233</v>
      </c>
      <c r="K76" s="19"/>
      <c r="L76" s="19"/>
      <c r="M76" s="19"/>
      <c r="N76" s="19"/>
      <c r="O76" s="17" t="n">
        <v>1</v>
      </c>
      <c r="P76" s="18" t="s">
        <v>601</v>
      </c>
      <c r="Q76" s="18" t="s">
        <v>602</v>
      </c>
      <c r="R76" s="18" t="s">
        <v>608</v>
      </c>
      <c r="S76" s="17" t="s">
        <v>600</v>
      </c>
      <c r="T76" s="18" t="s">
        <v>609</v>
      </c>
      <c r="U76" s="19"/>
      <c r="V76" s="18" t="s">
        <v>610</v>
      </c>
      <c r="W76" s="17" t="s">
        <v>240</v>
      </c>
      <c r="X76" s="17" t="s">
        <v>611</v>
      </c>
      <c r="Y76" s="17" t="s">
        <v>242</v>
      </c>
      <c r="Z76" s="19"/>
      <c r="AA76" s="19"/>
      <c r="AB76" s="17"/>
      <c r="AC76" s="19"/>
    </row>
    <row r="77" customFormat="false" ht="22.35" hidden="false" customHeight="false" outlineLevel="0" collapsed="false">
      <c r="A77" s="10" t="s">
        <v>612</v>
      </c>
      <c r="B77" s="17" t="s">
        <v>169</v>
      </c>
      <c r="C77" s="18" t="s">
        <v>170</v>
      </c>
      <c r="D77" s="17" t="s">
        <v>19</v>
      </c>
      <c r="E77" s="17" t="s">
        <v>229</v>
      </c>
      <c r="F77" s="17" t="s">
        <v>230</v>
      </c>
      <c r="G77" s="17" t="s">
        <v>548</v>
      </c>
      <c r="H77" s="17" t="s">
        <v>28</v>
      </c>
      <c r="I77" s="17" t="s">
        <v>316</v>
      </c>
      <c r="J77" s="17" t="s">
        <v>233</v>
      </c>
      <c r="K77" s="19"/>
      <c r="L77" s="19"/>
      <c r="M77" s="19"/>
      <c r="N77" s="19"/>
      <c r="O77" s="17" t="n">
        <v>1</v>
      </c>
      <c r="P77" s="18" t="s">
        <v>601</v>
      </c>
      <c r="Q77" s="18" t="s">
        <v>602</v>
      </c>
      <c r="R77" s="18" t="s">
        <v>613</v>
      </c>
      <c r="S77" s="17" t="s">
        <v>607</v>
      </c>
      <c r="T77" s="18" t="s">
        <v>614</v>
      </c>
      <c r="U77" s="19"/>
      <c r="V77" s="18" t="s">
        <v>615</v>
      </c>
      <c r="W77" s="17" t="s">
        <v>240</v>
      </c>
      <c r="X77" s="17" t="s">
        <v>611</v>
      </c>
      <c r="Y77" s="17" t="s">
        <v>242</v>
      </c>
      <c r="Z77" s="19"/>
      <c r="AA77" s="19"/>
      <c r="AB77" s="17"/>
      <c r="AC77" s="19"/>
    </row>
    <row r="78" customFormat="false" ht="22.35" hidden="false" customHeight="false" outlineLevel="0" collapsed="false">
      <c r="A78" s="10" t="s">
        <v>616</v>
      </c>
      <c r="B78" s="17" t="s">
        <v>169</v>
      </c>
      <c r="C78" s="18" t="s">
        <v>170</v>
      </c>
      <c r="D78" s="17" t="s">
        <v>19</v>
      </c>
      <c r="E78" s="17" t="s">
        <v>244</v>
      </c>
      <c r="F78" s="17" t="s">
        <v>230</v>
      </c>
      <c r="G78" s="17" t="s">
        <v>548</v>
      </c>
      <c r="H78" s="17" t="s">
        <v>28</v>
      </c>
      <c r="I78" s="17" t="s">
        <v>316</v>
      </c>
      <c r="J78" s="17" t="s">
        <v>233</v>
      </c>
      <c r="K78" s="19"/>
      <c r="L78" s="19"/>
      <c r="M78" s="19"/>
      <c r="N78" s="19"/>
      <c r="O78" s="17" t="n">
        <v>1</v>
      </c>
      <c r="P78" s="18" t="s">
        <v>601</v>
      </c>
      <c r="Q78" s="18" t="s">
        <v>602</v>
      </c>
      <c r="R78" s="18" t="s">
        <v>617</v>
      </c>
      <c r="S78" s="17" t="s">
        <v>618</v>
      </c>
      <c r="T78" s="18" t="s">
        <v>619</v>
      </c>
      <c r="U78" s="19"/>
      <c r="V78" s="18" t="s">
        <v>620</v>
      </c>
      <c r="W78" s="17" t="s">
        <v>240</v>
      </c>
      <c r="X78" s="17" t="s">
        <v>621</v>
      </c>
      <c r="Y78" s="17" t="s">
        <v>242</v>
      </c>
      <c r="Z78" s="19"/>
      <c r="AA78" s="19"/>
      <c r="AB78" s="17"/>
      <c r="AC78" s="19"/>
    </row>
    <row r="79" customFormat="false" ht="22.35" hidden="false" customHeight="false" outlineLevel="0" collapsed="false">
      <c r="A79" s="10" t="s">
        <v>622</v>
      </c>
      <c r="B79" s="17" t="s">
        <v>169</v>
      </c>
      <c r="C79" s="18" t="s">
        <v>170</v>
      </c>
      <c r="D79" s="17" t="s">
        <v>19</v>
      </c>
      <c r="E79" s="17" t="s">
        <v>75</v>
      </c>
      <c r="F79" s="17" t="s">
        <v>230</v>
      </c>
      <c r="G79" s="17" t="s">
        <v>548</v>
      </c>
      <c r="H79" s="17" t="s">
        <v>28</v>
      </c>
      <c r="I79" s="17" t="s">
        <v>316</v>
      </c>
      <c r="J79" s="17" t="s">
        <v>233</v>
      </c>
      <c r="K79" s="19"/>
      <c r="L79" s="19"/>
      <c r="M79" s="19"/>
      <c r="N79" s="19"/>
      <c r="O79" s="17" t="n">
        <v>1</v>
      </c>
      <c r="P79" s="18" t="s">
        <v>601</v>
      </c>
      <c r="Q79" s="18" t="s">
        <v>602</v>
      </c>
      <c r="R79" s="18" t="s">
        <v>623</v>
      </c>
      <c r="S79" s="17" t="s">
        <v>600</v>
      </c>
      <c r="T79" s="18" t="s">
        <v>624</v>
      </c>
      <c r="U79" s="19"/>
      <c r="V79" s="18" t="s">
        <v>625</v>
      </c>
      <c r="W79" s="17" t="s">
        <v>240</v>
      </c>
      <c r="X79" s="17" t="s">
        <v>626</v>
      </c>
      <c r="Y79" s="17" t="s">
        <v>242</v>
      </c>
      <c r="Z79" s="19"/>
      <c r="AA79" s="19"/>
      <c r="AB79" s="17"/>
      <c r="AC79" s="19"/>
    </row>
    <row r="80" customFormat="false" ht="22.35" hidden="false" customHeight="false" outlineLevel="0" collapsed="false">
      <c r="A80" s="10" t="s">
        <v>627</v>
      </c>
      <c r="B80" s="17" t="s">
        <v>169</v>
      </c>
      <c r="C80" s="18" t="s">
        <v>170</v>
      </c>
      <c r="D80" s="17" t="s">
        <v>19</v>
      </c>
      <c r="E80" s="17" t="s">
        <v>75</v>
      </c>
      <c r="F80" s="17" t="s">
        <v>230</v>
      </c>
      <c r="G80" s="17" t="s">
        <v>548</v>
      </c>
      <c r="H80" s="17" t="s">
        <v>28</v>
      </c>
      <c r="I80" s="17" t="s">
        <v>316</v>
      </c>
      <c r="J80" s="17" t="s">
        <v>233</v>
      </c>
      <c r="K80" s="19"/>
      <c r="L80" s="19"/>
      <c r="M80" s="19"/>
      <c r="N80" s="19"/>
      <c r="O80" s="17" t="n">
        <v>1</v>
      </c>
      <c r="P80" s="18" t="s">
        <v>601</v>
      </c>
      <c r="Q80" s="18" t="s">
        <v>602</v>
      </c>
      <c r="R80" s="18" t="s">
        <v>628</v>
      </c>
      <c r="S80" s="17" t="s">
        <v>600</v>
      </c>
      <c r="T80" s="18" t="s">
        <v>629</v>
      </c>
      <c r="U80" s="19"/>
      <c r="V80" s="18" t="s">
        <v>630</v>
      </c>
      <c r="W80" s="17" t="s">
        <v>240</v>
      </c>
      <c r="X80" s="17" t="s">
        <v>631</v>
      </c>
      <c r="Y80" s="17" t="s">
        <v>242</v>
      </c>
      <c r="Z80" s="19"/>
      <c r="AA80" s="19"/>
      <c r="AB80" s="17"/>
      <c r="AC80" s="19"/>
    </row>
    <row r="81" customFormat="false" ht="22.35" hidden="false" customHeight="false" outlineLevel="0" collapsed="false">
      <c r="A81" s="10" t="s">
        <v>632</v>
      </c>
      <c r="B81" s="17" t="s">
        <v>169</v>
      </c>
      <c r="C81" s="18" t="s">
        <v>170</v>
      </c>
      <c r="D81" s="17" t="s">
        <v>19</v>
      </c>
      <c r="E81" s="17" t="s">
        <v>75</v>
      </c>
      <c r="F81" s="17" t="s">
        <v>230</v>
      </c>
      <c r="G81" s="17" t="s">
        <v>548</v>
      </c>
      <c r="H81" s="17" t="s">
        <v>28</v>
      </c>
      <c r="I81" s="17" t="s">
        <v>289</v>
      </c>
      <c r="J81" s="17" t="s">
        <v>233</v>
      </c>
      <c r="K81" s="19"/>
      <c r="L81" s="19"/>
      <c r="M81" s="19"/>
      <c r="N81" s="19"/>
      <c r="O81" s="17" t="n">
        <v>1</v>
      </c>
      <c r="P81" s="18" t="s">
        <v>601</v>
      </c>
      <c r="Q81" s="18" t="s">
        <v>633</v>
      </c>
      <c r="R81" s="18" t="s">
        <v>634</v>
      </c>
      <c r="S81" s="17" t="s">
        <v>635</v>
      </c>
      <c r="T81" s="18" t="s">
        <v>636</v>
      </c>
      <c r="U81" s="19"/>
      <c r="V81" s="18" t="s">
        <v>637</v>
      </c>
      <c r="W81" s="17" t="s">
        <v>240</v>
      </c>
      <c r="X81" s="17" t="s">
        <v>638</v>
      </c>
      <c r="Y81" s="17" t="s">
        <v>242</v>
      </c>
      <c r="Z81" s="19"/>
      <c r="AA81" s="19"/>
      <c r="AB81" s="17"/>
      <c r="AC81" s="19"/>
    </row>
    <row r="82" customFormat="false" ht="22.35" hidden="false" customHeight="false" outlineLevel="0" collapsed="false">
      <c r="A82" s="10" t="s">
        <v>639</v>
      </c>
      <c r="B82" s="17" t="s">
        <v>169</v>
      </c>
      <c r="C82" s="18" t="s">
        <v>170</v>
      </c>
      <c r="D82" s="17" t="s">
        <v>19</v>
      </c>
      <c r="E82" s="17" t="s">
        <v>75</v>
      </c>
      <c r="F82" s="17" t="s">
        <v>230</v>
      </c>
      <c r="G82" s="17" t="s">
        <v>548</v>
      </c>
      <c r="H82" s="17" t="s">
        <v>28</v>
      </c>
      <c r="I82" s="17" t="s">
        <v>316</v>
      </c>
      <c r="J82" s="17" t="s">
        <v>233</v>
      </c>
      <c r="K82" s="19"/>
      <c r="L82" s="19"/>
      <c r="M82" s="19"/>
      <c r="N82" s="19"/>
      <c r="O82" s="17" t="n">
        <v>1</v>
      </c>
      <c r="P82" s="18" t="s">
        <v>601</v>
      </c>
      <c r="Q82" s="18" t="s">
        <v>633</v>
      </c>
      <c r="R82" s="18" t="s">
        <v>640</v>
      </c>
      <c r="S82" s="17" t="s">
        <v>592</v>
      </c>
      <c r="T82" s="18" t="s">
        <v>641</v>
      </c>
      <c r="U82" s="19"/>
      <c r="V82" s="18" t="s">
        <v>642</v>
      </c>
      <c r="W82" s="17" t="s">
        <v>240</v>
      </c>
      <c r="X82" s="17" t="s">
        <v>643</v>
      </c>
      <c r="Y82" s="17" t="s">
        <v>242</v>
      </c>
      <c r="Z82" s="19"/>
      <c r="AA82" s="19"/>
      <c r="AB82" s="17"/>
      <c r="AC82" s="19"/>
    </row>
    <row r="83" customFormat="false" ht="22.35" hidden="false" customHeight="false" outlineLevel="0" collapsed="false">
      <c r="A83" s="10" t="s">
        <v>644</v>
      </c>
      <c r="B83" s="17" t="s">
        <v>169</v>
      </c>
      <c r="C83" s="18" t="s">
        <v>170</v>
      </c>
      <c r="D83" s="17" t="s">
        <v>19</v>
      </c>
      <c r="E83" s="17" t="s">
        <v>75</v>
      </c>
      <c r="F83" s="17" t="s">
        <v>230</v>
      </c>
      <c r="G83" s="17" t="s">
        <v>548</v>
      </c>
      <c r="H83" s="17" t="s">
        <v>28</v>
      </c>
      <c r="I83" s="17" t="s">
        <v>316</v>
      </c>
      <c r="J83" s="17" t="s">
        <v>233</v>
      </c>
      <c r="K83" s="19"/>
      <c r="L83" s="19"/>
      <c r="M83" s="19"/>
      <c r="N83" s="19"/>
      <c r="O83" s="17" t="n">
        <v>1</v>
      </c>
      <c r="P83" s="18" t="s">
        <v>601</v>
      </c>
      <c r="Q83" s="18" t="s">
        <v>633</v>
      </c>
      <c r="R83" s="18" t="s">
        <v>645</v>
      </c>
      <c r="S83" s="17" t="s">
        <v>264</v>
      </c>
      <c r="T83" s="18" t="s">
        <v>646</v>
      </c>
      <c r="U83" s="19"/>
      <c r="V83" s="18" t="s">
        <v>647</v>
      </c>
      <c r="W83" s="17" t="s">
        <v>240</v>
      </c>
      <c r="X83" s="17" t="s">
        <v>648</v>
      </c>
      <c r="Y83" s="17" t="s">
        <v>242</v>
      </c>
      <c r="Z83" s="19"/>
      <c r="AA83" s="19"/>
      <c r="AB83" s="17"/>
      <c r="AC83" s="19"/>
    </row>
    <row r="84" customFormat="false" ht="22.35" hidden="false" customHeight="false" outlineLevel="0" collapsed="false">
      <c r="A84" s="10" t="s">
        <v>649</v>
      </c>
      <c r="B84" s="17" t="s">
        <v>169</v>
      </c>
      <c r="C84" s="18" t="s">
        <v>170</v>
      </c>
      <c r="D84" s="17" t="s">
        <v>19</v>
      </c>
      <c r="E84" s="17" t="s">
        <v>244</v>
      </c>
      <c r="F84" s="17" t="s">
        <v>230</v>
      </c>
      <c r="G84" s="17" t="s">
        <v>548</v>
      </c>
      <c r="H84" s="17" t="s">
        <v>28</v>
      </c>
      <c r="I84" s="17" t="s">
        <v>316</v>
      </c>
      <c r="J84" s="17" t="s">
        <v>233</v>
      </c>
      <c r="K84" s="19"/>
      <c r="L84" s="19"/>
      <c r="M84" s="19"/>
      <c r="N84" s="19"/>
      <c r="O84" s="17" t="n">
        <v>1</v>
      </c>
      <c r="P84" s="18" t="s">
        <v>601</v>
      </c>
      <c r="Q84" s="18" t="s">
        <v>633</v>
      </c>
      <c r="R84" s="18" t="s">
        <v>650</v>
      </c>
      <c r="S84" s="17" t="s">
        <v>607</v>
      </c>
      <c r="T84" s="18" t="s">
        <v>651</v>
      </c>
      <c r="U84" s="19"/>
      <c r="V84" s="18" t="s">
        <v>652</v>
      </c>
      <c r="W84" s="17" t="s">
        <v>240</v>
      </c>
      <c r="X84" s="17" t="s">
        <v>653</v>
      </c>
      <c r="Y84" s="17" t="s">
        <v>242</v>
      </c>
      <c r="Z84" s="19"/>
      <c r="AA84" s="19"/>
      <c r="AB84" s="17"/>
      <c r="AC84" s="19"/>
    </row>
    <row r="85" customFormat="false" ht="22.35" hidden="false" customHeight="false" outlineLevel="0" collapsed="false">
      <c r="A85" s="10" t="s">
        <v>654</v>
      </c>
      <c r="B85" s="17" t="s">
        <v>169</v>
      </c>
      <c r="C85" s="18" t="s">
        <v>170</v>
      </c>
      <c r="D85" s="17" t="s">
        <v>19</v>
      </c>
      <c r="E85" s="17" t="s">
        <v>75</v>
      </c>
      <c r="F85" s="17" t="s">
        <v>230</v>
      </c>
      <c r="G85" s="17" t="s">
        <v>548</v>
      </c>
      <c r="H85" s="17" t="s">
        <v>28</v>
      </c>
      <c r="I85" s="17" t="s">
        <v>283</v>
      </c>
      <c r="J85" s="17" t="s">
        <v>233</v>
      </c>
      <c r="K85" s="19"/>
      <c r="L85" s="19"/>
      <c r="M85" s="19"/>
      <c r="N85" s="19"/>
      <c r="O85" s="17" t="n">
        <v>1</v>
      </c>
      <c r="P85" s="18" t="s">
        <v>601</v>
      </c>
      <c r="Q85" s="18" t="s">
        <v>633</v>
      </c>
      <c r="R85" s="18" t="s">
        <v>655</v>
      </c>
      <c r="S85" s="17" t="s">
        <v>649</v>
      </c>
      <c r="T85" s="18" t="s">
        <v>285</v>
      </c>
      <c r="U85" s="19"/>
      <c r="V85" s="18" t="s">
        <v>286</v>
      </c>
      <c r="W85" s="17" t="s">
        <v>240</v>
      </c>
      <c r="X85" s="17" t="s">
        <v>287</v>
      </c>
      <c r="Y85" s="17" t="s">
        <v>242</v>
      </c>
      <c r="Z85" s="19"/>
      <c r="AA85" s="19"/>
      <c r="AB85" s="17"/>
      <c r="AC85" s="19"/>
    </row>
    <row r="86" customFormat="false" ht="22.35" hidden="false" customHeight="false" outlineLevel="0" collapsed="false">
      <c r="A86" s="10" t="s">
        <v>656</v>
      </c>
      <c r="B86" s="17" t="s">
        <v>169</v>
      </c>
      <c r="C86" s="18" t="s">
        <v>170</v>
      </c>
      <c r="D86" s="17" t="s">
        <v>19</v>
      </c>
      <c r="E86" s="17" t="s">
        <v>229</v>
      </c>
      <c r="F86" s="17" t="s">
        <v>230</v>
      </c>
      <c r="G86" s="17" t="s">
        <v>548</v>
      </c>
      <c r="H86" s="17" t="s">
        <v>28</v>
      </c>
      <c r="I86" s="17" t="s">
        <v>277</v>
      </c>
      <c r="J86" s="17" t="s">
        <v>233</v>
      </c>
      <c r="K86" s="19"/>
      <c r="L86" s="19"/>
      <c r="M86" s="19"/>
      <c r="N86" s="19"/>
      <c r="O86" s="17" t="n">
        <v>1</v>
      </c>
      <c r="P86" s="18" t="s">
        <v>657</v>
      </c>
      <c r="Q86" s="18" t="s">
        <v>658</v>
      </c>
      <c r="R86" s="18" t="s">
        <v>659</v>
      </c>
      <c r="S86" s="17" t="s">
        <v>639</v>
      </c>
      <c r="T86" s="18" t="s">
        <v>660</v>
      </c>
      <c r="U86" s="19"/>
      <c r="V86" s="18" t="s">
        <v>661</v>
      </c>
      <c r="W86" s="17" t="s">
        <v>240</v>
      </c>
      <c r="X86" s="17" t="s">
        <v>662</v>
      </c>
      <c r="Y86" s="17" t="s">
        <v>242</v>
      </c>
      <c r="Z86" s="19"/>
      <c r="AA86" s="19"/>
      <c r="AB86" s="17"/>
      <c r="AC86" s="19"/>
    </row>
    <row r="87" customFormat="false" ht="22.35" hidden="false" customHeight="false" outlineLevel="0" collapsed="false">
      <c r="A87" s="10" t="s">
        <v>663</v>
      </c>
      <c r="B87" s="17" t="s">
        <v>169</v>
      </c>
      <c r="C87" s="18" t="s">
        <v>170</v>
      </c>
      <c r="D87" s="17" t="s">
        <v>19</v>
      </c>
      <c r="E87" s="17" t="s">
        <v>229</v>
      </c>
      <c r="F87" s="17" t="s">
        <v>230</v>
      </c>
      <c r="G87" s="17" t="s">
        <v>548</v>
      </c>
      <c r="H87" s="17" t="s">
        <v>28</v>
      </c>
      <c r="I87" s="17" t="s">
        <v>277</v>
      </c>
      <c r="J87" s="17" t="s">
        <v>233</v>
      </c>
      <c r="K87" s="19"/>
      <c r="L87" s="19"/>
      <c r="M87" s="19"/>
      <c r="N87" s="19"/>
      <c r="O87" s="17" t="n">
        <v>1</v>
      </c>
      <c r="P87" s="18" t="s">
        <v>657</v>
      </c>
      <c r="Q87" s="18" t="s">
        <v>658</v>
      </c>
      <c r="R87" s="18" t="s">
        <v>664</v>
      </c>
      <c r="S87" s="17" t="s">
        <v>632</v>
      </c>
      <c r="T87" s="18" t="s">
        <v>665</v>
      </c>
      <c r="U87" s="19"/>
      <c r="V87" s="18" t="s">
        <v>666</v>
      </c>
      <c r="W87" s="17" t="s">
        <v>240</v>
      </c>
      <c r="X87" s="17" t="s">
        <v>667</v>
      </c>
      <c r="Y87" s="17" t="s">
        <v>242</v>
      </c>
      <c r="Z87" s="19"/>
      <c r="AA87" s="19"/>
      <c r="AB87" s="17"/>
      <c r="AC87" s="19"/>
    </row>
    <row r="88" customFormat="false" ht="22.35" hidden="false" customHeight="false" outlineLevel="0" collapsed="false">
      <c r="A88" s="10" t="s">
        <v>668</v>
      </c>
      <c r="B88" s="17" t="s">
        <v>169</v>
      </c>
      <c r="C88" s="18" t="s">
        <v>170</v>
      </c>
      <c r="D88" s="17" t="s">
        <v>19</v>
      </c>
      <c r="E88" s="17" t="s">
        <v>229</v>
      </c>
      <c r="F88" s="17" t="s">
        <v>230</v>
      </c>
      <c r="G88" s="17" t="s">
        <v>548</v>
      </c>
      <c r="H88" s="17" t="s">
        <v>28</v>
      </c>
      <c r="I88" s="17" t="s">
        <v>277</v>
      </c>
      <c r="J88" s="17" t="s">
        <v>233</v>
      </c>
      <c r="K88" s="19"/>
      <c r="L88" s="19"/>
      <c r="M88" s="19"/>
      <c r="N88" s="19"/>
      <c r="O88" s="17" t="n">
        <v>1</v>
      </c>
      <c r="P88" s="18" t="s">
        <v>657</v>
      </c>
      <c r="Q88" s="18" t="s">
        <v>658</v>
      </c>
      <c r="R88" s="18" t="s">
        <v>669</v>
      </c>
      <c r="S88" s="17" t="s">
        <v>612</v>
      </c>
      <c r="T88" s="18" t="s">
        <v>670</v>
      </c>
      <c r="U88" s="19"/>
      <c r="V88" s="18" t="s">
        <v>671</v>
      </c>
      <c r="W88" s="17" t="s">
        <v>240</v>
      </c>
      <c r="X88" s="17" t="s">
        <v>672</v>
      </c>
      <c r="Y88" s="17" t="s">
        <v>242</v>
      </c>
      <c r="Z88" s="19"/>
      <c r="AA88" s="19"/>
      <c r="AB88" s="17"/>
      <c r="AC88" s="19"/>
    </row>
    <row r="89" customFormat="false" ht="22.35" hidden="false" customHeight="false" outlineLevel="0" collapsed="false">
      <c r="A89" s="10" t="s">
        <v>673</v>
      </c>
      <c r="B89" s="17" t="s">
        <v>169</v>
      </c>
      <c r="C89" s="18" t="s">
        <v>170</v>
      </c>
      <c r="D89" s="17" t="s">
        <v>19</v>
      </c>
      <c r="E89" s="17" t="s">
        <v>244</v>
      </c>
      <c r="F89" s="17" t="s">
        <v>230</v>
      </c>
      <c r="G89" s="17" t="s">
        <v>548</v>
      </c>
      <c r="H89" s="17" t="s">
        <v>28</v>
      </c>
      <c r="I89" s="17" t="s">
        <v>277</v>
      </c>
      <c r="J89" s="17" t="s">
        <v>233</v>
      </c>
      <c r="K89" s="19"/>
      <c r="L89" s="19"/>
      <c r="M89" s="19"/>
      <c r="N89" s="19"/>
      <c r="O89" s="17" t="n">
        <v>1</v>
      </c>
      <c r="P89" s="18" t="s">
        <v>657</v>
      </c>
      <c r="Q89" s="18" t="s">
        <v>658</v>
      </c>
      <c r="R89" s="18" t="s">
        <v>674</v>
      </c>
      <c r="S89" s="17" t="s">
        <v>616</v>
      </c>
      <c r="T89" s="18" t="s">
        <v>487</v>
      </c>
      <c r="U89" s="19"/>
      <c r="V89" s="18" t="s">
        <v>675</v>
      </c>
      <c r="W89" s="17" t="s">
        <v>240</v>
      </c>
      <c r="X89" s="17" t="s">
        <v>676</v>
      </c>
      <c r="Y89" s="17" t="s">
        <v>242</v>
      </c>
      <c r="Z89" s="19"/>
      <c r="AA89" s="19"/>
      <c r="AB89" s="17"/>
      <c r="AC89" s="19"/>
    </row>
    <row r="90" customFormat="false" ht="22.35" hidden="false" customHeight="false" outlineLevel="0" collapsed="false">
      <c r="A90" s="10" t="s">
        <v>677</v>
      </c>
      <c r="B90" s="17" t="s">
        <v>169</v>
      </c>
      <c r="C90" s="18" t="s">
        <v>170</v>
      </c>
      <c r="D90" s="17" t="s">
        <v>19</v>
      </c>
      <c r="E90" s="17" t="s">
        <v>244</v>
      </c>
      <c r="F90" s="17" t="s">
        <v>230</v>
      </c>
      <c r="G90" s="17" t="s">
        <v>548</v>
      </c>
      <c r="H90" s="17" t="s">
        <v>28</v>
      </c>
      <c r="I90" s="17" t="s">
        <v>277</v>
      </c>
      <c r="J90" s="17" t="s">
        <v>233</v>
      </c>
      <c r="K90" s="19"/>
      <c r="L90" s="19"/>
      <c r="M90" s="19"/>
      <c r="N90" s="19"/>
      <c r="O90" s="17" t="n">
        <v>1</v>
      </c>
      <c r="P90" s="18" t="s">
        <v>657</v>
      </c>
      <c r="Q90" s="18" t="s">
        <v>658</v>
      </c>
      <c r="R90" s="18" t="s">
        <v>678</v>
      </c>
      <c r="S90" s="17" t="s">
        <v>679</v>
      </c>
      <c r="T90" s="18" t="s">
        <v>680</v>
      </c>
      <c r="U90" s="19"/>
      <c r="V90" s="18" t="s">
        <v>681</v>
      </c>
      <c r="W90" s="17" t="s">
        <v>240</v>
      </c>
      <c r="X90" s="17" t="s">
        <v>682</v>
      </c>
      <c r="Y90" s="17" t="s">
        <v>242</v>
      </c>
      <c r="Z90" s="19"/>
      <c r="AA90" s="19"/>
      <c r="AB90" s="17"/>
      <c r="AC90" s="19"/>
    </row>
    <row r="91" customFormat="false" ht="22.35" hidden="false" customHeight="false" outlineLevel="0" collapsed="false">
      <c r="A91" s="10" t="s">
        <v>683</v>
      </c>
      <c r="B91" s="17" t="s">
        <v>169</v>
      </c>
      <c r="C91" s="18" t="s">
        <v>170</v>
      </c>
      <c r="D91" s="17" t="s">
        <v>19</v>
      </c>
      <c r="E91" s="17" t="s">
        <v>75</v>
      </c>
      <c r="F91" s="17" t="s">
        <v>230</v>
      </c>
      <c r="G91" s="17" t="s">
        <v>548</v>
      </c>
      <c r="H91" s="17" t="s">
        <v>28</v>
      </c>
      <c r="I91" s="17" t="s">
        <v>283</v>
      </c>
      <c r="J91" s="17" t="s">
        <v>233</v>
      </c>
      <c r="K91" s="19"/>
      <c r="L91" s="19"/>
      <c r="M91" s="19"/>
      <c r="N91" s="19"/>
      <c r="O91" s="17" t="n">
        <v>1</v>
      </c>
      <c r="P91" s="18" t="s">
        <v>657</v>
      </c>
      <c r="Q91" s="18" t="s">
        <v>658</v>
      </c>
      <c r="R91" s="18" t="s">
        <v>684</v>
      </c>
      <c r="S91" s="17" t="s">
        <v>677</v>
      </c>
      <c r="T91" s="18" t="s">
        <v>285</v>
      </c>
      <c r="U91" s="19"/>
      <c r="V91" s="18" t="s">
        <v>286</v>
      </c>
      <c r="W91" s="17" t="s">
        <v>240</v>
      </c>
      <c r="X91" s="17" t="s">
        <v>287</v>
      </c>
      <c r="Y91" s="17" t="s">
        <v>242</v>
      </c>
      <c r="Z91" s="19"/>
      <c r="AA91" s="19"/>
      <c r="AB91" s="17"/>
      <c r="AC91" s="19"/>
    </row>
    <row r="92" customFormat="false" ht="22.35" hidden="false" customHeight="false" outlineLevel="0" collapsed="false">
      <c r="A92" s="10" t="s">
        <v>685</v>
      </c>
      <c r="B92" s="17" t="s">
        <v>169</v>
      </c>
      <c r="C92" s="18" t="s">
        <v>170</v>
      </c>
      <c r="D92" s="17" t="s">
        <v>19</v>
      </c>
      <c r="E92" s="17" t="s">
        <v>75</v>
      </c>
      <c r="F92" s="17" t="s">
        <v>230</v>
      </c>
      <c r="G92" s="17" t="s">
        <v>548</v>
      </c>
      <c r="H92" s="17" t="s">
        <v>28</v>
      </c>
      <c r="I92" s="17" t="s">
        <v>333</v>
      </c>
      <c r="J92" s="17" t="s">
        <v>233</v>
      </c>
      <c r="K92" s="19"/>
      <c r="L92" s="19"/>
      <c r="M92" s="19"/>
      <c r="N92" s="19"/>
      <c r="O92" s="17" t="n">
        <v>1</v>
      </c>
      <c r="P92" s="18" t="s">
        <v>686</v>
      </c>
      <c r="Q92" s="18" t="s">
        <v>342</v>
      </c>
      <c r="R92" s="18" t="s">
        <v>687</v>
      </c>
      <c r="S92" s="17" t="s">
        <v>688</v>
      </c>
      <c r="T92" s="18" t="s">
        <v>689</v>
      </c>
      <c r="U92" s="19"/>
      <c r="V92" s="18" t="s">
        <v>690</v>
      </c>
      <c r="W92" s="17" t="s">
        <v>240</v>
      </c>
      <c r="X92" s="17" t="s">
        <v>691</v>
      </c>
      <c r="Y92" s="17" t="s">
        <v>242</v>
      </c>
      <c r="Z92" s="19"/>
      <c r="AA92" s="19"/>
      <c r="AB92" s="17"/>
      <c r="AC92" s="19"/>
    </row>
    <row r="93" customFormat="false" ht="22.35" hidden="false" customHeight="false" outlineLevel="0" collapsed="false">
      <c r="A93" s="10" t="s">
        <v>692</v>
      </c>
      <c r="B93" s="17" t="s">
        <v>169</v>
      </c>
      <c r="C93" s="18" t="s">
        <v>170</v>
      </c>
      <c r="D93" s="17" t="s">
        <v>19</v>
      </c>
      <c r="E93" s="17" t="s">
        <v>75</v>
      </c>
      <c r="F93" s="17" t="s">
        <v>230</v>
      </c>
      <c r="G93" s="17" t="s">
        <v>548</v>
      </c>
      <c r="H93" s="17" t="s">
        <v>28</v>
      </c>
      <c r="I93" s="17" t="s">
        <v>333</v>
      </c>
      <c r="J93" s="17" t="s">
        <v>233</v>
      </c>
      <c r="K93" s="19"/>
      <c r="L93" s="19"/>
      <c r="M93" s="19"/>
      <c r="N93" s="19"/>
      <c r="O93" s="17" t="n">
        <v>1</v>
      </c>
      <c r="P93" s="18" t="s">
        <v>686</v>
      </c>
      <c r="Q93" s="18" t="s">
        <v>342</v>
      </c>
      <c r="R93" s="18" t="s">
        <v>693</v>
      </c>
      <c r="S93" s="17" t="s">
        <v>600</v>
      </c>
      <c r="T93" s="18" t="s">
        <v>694</v>
      </c>
      <c r="U93" s="19"/>
      <c r="V93" s="18" t="s">
        <v>695</v>
      </c>
      <c r="W93" s="17" t="s">
        <v>240</v>
      </c>
      <c r="X93" s="17" t="s">
        <v>696</v>
      </c>
      <c r="Y93" s="17" t="s">
        <v>242</v>
      </c>
      <c r="Z93" s="19"/>
      <c r="AA93" s="19"/>
      <c r="AB93" s="17"/>
      <c r="AC93" s="19"/>
    </row>
    <row r="94" customFormat="false" ht="22.35" hidden="false" customHeight="false" outlineLevel="0" collapsed="false">
      <c r="A94" s="10" t="s">
        <v>697</v>
      </c>
      <c r="B94" s="17" t="s">
        <v>169</v>
      </c>
      <c r="C94" s="18" t="s">
        <v>170</v>
      </c>
      <c r="D94" s="17" t="s">
        <v>19</v>
      </c>
      <c r="E94" s="17" t="s">
        <v>229</v>
      </c>
      <c r="F94" s="17" t="s">
        <v>230</v>
      </c>
      <c r="G94" s="17" t="s">
        <v>548</v>
      </c>
      <c r="H94" s="17" t="s">
        <v>28</v>
      </c>
      <c r="I94" s="17" t="s">
        <v>333</v>
      </c>
      <c r="J94" s="17" t="s">
        <v>233</v>
      </c>
      <c r="K94" s="19"/>
      <c r="L94" s="19"/>
      <c r="M94" s="19"/>
      <c r="N94" s="19"/>
      <c r="O94" s="17" t="n">
        <v>1</v>
      </c>
      <c r="P94" s="18" t="s">
        <v>686</v>
      </c>
      <c r="Q94" s="18" t="s">
        <v>342</v>
      </c>
      <c r="R94" s="18" t="s">
        <v>698</v>
      </c>
      <c r="S94" s="17" t="s">
        <v>259</v>
      </c>
      <c r="T94" s="18" t="s">
        <v>699</v>
      </c>
      <c r="U94" s="19"/>
      <c r="V94" s="18" t="s">
        <v>700</v>
      </c>
      <c r="W94" s="17" t="s">
        <v>240</v>
      </c>
      <c r="X94" s="17" t="s">
        <v>701</v>
      </c>
      <c r="Y94" s="17" t="s">
        <v>242</v>
      </c>
      <c r="Z94" s="19"/>
      <c r="AA94" s="19"/>
      <c r="AB94" s="17"/>
      <c r="AC94" s="19"/>
    </row>
    <row r="95" customFormat="false" ht="22.35" hidden="false" customHeight="false" outlineLevel="0" collapsed="false">
      <c r="A95" s="10" t="s">
        <v>702</v>
      </c>
      <c r="B95" s="17" t="s">
        <v>169</v>
      </c>
      <c r="C95" s="18" t="s">
        <v>170</v>
      </c>
      <c r="D95" s="17" t="s">
        <v>19</v>
      </c>
      <c r="E95" s="17" t="s">
        <v>75</v>
      </c>
      <c r="F95" s="17" t="s">
        <v>230</v>
      </c>
      <c r="G95" s="17" t="s">
        <v>548</v>
      </c>
      <c r="H95" s="17" t="s">
        <v>28</v>
      </c>
      <c r="I95" s="17" t="s">
        <v>333</v>
      </c>
      <c r="J95" s="17" t="s">
        <v>233</v>
      </c>
      <c r="K95" s="19"/>
      <c r="L95" s="19"/>
      <c r="M95" s="19"/>
      <c r="N95" s="19"/>
      <c r="O95" s="17" t="n">
        <v>1</v>
      </c>
      <c r="P95" s="18" t="s">
        <v>686</v>
      </c>
      <c r="Q95" s="18" t="s">
        <v>342</v>
      </c>
      <c r="R95" s="18" t="s">
        <v>703</v>
      </c>
      <c r="S95" s="17" t="s">
        <v>644</v>
      </c>
      <c r="T95" s="18" t="s">
        <v>704</v>
      </c>
      <c r="U95" s="19"/>
      <c r="V95" s="18" t="s">
        <v>705</v>
      </c>
      <c r="W95" s="17" t="s">
        <v>240</v>
      </c>
      <c r="X95" s="17" t="s">
        <v>706</v>
      </c>
      <c r="Y95" s="17" t="s">
        <v>242</v>
      </c>
      <c r="Z95" s="19"/>
      <c r="AA95" s="19"/>
      <c r="AB95" s="17"/>
      <c r="AC95" s="19"/>
    </row>
    <row r="96" customFormat="false" ht="22.35" hidden="false" customHeight="false" outlineLevel="0" collapsed="false">
      <c r="A96" s="10" t="s">
        <v>707</v>
      </c>
      <c r="B96" s="17" t="s">
        <v>169</v>
      </c>
      <c r="C96" s="18" t="s">
        <v>170</v>
      </c>
      <c r="D96" s="17" t="s">
        <v>19</v>
      </c>
      <c r="E96" s="17" t="s">
        <v>75</v>
      </c>
      <c r="F96" s="17" t="s">
        <v>230</v>
      </c>
      <c r="G96" s="17" t="s">
        <v>548</v>
      </c>
      <c r="H96" s="17" t="s">
        <v>28</v>
      </c>
      <c r="I96" s="17" t="s">
        <v>289</v>
      </c>
      <c r="J96" s="17" t="s">
        <v>233</v>
      </c>
      <c r="K96" s="19"/>
      <c r="L96" s="19"/>
      <c r="M96" s="19"/>
      <c r="N96" s="19"/>
      <c r="O96" s="17" t="n">
        <v>1</v>
      </c>
      <c r="P96" s="18" t="s">
        <v>686</v>
      </c>
      <c r="Q96" s="18" t="s">
        <v>358</v>
      </c>
      <c r="R96" s="18" t="s">
        <v>708</v>
      </c>
      <c r="S96" s="17" t="s">
        <v>622</v>
      </c>
      <c r="T96" s="18" t="s">
        <v>532</v>
      </c>
      <c r="U96" s="19"/>
      <c r="V96" s="18" t="s">
        <v>709</v>
      </c>
      <c r="W96" s="17" t="s">
        <v>240</v>
      </c>
      <c r="X96" s="17" t="s">
        <v>710</v>
      </c>
      <c r="Y96" s="17" t="s">
        <v>242</v>
      </c>
      <c r="Z96" s="19"/>
      <c r="AA96" s="19"/>
      <c r="AB96" s="17"/>
      <c r="AC96" s="19"/>
    </row>
    <row r="97" customFormat="false" ht="22.35" hidden="false" customHeight="false" outlineLevel="0" collapsed="false">
      <c r="A97" s="10" t="s">
        <v>711</v>
      </c>
      <c r="B97" s="17" t="s">
        <v>169</v>
      </c>
      <c r="C97" s="18" t="s">
        <v>170</v>
      </c>
      <c r="D97" s="17" t="s">
        <v>19</v>
      </c>
      <c r="E97" s="17" t="s">
        <v>75</v>
      </c>
      <c r="F97" s="17" t="s">
        <v>230</v>
      </c>
      <c r="G97" s="17" t="s">
        <v>548</v>
      </c>
      <c r="H97" s="17" t="s">
        <v>28</v>
      </c>
      <c r="I97" s="17" t="s">
        <v>289</v>
      </c>
      <c r="J97" s="17" t="s">
        <v>233</v>
      </c>
      <c r="K97" s="19"/>
      <c r="L97" s="19"/>
      <c r="M97" s="19"/>
      <c r="N97" s="19"/>
      <c r="O97" s="17" t="n">
        <v>1</v>
      </c>
      <c r="P97" s="18" t="s">
        <v>686</v>
      </c>
      <c r="Q97" s="18" t="s">
        <v>358</v>
      </c>
      <c r="R97" s="18" t="s">
        <v>712</v>
      </c>
      <c r="S97" s="17" t="s">
        <v>713</v>
      </c>
      <c r="T97" s="18" t="s">
        <v>714</v>
      </c>
      <c r="U97" s="19"/>
      <c r="V97" s="18" t="s">
        <v>715</v>
      </c>
      <c r="W97" s="17" t="s">
        <v>240</v>
      </c>
      <c r="X97" s="17" t="s">
        <v>716</v>
      </c>
      <c r="Y97" s="17" t="s">
        <v>242</v>
      </c>
      <c r="Z97" s="19"/>
      <c r="AA97" s="19"/>
      <c r="AB97" s="17"/>
      <c r="AC97" s="19"/>
    </row>
    <row r="98" customFormat="false" ht="22.35" hidden="false" customHeight="false" outlineLevel="0" collapsed="false">
      <c r="A98" s="10" t="s">
        <v>717</v>
      </c>
      <c r="B98" s="17" t="s">
        <v>169</v>
      </c>
      <c r="C98" s="18" t="s">
        <v>170</v>
      </c>
      <c r="D98" s="17" t="s">
        <v>19</v>
      </c>
      <c r="E98" s="17" t="s">
        <v>75</v>
      </c>
      <c r="F98" s="17" t="s">
        <v>230</v>
      </c>
      <c r="G98" s="17" t="s">
        <v>548</v>
      </c>
      <c r="H98" s="17" t="s">
        <v>28</v>
      </c>
      <c r="I98" s="17" t="s">
        <v>369</v>
      </c>
      <c r="J98" s="17" t="s">
        <v>233</v>
      </c>
      <c r="K98" s="19"/>
      <c r="L98" s="19"/>
      <c r="M98" s="19"/>
      <c r="N98" s="19"/>
      <c r="O98" s="17" t="n">
        <v>1</v>
      </c>
      <c r="P98" s="18" t="s">
        <v>686</v>
      </c>
      <c r="Q98" s="18" t="s">
        <v>358</v>
      </c>
      <c r="R98" s="18" t="s">
        <v>718</v>
      </c>
      <c r="S98" s="17" t="s">
        <v>707</v>
      </c>
      <c r="T98" s="18" t="s">
        <v>371</v>
      </c>
      <c r="U98" s="19"/>
      <c r="V98" s="18" t="s">
        <v>719</v>
      </c>
      <c r="W98" s="17" t="s">
        <v>240</v>
      </c>
      <c r="X98" s="17" t="s">
        <v>287</v>
      </c>
      <c r="Y98" s="17" t="s">
        <v>242</v>
      </c>
      <c r="Z98" s="19"/>
      <c r="AA98" s="19"/>
      <c r="AB98" s="17"/>
      <c r="AC98" s="19"/>
    </row>
    <row r="99" customFormat="false" ht="22.35" hidden="false" customHeight="false" outlineLevel="0" collapsed="false">
      <c r="A99" s="10" t="s">
        <v>720</v>
      </c>
      <c r="B99" s="17" t="s">
        <v>169</v>
      </c>
      <c r="C99" s="18" t="s">
        <v>170</v>
      </c>
      <c r="D99" s="17" t="s">
        <v>19</v>
      </c>
      <c r="E99" s="17" t="s">
        <v>229</v>
      </c>
      <c r="F99" s="17" t="s">
        <v>230</v>
      </c>
      <c r="G99" s="17" t="s">
        <v>548</v>
      </c>
      <c r="H99" s="17" t="s">
        <v>28</v>
      </c>
      <c r="I99" s="17" t="s">
        <v>289</v>
      </c>
      <c r="J99" s="17" t="s">
        <v>233</v>
      </c>
      <c r="K99" s="19"/>
      <c r="L99" s="19"/>
      <c r="M99" s="19"/>
      <c r="N99" s="19"/>
      <c r="O99" s="17" t="n">
        <v>1</v>
      </c>
      <c r="P99" s="18" t="s">
        <v>686</v>
      </c>
      <c r="Q99" s="18" t="s">
        <v>374</v>
      </c>
      <c r="R99" s="18" t="s">
        <v>721</v>
      </c>
      <c r="S99" s="17" t="s">
        <v>600</v>
      </c>
      <c r="T99" s="18" t="s">
        <v>376</v>
      </c>
      <c r="U99" s="19"/>
      <c r="V99" s="18" t="s">
        <v>539</v>
      </c>
      <c r="W99" s="17" t="s">
        <v>240</v>
      </c>
      <c r="X99" s="17" t="s">
        <v>378</v>
      </c>
      <c r="Y99" s="17" t="s">
        <v>242</v>
      </c>
      <c r="Z99" s="19"/>
      <c r="AA99" s="19"/>
      <c r="AB99" s="17"/>
      <c r="AC99" s="19"/>
    </row>
    <row r="100" customFormat="false" ht="22.35" hidden="false" customHeight="false" outlineLevel="0" collapsed="false">
      <c r="A100" s="10" t="s">
        <v>722</v>
      </c>
      <c r="B100" s="17" t="s">
        <v>169</v>
      </c>
      <c r="C100" s="18" t="s">
        <v>170</v>
      </c>
      <c r="D100" s="17" t="s">
        <v>19</v>
      </c>
      <c r="E100" s="17" t="s">
        <v>229</v>
      </c>
      <c r="F100" s="17" t="s">
        <v>230</v>
      </c>
      <c r="G100" s="17" t="s">
        <v>548</v>
      </c>
      <c r="H100" s="17" t="s">
        <v>28</v>
      </c>
      <c r="I100" s="17" t="s">
        <v>289</v>
      </c>
      <c r="J100" s="17" t="s">
        <v>233</v>
      </c>
      <c r="K100" s="19"/>
      <c r="L100" s="19"/>
      <c r="M100" s="19"/>
      <c r="N100" s="19"/>
      <c r="O100" s="17" t="n">
        <v>1</v>
      </c>
      <c r="P100" s="18" t="s">
        <v>686</v>
      </c>
      <c r="Q100" s="18" t="s">
        <v>374</v>
      </c>
      <c r="R100" s="18" t="s">
        <v>723</v>
      </c>
      <c r="S100" s="17" t="s">
        <v>720</v>
      </c>
      <c r="T100" s="18" t="s">
        <v>381</v>
      </c>
      <c r="U100" s="19"/>
      <c r="V100" s="18" t="s">
        <v>382</v>
      </c>
      <c r="W100" s="17" t="s">
        <v>383</v>
      </c>
      <c r="X100" s="17" t="s">
        <v>384</v>
      </c>
      <c r="Y100" s="17" t="s">
        <v>242</v>
      </c>
      <c r="Z100" s="19"/>
      <c r="AA100" s="19"/>
      <c r="AB100" s="17"/>
      <c r="AC100" s="19"/>
    </row>
    <row r="101" customFormat="false" ht="22.35" hidden="false" customHeight="false" outlineLevel="0" collapsed="false">
      <c r="A101" s="10" t="s">
        <v>724</v>
      </c>
      <c r="B101" s="17" t="s">
        <v>169</v>
      </c>
      <c r="C101" s="18" t="s">
        <v>170</v>
      </c>
      <c r="D101" s="17" t="s">
        <v>19</v>
      </c>
      <c r="E101" s="17" t="s">
        <v>75</v>
      </c>
      <c r="F101" s="17" t="s">
        <v>230</v>
      </c>
      <c r="G101" s="17" t="s">
        <v>548</v>
      </c>
      <c r="H101" s="17" t="s">
        <v>28</v>
      </c>
      <c r="I101" s="17" t="s">
        <v>289</v>
      </c>
      <c r="J101" s="17" t="s">
        <v>233</v>
      </c>
      <c r="K101" s="19"/>
      <c r="L101" s="19"/>
      <c r="M101" s="19"/>
      <c r="N101" s="19"/>
      <c r="O101" s="17" t="n">
        <v>1</v>
      </c>
      <c r="P101" s="18" t="s">
        <v>686</v>
      </c>
      <c r="Q101" s="18" t="s">
        <v>374</v>
      </c>
      <c r="R101" s="18" t="s">
        <v>725</v>
      </c>
      <c r="S101" s="17" t="s">
        <v>720</v>
      </c>
      <c r="T101" s="18" t="s">
        <v>387</v>
      </c>
      <c r="U101" s="19"/>
      <c r="V101" s="18" t="s">
        <v>726</v>
      </c>
      <c r="W101" s="17" t="s">
        <v>240</v>
      </c>
      <c r="X101" s="17" t="s">
        <v>287</v>
      </c>
      <c r="Y101" s="17" t="s">
        <v>242</v>
      </c>
      <c r="Z101" s="19"/>
      <c r="AA101" s="19"/>
      <c r="AB101" s="17"/>
      <c r="AC101" s="19"/>
    </row>
    <row r="102" customFormat="false" ht="22.35" hidden="false" customHeight="false" outlineLevel="0" collapsed="false">
      <c r="A102" s="10" t="s">
        <v>727</v>
      </c>
      <c r="B102" s="17" t="s">
        <v>169</v>
      </c>
      <c r="C102" s="18" t="s">
        <v>170</v>
      </c>
      <c r="D102" s="17" t="s">
        <v>19</v>
      </c>
      <c r="E102" s="17" t="s">
        <v>75</v>
      </c>
      <c r="F102" s="17" t="s">
        <v>230</v>
      </c>
      <c r="G102" s="17" t="s">
        <v>548</v>
      </c>
      <c r="H102" s="17" t="s">
        <v>28</v>
      </c>
      <c r="I102" s="17" t="s">
        <v>369</v>
      </c>
      <c r="J102" s="17" t="s">
        <v>233</v>
      </c>
      <c r="K102" s="19"/>
      <c r="L102" s="19"/>
      <c r="M102" s="19"/>
      <c r="N102" s="19"/>
      <c r="O102" s="17" t="n">
        <v>1</v>
      </c>
      <c r="P102" s="18" t="s">
        <v>686</v>
      </c>
      <c r="Q102" s="18" t="s">
        <v>374</v>
      </c>
      <c r="R102" s="18" t="s">
        <v>728</v>
      </c>
      <c r="S102" s="17" t="s">
        <v>592</v>
      </c>
      <c r="T102" s="18" t="s">
        <v>544</v>
      </c>
      <c r="U102" s="19"/>
      <c r="V102" s="18" t="s">
        <v>729</v>
      </c>
      <c r="W102" s="17" t="s">
        <v>240</v>
      </c>
      <c r="X102" s="17" t="s">
        <v>730</v>
      </c>
      <c r="Y102" s="17" t="s">
        <v>242</v>
      </c>
      <c r="Z102" s="19"/>
      <c r="AA102" s="19"/>
      <c r="AB102" s="17"/>
      <c r="AC102" s="19"/>
    </row>
    <row r="103" customFormat="false" ht="22.35" hidden="false" customHeight="false" outlineLevel="0" collapsed="false">
      <c r="A103" s="10" t="s">
        <v>731</v>
      </c>
      <c r="B103" s="17" t="s">
        <v>169</v>
      </c>
      <c r="C103" s="18" t="s">
        <v>170</v>
      </c>
      <c r="D103" s="17" t="s">
        <v>19</v>
      </c>
      <c r="E103" s="17" t="s">
        <v>75</v>
      </c>
      <c r="F103" s="17" t="s">
        <v>230</v>
      </c>
      <c r="G103" s="17" t="s">
        <v>548</v>
      </c>
      <c r="H103" s="17" t="s">
        <v>28</v>
      </c>
      <c r="I103" s="17" t="s">
        <v>283</v>
      </c>
      <c r="J103" s="17" t="s">
        <v>233</v>
      </c>
      <c r="K103" s="19"/>
      <c r="L103" s="19"/>
      <c r="M103" s="19"/>
      <c r="N103" s="19"/>
      <c r="O103" s="17" t="n">
        <v>1</v>
      </c>
      <c r="P103" s="18" t="s">
        <v>686</v>
      </c>
      <c r="Q103" s="18" t="s">
        <v>374</v>
      </c>
      <c r="R103" s="18" t="s">
        <v>732</v>
      </c>
      <c r="S103" s="17" t="s">
        <v>727</v>
      </c>
      <c r="T103" s="18" t="s">
        <v>285</v>
      </c>
      <c r="U103" s="19"/>
      <c r="V103" s="18" t="s">
        <v>286</v>
      </c>
      <c r="W103" s="17" t="s">
        <v>240</v>
      </c>
      <c r="X103" s="17" t="s">
        <v>287</v>
      </c>
      <c r="Y103" s="17" t="s">
        <v>242</v>
      </c>
      <c r="Z103" s="19"/>
      <c r="AA103" s="19"/>
      <c r="AB103" s="17"/>
      <c r="AC103" s="19"/>
    </row>
    <row r="104" customFormat="false" ht="22.35" hidden="false" customHeight="false" outlineLevel="0" collapsed="false">
      <c r="A104" s="10" t="s">
        <v>733</v>
      </c>
      <c r="B104" s="17" t="s">
        <v>165</v>
      </c>
      <c r="C104" s="18" t="s">
        <v>166</v>
      </c>
      <c r="D104" s="17" t="s">
        <v>19</v>
      </c>
      <c r="E104" s="17" t="s">
        <v>229</v>
      </c>
      <c r="F104" s="17" t="s">
        <v>230</v>
      </c>
      <c r="G104" s="17" t="s">
        <v>734</v>
      </c>
      <c r="H104" s="17" t="s">
        <v>28</v>
      </c>
      <c r="I104" s="17" t="s">
        <v>289</v>
      </c>
      <c r="J104" s="17" t="s">
        <v>233</v>
      </c>
      <c r="K104" s="19"/>
      <c r="L104" s="19"/>
      <c r="M104" s="19"/>
      <c r="N104" s="19"/>
      <c r="O104" s="17" t="n">
        <v>1</v>
      </c>
      <c r="P104" s="18" t="s">
        <v>735</v>
      </c>
      <c r="Q104" s="18" t="s">
        <v>736</v>
      </c>
      <c r="R104" s="18" t="s">
        <v>737</v>
      </c>
      <c r="S104" s="17" t="s">
        <v>237</v>
      </c>
      <c r="T104" s="18" t="s">
        <v>738</v>
      </c>
      <c r="U104" s="19"/>
      <c r="V104" s="18" t="s">
        <v>739</v>
      </c>
      <c r="W104" s="17" t="s">
        <v>240</v>
      </c>
      <c r="X104" s="17" t="s">
        <v>740</v>
      </c>
      <c r="Y104" s="17" t="s">
        <v>242</v>
      </c>
      <c r="Z104" s="19"/>
      <c r="AA104" s="19"/>
      <c r="AB104" s="17"/>
      <c r="AC104" s="19"/>
    </row>
    <row r="105" customFormat="false" ht="22.35" hidden="false" customHeight="false" outlineLevel="0" collapsed="false">
      <c r="A105" s="10" t="s">
        <v>741</v>
      </c>
      <c r="B105" s="17" t="s">
        <v>165</v>
      </c>
      <c r="C105" s="18" t="s">
        <v>166</v>
      </c>
      <c r="D105" s="17" t="s">
        <v>19</v>
      </c>
      <c r="E105" s="17" t="s">
        <v>75</v>
      </c>
      <c r="F105" s="17" t="s">
        <v>230</v>
      </c>
      <c r="G105" s="17" t="s">
        <v>734</v>
      </c>
      <c r="H105" s="17" t="s">
        <v>28</v>
      </c>
      <c r="I105" s="17" t="s">
        <v>289</v>
      </c>
      <c r="J105" s="17" t="s">
        <v>233</v>
      </c>
      <c r="K105" s="19"/>
      <c r="L105" s="19"/>
      <c r="M105" s="19"/>
      <c r="N105" s="19"/>
      <c r="O105" s="17" t="n">
        <v>1</v>
      </c>
      <c r="P105" s="18" t="s">
        <v>735</v>
      </c>
      <c r="Q105" s="18" t="s">
        <v>736</v>
      </c>
      <c r="R105" s="18" t="s">
        <v>742</v>
      </c>
      <c r="S105" s="17" t="s">
        <v>733</v>
      </c>
      <c r="T105" s="18" t="s">
        <v>743</v>
      </c>
      <c r="U105" s="19"/>
      <c r="V105" s="18" t="s">
        <v>744</v>
      </c>
      <c r="W105" s="17" t="s">
        <v>240</v>
      </c>
      <c r="X105" s="17" t="s">
        <v>745</v>
      </c>
      <c r="Y105" s="17" t="s">
        <v>242</v>
      </c>
      <c r="Z105" s="19"/>
      <c r="AA105" s="19"/>
      <c r="AB105" s="17"/>
      <c r="AC105" s="19"/>
    </row>
    <row r="106" customFormat="false" ht="22.35" hidden="false" customHeight="false" outlineLevel="0" collapsed="false">
      <c r="A106" s="10" t="s">
        <v>746</v>
      </c>
      <c r="B106" s="17" t="s">
        <v>165</v>
      </c>
      <c r="C106" s="18" t="s">
        <v>166</v>
      </c>
      <c r="D106" s="17" t="s">
        <v>19</v>
      </c>
      <c r="E106" s="17" t="s">
        <v>229</v>
      </c>
      <c r="F106" s="17" t="s">
        <v>230</v>
      </c>
      <c r="G106" s="17" t="s">
        <v>734</v>
      </c>
      <c r="H106" s="17" t="s">
        <v>28</v>
      </c>
      <c r="I106" s="17" t="s">
        <v>316</v>
      </c>
      <c r="J106" s="17" t="s">
        <v>233</v>
      </c>
      <c r="K106" s="19"/>
      <c r="L106" s="19"/>
      <c r="M106" s="19"/>
      <c r="N106" s="19"/>
      <c r="O106" s="17" t="n">
        <v>1</v>
      </c>
      <c r="P106" s="18" t="s">
        <v>735</v>
      </c>
      <c r="Q106" s="18" t="s">
        <v>736</v>
      </c>
      <c r="R106" s="18" t="s">
        <v>747</v>
      </c>
      <c r="S106" s="17" t="s">
        <v>748</v>
      </c>
      <c r="T106" s="18" t="s">
        <v>749</v>
      </c>
      <c r="U106" s="19"/>
      <c r="V106" s="18" t="s">
        <v>750</v>
      </c>
      <c r="W106" s="17" t="s">
        <v>240</v>
      </c>
      <c r="X106" s="17" t="s">
        <v>701</v>
      </c>
      <c r="Y106" s="17" t="s">
        <v>242</v>
      </c>
      <c r="Z106" s="19"/>
      <c r="AA106" s="19"/>
      <c r="AB106" s="17"/>
      <c r="AC106" s="19"/>
    </row>
    <row r="107" customFormat="false" ht="22.35" hidden="false" customHeight="false" outlineLevel="0" collapsed="false">
      <c r="A107" s="10" t="s">
        <v>751</v>
      </c>
      <c r="B107" s="17" t="s">
        <v>165</v>
      </c>
      <c r="C107" s="18" t="s">
        <v>166</v>
      </c>
      <c r="D107" s="17" t="s">
        <v>19</v>
      </c>
      <c r="E107" s="17" t="s">
        <v>75</v>
      </c>
      <c r="F107" s="17" t="s">
        <v>230</v>
      </c>
      <c r="G107" s="17" t="s">
        <v>734</v>
      </c>
      <c r="H107" s="17" t="s">
        <v>28</v>
      </c>
      <c r="I107" s="17" t="s">
        <v>289</v>
      </c>
      <c r="J107" s="17" t="s">
        <v>233</v>
      </c>
      <c r="K107" s="19"/>
      <c r="L107" s="19"/>
      <c r="M107" s="19"/>
      <c r="N107" s="19"/>
      <c r="O107" s="17" t="n">
        <v>1</v>
      </c>
      <c r="P107" s="18" t="s">
        <v>735</v>
      </c>
      <c r="Q107" s="18" t="s">
        <v>736</v>
      </c>
      <c r="R107" s="18" t="s">
        <v>752</v>
      </c>
      <c r="S107" s="17" t="s">
        <v>733</v>
      </c>
      <c r="T107" s="18" t="s">
        <v>753</v>
      </c>
      <c r="U107" s="19"/>
      <c r="V107" s="18" t="s">
        <v>754</v>
      </c>
      <c r="W107" s="17" t="s">
        <v>240</v>
      </c>
      <c r="X107" s="17" t="s">
        <v>755</v>
      </c>
      <c r="Y107" s="17" t="s">
        <v>242</v>
      </c>
      <c r="Z107" s="19"/>
      <c r="AA107" s="19"/>
      <c r="AB107" s="17"/>
      <c r="AC107" s="19"/>
    </row>
    <row r="108" customFormat="false" ht="22.35" hidden="false" customHeight="false" outlineLevel="0" collapsed="false">
      <c r="A108" s="10" t="s">
        <v>756</v>
      </c>
      <c r="B108" s="17" t="s">
        <v>165</v>
      </c>
      <c r="C108" s="18" t="s">
        <v>166</v>
      </c>
      <c r="D108" s="17" t="s">
        <v>19</v>
      </c>
      <c r="E108" s="17" t="s">
        <v>75</v>
      </c>
      <c r="F108" s="17" t="s">
        <v>230</v>
      </c>
      <c r="G108" s="17" t="s">
        <v>734</v>
      </c>
      <c r="H108" s="17" t="s">
        <v>28</v>
      </c>
      <c r="I108" s="17" t="s">
        <v>289</v>
      </c>
      <c r="J108" s="17" t="s">
        <v>233</v>
      </c>
      <c r="K108" s="19"/>
      <c r="L108" s="19"/>
      <c r="M108" s="19"/>
      <c r="N108" s="19"/>
      <c r="O108" s="17" t="n">
        <v>1</v>
      </c>
      <c r="P108" s="18" t="s">
        <v>735</v>
      </c>
      <c r="Q108" s="18" t="s">
        <v>736</v>
      </c>
      <c r="R108" s="18" t="s">
        <v>757</v>
      </c>
      <c r="S108" s="17" t="s">
        <v>733</v>
      </c>
      <c r="T108" s="18" t="s">
        <v>758</v>
      </c>
      <c r="U108" s="19"/>
      <c r="V108" s="18" t="s">
        <v>759</v>
      </c>
      <c r="W108" s="17" t="s">
        <v>240</v>
      </c>
      <c r="X108" s="17" t="s">
        <v>760</v>
      </c>
      <c r="Y108" s="17" t="s">
        <v>242</v>
      </c>
      <c r="Z108" s="19"/>
      <c r="AA108" s="19"/>
      <c r="AB108" s="17"/>
      <c r="AC108" s="19"/>
    </row>
    <row r="109" customFormat="false" ht="22.35" hidden="false" customHeight="false" outlineLevel="0" collapsed="false">
      <c r="A109" s="10" t="s">
        <v>761</v>
      </c>
      <c r="B109" s="17" t="s">
        <v>165</v>
      </c>
      <c r="C109" s="18" t="s">
        <v>166</v>
      </c>
      <c r="D109" s="17" t="s">
        <v>19</v>
      </c>
      <c r="E109" s="17" t="s">
        <v>75</v>
      </c>
      <c r="F109" s="17" t="s">
        <v>230</v>
      </c>
      <c r="G109" s="17" t="s">
        <v>734</v>
      </c>
      <c r="H109" s="17" t="s">
        <v>28</v>
      </c>
      <c r="I109" s="17" t="s">
        <v>333</v>
      </c>
      <c r="J109" s="17" t="s">
        <v>233</v>
      </c>
      <c r="K109" s="19"/>
      <c r="L109" s="19"/>
      <c r="M109" s="19"/>
      <c r="N109" s="19"/>
      <c r="O109" s="17" t="n">
        <v>1</v>
      </c>
      <c r="P109" s="18" t="s">
        <v>735</v>
      </c>
      <c r="Q109" s="18" t="s">
        <v>762</v>
      </c>
      <c r="R109" s="18" t="s">
        <v>763</v>
      </c>
      <c r="S109" s="17" t="s">
        <v>741</v>
      </c>
      <c r="T109" s="18" t="s">
        <v>764</v>
      </c>
      <c r="U109" s="19"/>
      <c r="V109" s="18" t="s">
        <v>765</v>
      </c>
      <c r="W109" s="17" t="s">
        <v>240</v>
      </c>
      <c r="X109" s="17" t="s">
        <v>766</v>
      </c>
      <c r="Y109" s="17" t="s">
        <v>242</v>
      </c>
      <c r="Z109" s="19"/>
      <c r="AA109" s="19"/>
      <c r="AB109" s="17"/>
      <c r="AC109" s="19"/>
    </row>
    <row r="110" customFormat="false" ht="22.35" hidden="false" customHeight="false" outlineLevel="0" collapsed="false">
      <c r="A110" s="10" t="s">
        <v>767</v>
      </c>
      <c r="B110" s="17" t="s">
        <v>165</v>
      </c>
      <c r="C110" s="18" t="s">
        <v>166</v>
      </c>
      <c r="D110" s="17" t="s">
        <v>19</v>
      </c>
      <c r="E110" s="17" t="s">
        <v>75</v>
      </c>
      <c r="F110" s="17" t="s">
        <v>230</v>
      </c>
      <c r="G110" s="17" t="s">
        <v>734</v>
      </c>
      <c r="H110" s="17" t="s">
        <v>28</v>
      </c>
      <c r="I110" s="17" t="s">
        <v>289</v>
      </c>
      <c r="J110" s="17" t="s">
        <v>233</v>
      </c>
      <c r="K110" s="19"/>
      <c r="L110" s="19"/>
      <c r="M110" s="19"/>
      <c r="N110" s="19"/>
      <c r="O110" s="17" t="n">
        <v>1</v>
      </c>
      <c r="P110" s="18" t="s">
        <v>735</v>
      </c>
      <c r="Q110" s="18" t="s">
        <v>762</v>
      </c>
      <c r="R110" s="18" t="s">
        <v>768</v>
      </c>
      <c r="S110" s="17" t="s">
        <v>733</v>
      </c>
      <c r="T110" s="18" t="s">
        <v>769</v>
      </c>
      <c r="U110" s="19"/>
      <c r="V110" s="18" t="s">
        <v>770</v>
      </c>
      <c r="W110" s="17" t="s">
        <v>383</v>
      </c>
      <c r="X110" s="17" t="s">
        <v>771</v>
      </c>
      <c r="Y110" s="17" t="s">
        <v>242</v>
      </c>
      <c r="Z110" s="19"/>
      <c r="AA110" s="19"/>
      <c r="AB110" s="17"/>
      <c r="AC110" s="19"/>
    </row>
    <row r="111" customFormat="false" ht="22.35" hidden="false" customHeight="false" outlineLevel="0" collapsed="false">
      <c r="A111" s="10" t="s">
        <v>772</v>
      </c>
      <c r="B111" s="17" t="s">
        <v>165</v>
      </c>
      <c r="C111" s="18" t="s">
        <v>166</v>
      </c>
      <c r="D111" s="17" t="s">
        <v>19</v>
      </c>
      <c r="E111" s="17" t="s">
        <v>75</v>
      </c>
      <c r="F111" s="17" t="s">
        <v>230</v>
      </c>
      <c r="G111" s="17" t="s">
        <v>734</v>
      </c>
      <c r="H111" s="17" t="s">
        <v>28</v>
      </c>
      <c r="I111" s="17" t="s">
        <v>289</v>
      </c>
      <c r="J111" s="17" t="s">
        <v>233</v>
      </c>
      <c r="K111" s="19"/>
      <c r="L111" s="19"/>
      <c r="M111" s="19"/>
      <c r="N111" s="19"/>
      <c r="O111" s="17" t="n">
        <v>1</v>
      </c>
      <c r="P111" s="18" t="s">
        <v>735</v>
      </c>
      <c r="Q111" s="18" t="s">
        <v>762</v>
      </c>
      <c r="R111" s="18" t="s">
        <v>773</v>
      </c>
      <c r="S111" s="17" t="s">
        <v>741</v>
      </c>
      <c r="T111" s="18" t="s">
        <v>774</v>
      </c>
      <c r="U111" s="19"/>
      <c r="V111" s="18" t="s">
        <v>775</v>
      </c>
      <c r="W111" s="17" t="s">
        <v>240</v>
      </c>
      <c r="X111" s="17" t="s">
        <v>776</v>
      </c>
      <c r="Y111" s="17" t="s">
        <v>242</v>
      </c>
      <c r="Z111" s="19"/>
      <c r="AA111" s="19"/>
      <c r="AB111" s="17"/>
      <c r="AC111" s="19"/>
    </row>
    <row r="112" customFormat="false" ht="22.35" hidden="false" customHeight="false" outlineLevel="0" collapsed="false">
      <c r="A112" s="10" t="s">
        <v>777</v>
      </c>
      <c r="B112" s="17" t="s">
        <v>165</v>
      </c>
      <c r="C112" s="18" t="s">
        <v>166</v>
      </c>
      <c r="D112" s="17" t="s">
        <v>19</v>
      </c>
      <c r="E112" s="17" t="s">
        <v>229</v>
      </c>
      <c r="F112" s="17" t="s">
        <v>230</v>
      </c>
      <c r="G112" s="17" t="s">
        <v>734</v>
      </c>
      <c r="H112" s="17" t="s">
        <v>28</v>
      </c>
      <c r="I112" s="17" t="s">
        <v>289</v>
      </c>
      <c r="J112" s="17" t="s">
        <v>233</v>
      </c>
      <c r="K112" s="19"/>
      <c r="L112" s="19"/>
      <c r="M112" s="19"/>
      <c r="N112" s="19"/>
      <c r="O112" s="17" t="n">
        <v>1</v>
      </c>
      <c r="P112" s="18" t="s">
        <v>735</v>
      </c>
      <c r="Q112" s="18" t="s">
        <v>762</v>
      </c>
      <c r="R112" s="18" t="s">
        <v>778</v>
      </c>
      <c r="S112" s="17" t="s">
        <v>733</v>
      </c>
      <c r="T112" s="18" t="s">
        <v>381</v>
      </c>
      <c r="U112" s="19"/>
      <c r="V112" s="18" t="s">
        <v>382</v>
      </c>
      <c r="W112" s="17" t="s">
        <v>383</v>
      </c>
      <c r="X112" s="17" t="s">
        <v>384</v>
      </c>
      <c r="Y112" s="17" t="s">
        <v>242</v>
      </c>
      <c r="Z112" s="19"/>
      <c r="AA112" s="19"/>
      <c r="AB112" s="17"/>
      <c r="AC112" s="19"/>
    </row>
    <row r="113" customFormat="false" ht="22.35" hidden="false" customHeight="false" outlineLevel="0" collapsed="false">
      <c r="A113" s="10" t="s">
        <v>779</v>
      </c>
      <c r="B113" s="17" t="s">
        <v>165</v>
      </c>
      <c r="C113" s="18" t="s">
        <v>166</v>
      </c>
      <c r="D113" s="17" t="s">
        <v>19</v>
      </c>
      <c r="E113" s="17" t="s">
        <v>75</v>
      </c>
      <c r="F113" s="17" t="s">
        <v>230</v>
      </c>
      <c r="G113" s="17" t="s">
        <v>734</v>
      </c>
      <c r="H113" s="17" t="s">
        <v>28</v>
      </c>
      <c r="I113" s="17" t="s">
        <v>369</v>
      </c>
      <c r="J113" s="17" t="s">
        <v>233</v>
      </c>
      <c r="K113" s="19"/>
      <c r="L113" s="19"/>
      <c r="M113" s="19"/>
      <c r="N113" s="19"/>
      <c r="O113" s="17" t="n">
        <v>1</v>
      </c>
      <c r="P113" s="18" t="s">
        <v>735</v>
      </c>
      <c r="Q113" s="18" t="s">
        <v>762</v>
      </c>
      <c r="R113" s="18" t="s">
        <v>780</v>
      </c>
      <c r="S113" s="17" t="s">
        <v>772</v>
      </c>
      <c r="T113" s="18" t="s">
        <v>371</v>
      </c>
      <c r="U113" s="19"/>
      <c r="V113" s="18" t="s">
        <v>781</v>
      </c>
      <c r="W113" s="17" t="s">
        <v>240</v>
      </c>
      <c r="X113" s="17" t="s">
        <v>287</v>
      </c>
      <c r="Y113" s="17" t="s">
        <v>242</v>
      </c>
      <c r="Z113" s="19"/>
      <c r="AA113" s="19"/>
      <c r="AB113" s="17"/>
      <c r="AC113" s="19"/>
    </row>
    <row r="114" customFormat="false" ht="15" hidden="false" customHeight="false" outlineLevel="0" collapsed="false">
      <c r="A114" s="10" t="s">
        <v>782</v>
      </c>
      <c r="B114" s="17" t="s">
        <v>165</v>
      </c>
      <c r="C114" s="18" t="s">
        <v>166</v>
      </c>
      <c r="D114" s="17" t="s">
        <v>19</v>
      </c>
      <c r="E114" s="17" t="s">
        <v>75</v>
      </c>
      <c r="F114" s="17" t="s">
        <v>230</v>
      </c>
      <c r="G114" s="17" t="s">
        <v>734</v>
      </c>
      <c r="H114" s="17" t="s">
        <v>28</v>
      </c>
      <c r="I114" s="17" t="s">
        <v>283</v>
      </c>
      <c r="J114" s="17" t="s">
        <v>233</v>
      </c>
      <c r="K114" s="19"/>
      <c r="L114" s="19"/>
      <c r="M114" s="19"/>
      <c r="N114" s="19"/>
      <c r="O114" s="17" t="n">
        <v>1</v>
      </c>
      <c r="P114" s="18" t="s">
        <v>735</v>
      </c>
      <c r="Q114" s="18" t="s">
        <v>762</v>
      </c>
      <c r="R114" s="18" t="s">
        <v>783</v>
      </c>
      <c r="S114" s="17" t="s">
        <v>779</v>
      </c>
      <c r="T114" s="18" t="s">
        <v>285</v>
      </c>
      <c r="U114" s="19"/>
      <c r="V114" s="18" t="s">
        <v>286</v>
      </c>
      <c r="W114" s="17" t="s">
        <v>240</v>
      </c>
      <c r="X114" s="17" t="s">
        <v>287</v>
      </c>
      <c r="Y114" s="17" t="s">
        <v>242</v>
      </c>
      <c r="Z114" s="19"/>
      <c r="AA114" s="19"/>
      <c r="AB114" s="17"/>
      <c r="AC114" s="19"/>
    </row>
    <row r="115" customFormat="false" ht="32.8" hidden="false" customHeight="false" outlineLevel="0" collapsed="false">
      <c r="A115" s="10" t="s">
        <v>784</v>
      </c>
      <c r="B115" s="17" t="s">
        <v>165</v>
      </c>
      <c r="C115" s="18" t="s">
        <v>166</v>
      </c>
      <c r="D115" s="17" t="s">
        <v>19</v>
      </c>
      <c r="E115" s="17" t="s">
        <v>229</v>
      </c>
      <c r="F115" s="17" t="s">
        <v>230</v>
      </c>
      <c r="G115" s="17" t="s">
        <v>734</v>
      </c>
      <c r="H115" s="17" t="s">
        <v>28</v>
      </c>
      <c r="I115" s="17" t="s">
        <v>232</v>
      </c>
      <c r="J115" s="17" t="s">
        <v>233</v>
      </c>
      <c r="K115" s="19"/>
      <c r="L115" s="19"/>
      <c r="M115" s="19"/>
      <c r="N115" s="19"/>
      <c r="O115" s="17" t="n">
        <v>0</v>
      </c>
      <c r="P115" s="18" t="s">
        <v>785</v>
      </c>
      <c r="Q115" s="18" t="s">
        <v>786</v>
      </c>
      <c r="R115" s="18" t="s">
        <v>787</v>
      </c>
      <c r="S115" s="17" t="s">
        <v>592</v>
      </c>
      <c r="T115" s="18" t="s">
        <v>788</v>
      </c>
      <c r="U115" s="19"/>
      <c r="V115" s="18" t="s">
        <v>789</v>
      </c>
      <c r="W115" s="17" t="s">
        <v>240</v>
      </c>
      <c r="X115" s="17" t="s">
        <v>790</v>
      </c>
      <c r="Y115" s="17" t="s">
        <v>242</v>
      </c>
      <c r="Z115" s="19"/>
      <c r="AA115" s="19"/>
      <c r="AB115" s="17"/>
      <c r="AC115" s="19"/>
    </row>
    <row r="116" customFormat="false" ht="22.35" hidden="false" customHeight="false" outlineLevel="0" collapsed="false">
      <c r="A116" s="10" t="s">
        <v>791</v>
      </c>
      <c r="B116" s="17" t="s">
        <v>165</v>
      </c>
      <c r="C116" s="18" t="s">
        <v>166</v>
      </c>
      <c r="D116" s="17" t="s">
        <v>19</v>
      </c>
      <c r="E116" s="17" t="s">
        <v>229</v>
      </c>
      <c r="F116" s="17" t="s">
        <v>230</v>
      </c>
      <c r="G116" s="17" t="s">
        <v>734</v>
      </c>
      <c r="H116" s="17" t="s">
        <v>28</v>
      </c>
      <c r="I116" s="17" t="s">
        <v>316</v>
      </c>
      <c r="J116" s="17" t="s">
        <v>233</v>
      </c>
      <c r="K116" s="19"/>
      <c r="L116" s="19"/>
      <c r="M116" s="19"/>
      <c r="N116" s="19"/>
      <c r="O116" s="17" t="n">
        <v>1</v>
      </c>
      <c r="P116" s="18" t="s">
        <v>785</v>
      </c>
      <c r="Q116" s="18" t="s">
        <v>786</v>
      </c>
      <c r="R116" s="18" t="s">
        <v>792</v>
      </c>
      <c r="S116" s="17" t="s">
        <v>793</v>
      </c>
      <c r="T116" s="18" t="s">
        <v>794</v>
      </c>
      <c r="U116" s="19"/>
      <c r="V116" s="18" t="s">
        <v>795</v>
      </c>
      <c r="W116" s="17" t="s">
        <v>240</v>
      </c>
      <c r="X116" s="17" t="s">
        <v>796</v>
      </c>
      <c r="Y116" s="17" t="s">
        <v>242</v>
      </c>
      <c r="Z116" s="19"/>
      <c r="AA116" s="19"/>
      <c r="AB116" s="17"/>
      <c r="AC116" s="19"/>
    </row>
    <row r="117" customFormat="false" ht="22.35" hidden="false" customHeight="false" outlineLevel="0" collapsed="false">
      <c r="A117" s="10" t="s">
        <v>797</v>
      </c>
      <c r="B117" s="17" t="s">
        <v>165</v>
      </c>
      <c r="C117" s="18" t="s">
        <v>166</v>
      </c>
      <c r="D117" s="17" t="s">
        <v>19</v>
      </c>
      <c r="E117" s="17" t="s">
        <v>229</v>
      </c>
      <c r="F117" s="17" t="s">
        <v>230</v>
      </c>
      <c r="G117" s="17" t="s">
        <v>734</v>
      </c>
      <c r="H117" s="17" t="s">
        <v>28</v>
      </c>
      <c r="I117" s="17" t="s">
        <v>316</v>
      </c>
      <c r="J117" s="17" t="s">
        <v>233</v>
      </c>
      <c r="K117" s="19"/>
      <c r="L117" s="19"/>
      <c r="M117" s="19"/>
      <c r="N117" s="19"/>
      <c r="O117" s="17" t="n">
        <v>1</v>
      </c>
      <c r="P117" s="18" t="s">
        <v>785</v>
      </c>
      <c r="Q117" s="18" t="s">
        <v>786</v>
      </c>
      <c r="R117" s="18" t="s">
        <v>798</v>
      </c>
      <c r="S117" s="17" t="s">
        <v>791</v>
      </c>
      <c r="T117" s="18" t="s">
        <v>799</v>
      </c>
      <c r="U117" s="19"/>
      <c r="V117" s="18" t="s">
        <v>800</v>
      </c>
      <c r="W117" s="17" t="s">
        <v>240</v>
      </c>
      <c r="X117" s="17" t="s">
        <v>801</v>
      </c>
      <c r="Y117" s="17" t="s">
        <v>242</v>
      </c>
      <c r="Z117" s="19"/>
      <c r="AA117" s="19"/>
      <c r="AB117" s="17"/>
      <c r="AC117" s="19"/>
    </row>
    <row r="118" customFormat="false" ht="22.35" hidden="false" customHeight="false" outlineLevel="0" collapsed="false">
      <c r="A118" s="10" t="s">
        <v>802</v>
      </c>
      <c r="B118" s="17" t="s">
        <v>165</v>
      </c>
      <c r="C118" s="18" t="s">
        <v>166</v>
      </c>
      <c r="D118" s="17" t="s">
        <v>19</v>
      </c>
      <c r="E118" s="17" t="s">
        <v>75</v>
      </c>
      <c r="F118" s="17" t="s">
        <v>230</v>
      </c>
      <c r="G118" s="17" t="s">
        <v>734</v>
      </c>
      <c r="H118" s="17" t="s">
        <v>28</v>
      </c>
      <c r="I118" s="17" t="s">
        <v>232</v>
      </c>
      <c r="J118" s="17" t="s">
        <v>233</v>
      </c>
      <c r="K118" s="19"/>
      <c r="L118" s="19"/>
      <c r="M118" s="19"/>
      <c r="N118" s="19"/>
      <c r="O118" s="17" t="n">
        <v>1</v>
      </c>
      <c r="P118" s="18" t="s">
        <v>785</v>
      </c>
      <c r="Q118" s="18" t="s">
        <v>786</v>
      </c>
      <c r="R118" s="18" t="s">
        <v>803</v>
      </c>
      <c r="S118" s="17" t="s">
        <v>784</v>
      </c>
      <c r="T118" s="18" t="s">
        <v>804</v>
      </c>
      <c r="U118" s="19"/>
      <c r="V118" s="18" t="s">
        <v>805</v>
      </c>
      <c r="W118" s="17" t="s">
        <v>240</v>
      </c>
      <c r="X118" s="17" t="s">
        <v>806</v>
      </c>
      <c r="Y118" s="17" t="s">
        <v>242</v>
      </c>
      <c r="Z118" s="19"/>
      <c r="AA118" s="19"/>
      <c r="AB118" s="17"/>
      <c r="AC118" s="19"/>
    </row>
    <row r="119" customFormat="false" ht="22.35" hidden="false" customHeight="false" outlineLevel="0" collapsed="false">
      <c r="A119" s="10" t="s">
        <v>807</v>
      </c>
      <c r="B119" s="17" t="s">
        <v>165</v>
      </c>
      <c r="C119" s="18" t="s">
        <v>166</v>
      </c>
      <c r="D119" s="17" t="s">
        <v>19</v>
      </c>
      <c r="E119" s="17" t="s">
        <v>75</v>
      </c>
      <c r="F119" s="17" t="s">
        <v>230</v>
      </c>
      <c r="G119" s="17" t="s">
        <v>734</v>
      </c>
      <c r="H119" s="17" t="s">
        <v>28</v>
      </c>
      <c r="I119" s="17" t="s">
        <v>450</v>
      </c>
      <c r="J119" s="17" t="s">
        <v>233</v>
      </c>
      <c r="K119" s="19"/>
      <c r="L119" s="19"/>
      <c r="M119" s="19"/>
      <c r="N119" s="19"/>
      <c r="O119" s="17" t="n">
        <v>1</v>
      </c>
      <c r="P119" s="18" t="s">
        <v>785</v>
      </c>
      <c r="Q119" s="18" t="s">
        <v>786</v>
      </c>
      <c r="R119" s="18" t="s">
        <v>808</v>
      </c>
      <c r="S119" s="17" t="s">
        <v>791</v>
      </c>
      <c r="T119" s="18" t="s">
        <v>809</v>
      </c>
      <c r="U119" s="19"/>
      <c r="V119" s="18" t="s">
        <v>810</v>
      </c>
      <c r="W119" s="17" t="s">
        <v>240</v>
      </c>
      <c r="X119" s="17" t="s">
        <v>811</v>
      </c>
      <c r="Y119" s="17" t="s">
        <v>242</v>
      </c>
      <c r="Z119" s="19"/>
      <c r="AA119" s="19"/>
      <c r="AB119" s="17"/>
      <c r="AC119" s="19"/>
    </row>
    <row r="120" customFormat="false" ht="22.35" hidden="false" customHeight="false" outlineLevel="0" collapsed="false">
      <c r="A120" s="10" t="s">
        <v>812</v>
      </c>
      <c r="B120" s="17" t="s">
        <v>165</v>
      </c>
      <c r="C120" s="18" t="s">
        <v>166</v>
      </c>
      <c r="D120" s="17" t="s">
        <v>19</v>
      </c>
      <c r="E120" s="17" t="s">
        <v>75</v>
      </c>
      <c r="F120" s="17" t="s">
        <v>230</v>
      </c>
      <c r="G120" s="17" t="s">
        <v>734</v>
      </c>
      <c r="H120" s="17" t="s">
        <v>28</v>
      </c>
      <c r="I120" s="17" t="s">
        <v>277</v>
      </c>
      <c r="J120" s="17" t="s">
        <v>233</v>
      </c>
      <c r="K120" s="19"/>
      <c r="L120" s="19"/>
      <c r="M120" s="19"/>
      <c r="N120" s="19"/>
      <c r="O120" s="17" t="n">
        <v>1</v>
      </c>
      <c r="P120" s="18" t="s">
        <v>785</v>
      </c>
      <c r="Q120" s="18" t="s">
        <v>786</v>
      </c>
      <c r="R120" s="18" t="s">
        <v>813</v>
      </c>
      <c r="S120" s="17" t="s">
        <v>791</v>
      </c>
      <c r="T120" s="18" t="s">
        <v>814</v>
      </c>
      <c r="U120" s="19"/>
      <c r="V120" s="18" t="s">
        <v>815</v>
      </c>
      <c r="W120" s="17" t="s">
        <v>240</v>
      </c>
      <c r="X120" s="17" t="s">
        <v>816</v>
      </c>
      <c r="Y120" s="17" t="s">
        <v>242</v>
      </c>
      <c r="Z120" s="19"/>
      <c r="AA120" s="19"/>
      <c r="AB120" s="17"/>
      <c r="AC120" s="19"/>
    </row>
    <row r="121" customFormat="false" ht="22.35" hidden="false" customHeight="false" outlineLevel="0" collapsed="false">
      <c r="A121" s="10" t="s">
        <v>817</v>
      </c>
      <c r="B121" s="17" t="s">
        <v>165</v>
      </c>
      <c r="C121" s="18" t="s">
        <v>166</v>
      </c>
      <c r="D121" s="17" t="s">
        <v>19</v>
      </c>
      <c r="E121" s="17" t="s">
        <v>75</v>
      </c>
      <c r="F121" s="17" t="s">
        <v>230</v>
      </c>
      <c r="G121" s="17" t="s">
        <v>734</v>
      </c>
      <c r="H121" s="17" t="s">
        <v>28</v>
      </c>
      <c r="I121" s="17" t="s">
        <v>289</v>
      </c>
      <c r="J121" s="17" t="s">
        <v>233</v>
      </c>
      <c r="K121" s="19"/>
      <c r="L121" s="19"/>
      <c r="M121" s="19"/>
      <c r="N121" s="19"/>
      <c r="O121" s="17" t="n">
        <v>1</v>
      </c>
      <c r="P121" s="18" t="s">
        <v>785</v>
      </c>
      <c r="Q121" s="18" t="s">
        <v>818</v>
      </c>
      <c r="R121" s="18" t="s">
        <v>819</v>
      </c>
      <c r="S121" s="17" t="s">
        <v>791</v>
      </c>
      <c r="T121" s="18" t="s">
        <v>532</v>
      </c>
      <c r="U121" s="19"/>
      <c r="V121" s="18" t="s">
        <v>709</v>
      </c>
      <c r="W121" s="17" t="s">
        <v>240</v>
      </c>
      <c r="X121" s="17" t="s">
        <v>287</v>
      </c>
      <c r="Y121" s="17" t="s">
        <v>242</v>
      </c>
      <c r="Z121" s="19"/>
      <c r="AA121" s="19"/>
      <c r="AB121" s="17"/>
      <c r="AC121" s="19"/>
    </row>
    <row r="122" customFormat="false" ht="22.35" hidden="false" customHeight="false" outlineLevel="0" collapsed="false">
      <c r="A122" s="10" t="s">
        <v>820</v>
      </c>
      <c r="B122" s="17" t="s">
        <v>165</v>
      </c>
      <c r="C122" s="18" t="s">
        <v>166</v>
      </c>
      <c r="D122" s="17" t="s">
        <v>19</v>
      </c>
      <c r="E122" s="17" t="s">
        <v>229</v>
      </c>
      <c r="F122" s="17" t="s">
        <v>230</v>
      </c>
      <c r="G122" s="17" t="s">
        <v>734</v>
      </c>
      <c r="H122" s="17" t="s">
        <v>28</v>
      </c>
      <c r="I122" s="17" t="s">
        <v>289</v>
      </c>
      <c r="J122" s="17" t="s">
        <v>233</v>
      </c>
      <c r="K122" s="19"/>
      <c r="L122" s="19"/>
      <c r="M122" s="19"/>
      <c r="N122" s="19"/>
      <c r="O122" s="17" t="n">
        <v>1</v>
      </c>
      <c r="P122" s="18" t="s">
        <v>785</v>
      </c>
      <c r="Q122" s="18" t="s">
        <v>818</v>
      </c>
      <c r="R122" s="18" t="s">
        <v>821</v>
      </c>
      <c r="S122" s="17" t="s">
        <v>791</v>
      </c>
      <c r="T122" s="18" t="s">
        <v>381</v>
      </c>
      <c r="U122" s="19"/>
      <c r="V122" s="18" t="s">
        <v>382</v>
      </c>
      <c r="W122" s="17" t="s">
        <v>383</v>
      </c>
      <c r="X122" s="17" t="s">
        <v>384</v>
      </c>
      <c r="Y122" s="17" t="s">
        <v>242</v>
      </c>
      <c r="Z122" s="19"/>
      <c r="AA122" s="19"/>
      <c r="AB122" s="17"/>
      <c r="AC122" s="19"/>
    </row>
    <row r="123" customFormat="false" ht="22.35" hidden="false" customHeight="false" outlineLevel="0" collapsed="false">
      <c r="A123" s="10" t="s">
        <v>822</v>
      </c>
      <c r="B123" s="17" t="s">
        <v>165</v>
      </c>
      <c r="C123" s="18" t="s">
        <v>166</v>
      </c>
      <c r="D123" s="17" t="s">
        <v>19</v>
      </c>
      <c r="E123" s="17" t="s">
        <v>75</v>
      </c>
      <c r="F123" s="17" t="s">
        <v>230</v>
      </c>
      <c r="G123" s="17" t="s">
        <v>734</v>
      </c>
      <c r="H123" s="17" t="s">
        <v>28</v>
      </c>
      <c r="I123" s="17" t="s">
        <v>369</v>
      </c>
      <c r="J123" s="17" t="s">
        <v>233</v>
      </c>
      <c r="K123" s="19"/>
      <c r="L123" s="19"/>
      <c r="M123" s="19"/>
      <c r="N123" s="19"/>
      <c r="O123" s="17" t="n">
        <v>1</v>
      </c>
      <c r="P123" s="18" t="s">
        <v>785</v>
      </c>
      <c r="Q123" s="18" t="s">
        <v>818</v>
      </c>
      <c r="R123" s="18" t="s">
        <v>823</v>
      </c>
      <c r="S123" s="17" t="s">
        <v>817</v>
      </c>
      <c r="T123" s="18" t="s">
        <v>371</v>
      </c>
      <c r="U123" s="19"/>
      <c r="V123" s="18" t="s">
        <v>824</v>
      </c>
      <c r="W123" s="17" t="s">
        <v>240</v>
      </c>
      <c r="X123" s="17" t="s">
        <v>287</v>
      </c>
      <c r="Y123" s="17" t="s">
        <v>242</v>
      </c>
      <c r="Z123" s="19"/>
      <c r="AA123" s="19"/>
      <c r="AB123" s="17"/>
      <c r="AC123" s="19"/>
    </row>
    <row r="124" customFormat="false" ht="22.35" hidden="false" customHeight="false" outlineLevel="0" collapsed="false">
      <c r="A124" s="10" t="s">
        <v>825</v>
      </c>
      <c r="B124" s="17" t="s">
        <v>165</v>
      </c>
      <c r="C124" s="18" t="s">
        <v>166</v>
      </c>
      <c r="D124" s="17" t="s">
        <v>19</v>
      </c>
      <c r="E124" s="17" t="s">
        <v>75</v>
      </c>
      <c r="F124" s="17" t="s">
        <v>230</v>
      </c>
      <c r="G124" s="17" t="s">
        <v>734</v>
      </c>
      <c r="H124" s="17" t="s">
        <v>28</v>
      </c>
      <c r="I124" s="17" t="s">
        <v>283</v>
      </c>
      <c r="J124" s="17" t="s">
        <v>233</v>
      </c>
      <c r="K124" s="19"/>
      <c r="L124" s="19"/>
      <c r="M124" s="19"/>
      <c r="N124" s="19"/>
      <c r="O124" s="17" t="n">
        <v>1</v>
      </c>
      <c r="P124" s="18" t="s">
        <v>785</v>
      </c>
      <c r="Q124" s="18" t="s">
        <v>818</v>
      </c>
      <c r="R124" s="18" t="s">
        <v>826</v>
      </c>
      <c r="S124" s="17" t="s">
        <v>822</v>
      </c>
      <c r="T124" s="18" t="s">
        <v>285</v>
      </c>
      <c r="U124" s="19"/>
      <c r="V124" s="18" t="s">
        <v>286</v>
      </c>
      <c r="W124" s="17" t="s">
        <v>240</v>
      </c>
      <c r="X124" s="17" t="s">
        <v>287</v>
      </c>
      <c r="Y124" s="17" t="s">
        <v>242</v>
      </c>
      <c r="Z124" s="19"/>
      <c r="AA124" s="19"/>
      <c r="AB124" s="17"/>
      <c r="AC124" s="19"/>
    </row>
    <row r="125" customFormat="false" ht="22.35" hidden="false" customHeight="false" outlineLevel="0" collapsed="false">
      <c r="A125" s="10" t="s">
        <v>827</v>
      </c>
      <c r="B125" s="17" t="s">
        <v>165</v>
      </c>
      <c r="C125" s="18" t="s">
        <v>166</v>
      </c>
      <c r="D125" s="17" t="s">
        <v>19</v>
      </c>
      <c r="E125" s="17" t="s">
        <v>244</v>
      </c>
      <c r="F125" s="17" t="s">
        <v>230</v>
      </c>
      <c r="G125" s="17" t="s">
        <v>734</v>
      </c>
      <c r="H125" s="17" t="s">
        <v>28</v>
      </c>
      <c r="I125" s="17" t="s">
        <v>316</v>
      </c>
      <c r="J125" s="17" t="s">
        <v>233</v>
      </c>
      <c r="K125" s="19"/>
      <c r="L125" s="19"/>
      <c r="M125" s="19"/>
      <c r="N125" s="19"/>
      <c r="O125" s="17" t="n">
        <v>0</v>
      </c>
      <c r="P125" s="18" t="s">
        <v>828</v>
      </c>
      <c r="Q125" s="18" t="s">
        <v>829</v>
      </c>
      <c r="R125" s="18" t="s">
        <v>830</v>
      </c>
      <c r="S125" s="17" t="s">
        <v>237</v>
      </c>
      <c r="T125" s="18" t="s">
        <v>831</v>
      </c>
      <c r="U125" s="19"/>
      <c r="V125" s="18" t="s">
        <v>832</v>
      </c>
      <c r="W125" s="17" t="s">
        <v>240</v>
      </c>
      <c r="X125" s="17" t="s">
        <v>833</v>
      </c>
      <c r="Y125" s="17" t="s">
        <v>242</v>
      </c>
      <c r="Z125" s="19"/>
      <c r="AA125" s="19"/>
      <c r="AB125" s="17"/>
      <c r="AC125" s="19"/>
    </row>
    <row r="126" customFormat="false" ht="22.35" hidden="false" customHeight="false" outlineLevel="0" collapsed="false">
      <c r="A126" s="10" t="s">
        <v>834</v>
      </c>
      <c r="B126" s="17" t="s">
        <v>165</v>
      </c>
      <c r="C126" s="18" t="s">
        <v>166</v>
      </c>
      <c r="D126" s="17" t="s">
        <v>19</v>
      </c>
      <c r="E126" s="17" t="s">
        <v>244</v>
      </c>
      <c r="F126" s="17" t="s">
        <v>230</v>
      </c>
      <c r="G126" s="17" t="s">
        <v>734</v>
      </c>
      <c r="H126" s="17" t="s">
        <v>28</v>
      </c>
      <c r="I126" s="17" t="s">
        <v>232</v>
      </c>
      <c r="J126" s="17" t="s">
        <v>233</v>
      </c>
      <c r="K126" s="19"/>
      <c r="L126" s="19"/>
      <c r="M126" s="19"/>
      <c r="N126" s="19"/>
      <c r="O126" s="17" t="n">
        <v>0</v>
      </c>
      <c r="P126" s="18" t="s">
        <v>828</v>
      </c>
      <c r="Q126" s="18" t="s">
        <v>829</v>
      </c>
      <c r="R126" s="18" t="s">
        <v>835</v>
      </c>
      <c r="S126" s="17" t="s">
        <v>827</v>
      </c>
      <c r="T126" s="18" t="s">
        <v>836</v>
      </c>
      <c r="U126" s="19"/>
      <c r="V126" s="18" t="s">
        <v>837</v>
      </c>
      <c r="W126" s="17" t="s">
        <v>240</v>
      </c>
      <c r="X126" s="17" t="s">
        <v>838</v>
      </c>
      <c r="Y126" s="17" t="s">
        <v>242</v>
      </c>
      <c r="Z126" s="19"/>
      <c r="AA126" s="19"/>
      <c r="AB126" s="17"/>
      <c r="AC126" s="19"/>
    </row>
    <row r="127" customFormat="false" ht="22.35" hidden="false" customHeight="false" outlineLevel="0" collapsed="false">
      <c r="A127" s="10" t="s">
        <v>679</v>
      </c>
      <c r="B127" s="17" t="s">
        <v>165</v>
      </c>
      <c r="C127" s="18" t="s">
        <v>166</v>
      </c>
      <c r="D127" s="17" t="s">
        <v>19</v>
      </c>
      <c r="E127" s="17" t="s">
        <v>244</v>
      </c>
      <c r="F127" s="17" t="s">
        <v>230</v>
      </c>
      <c r="G127" s="17" t="s">
        <v>734</v>
      </c>
      <c r="H127" s="17" t="s">
        <v>28</v>
      </c>
      <c r="I127" s="17" t="s">
        <v>289</v>
      </c>
      <c r="J127" s="17" t="s">
        <v>233</v>
      </c>
      <c r="K127" s="19"/>
      <c r="L127" s="19"/>
      <c r="M127" s="19"/>
      <c r="N127" s="19"/>
      <c r="O127" s="17" t="n">
        <v>0</v>
      </c>
      <c r="P127" s="18" t="s">
        <v>828</v>
      </c>
      <c r="Q127" s="18" t="s">
        <v>829</v>
      </c>
      <c r="R127" s="18" t="s">
        <v>839</v>
      </c>
      <c r="S127" s="17" t="s">
        <v>827</v>
      </c>
      <c r="T127" s="18" t="s">
        <v>840</v>
      </c>
      <c r="U127" s="19"/>
      <c r="V127" s="18" t="s">
        <v>841</v>
      </c>
      <c r="W127" s="17" t="s">
        <v>240</v>
      </c>
      <c r="X127" s="17" t="s">
        <v>842</v>
      </c>
      <c r="Y127" s="17" t="s">
        <v>242</v>
      </c>
      <c r="Z127" s="19"/>
      <c r="AA127" s="19"/>
      <c r="AB127" s="17"/>
      <c r="AC127" s="19"/>
    </row>
    <row r="128" customFormat="false" ht="22.35" hidden="false" customHeight="false" outlineLevel="0" collapsed="false">
      <c r="A128" s="10" t="s">
        <v>843</v>
      </c>
      <c r="B128" s="17" t="s">
        <v>165</v>
      </c>
      <c r="C128" s="18" t="s">
        <v>166</v>
      </c>
      <c r="D128" s="17" t="s">
        <v>19</v>
      </c>
      <c r="E128" s="17" t="s">
        <v>229</v>
      </c>
      <c r="F128" s="17" t="s">
        <v>230</v>
      </c>
      <c r="G128" s="17" t="s">
        <v>734</v>
      </c>
      <c r="H128" s="17" t="s">
        <v>28</v>
      </c>
      <c r="I128" s="17" t="s">
        <v>232</v>
      </c>
      <c r="J128" s="17" t="s">
        <v>233</v>
      </c>
      <c r="K128" s="19"/>
      <c r="L128" s="19"/>
      <c r="M128" s="19"/>
      <c r="N128" s="19"/>
      <c r="O128" s="17" t="n">
        <v>0</v>
      </c>
      <c r="P128" s="18" t="s">
        <v>828</v>
      </c>
      <c r="Q128" s="18" t="s">
        <v>829</v>
      </c>
      <c r="R128" s="18" t="s">
        <v>844</v>
      </c>
      <c r="S128" s="17" t="s">
        <v>845</v>
      </c>
      <c r="T128" s="18" t="s">
        <v>846</v>
      </c>
      <c r="U128" s="19"/>
      <c r="V128" s="18" t="s">
        <v>847</v>
      </c>
      <c r="W128" s="17" t="s">
        <v>240</v>
      </c>
      <c r="X128" s="17" t="s">
        <v>281</v>
      </c>
      <c r="Y128" s="17" t="s">
        <v>242</v>
      </c>
      <c r="Z128" s="19"/>
      <c r="AA128" s="19"/>
      <c r="AB128" s="17"/>
      <c r="AC128" s="19"/>
    </row>
    <row r="129" customFormat="false" ht="22.35" hidden="false" customHeight="false" outlineLevel="0" collapsed="false">
      <c r="A129" s="10" t="s">
        <v>848</v>
      </c>
      <c r="B129" s="17" t="s">
        <v>165</v>
      </c>
      <c r="C129" s="18" t="s">
        <v>166</v>
      </c>
      <c r="D129" s="17" t="s">
        <v>19</v>
      </c>
      <c r="E129" s="17" t="s">
        <v>75</v>
      </c>
      <c r="F129" s="17" t="s">
        <v>230</v>
      </c>
      <c r="G129" s="17" t="s">
        <v>734</v>
      </c>
      <c r="H129" s="17" t="s">
        <v>28</v>
      </c>
      <c r="I129" s="17" t="s">
        <v>277</v>
      </c>
      <c r="J129" s="17" t="s">
        <v>233</v>
      </c>
      <c r="K129" s="19"/>
      <c r="L129" s="19"/>
      <c r="M129" s="19"/>
      <c r="N129" s="19"/>
      <c r="O129" s="17" t="n">
        <v>1</v>
      </c>
      <c r="P129" s="18" t="s">
        <v>828</v>
      </c>
      <c r="Q129" s="18" t="s">
        <v>829</v>
      </c>
      <c r="R129" s="18" t="s">
        <v>849</v>
      </c>
      <c r="S129" s="17" t="s">
        <v>679</v>
      </c>
      <c r="T129" s="18" t="s">
        <v>850</v>
      </c>
      <c r="U129" s="19"/>
      <c r="V129" s="18" t="s">
        <v>851</v>
      </c>
      <c r="W129" s="17" t="s">
        <v>240</v>
      </c>
      <c r="X129" s="17" t="s">
        <v>852</v>
      </c>
      <c r="Y129" s="17" t="s">
        <v>242</v>
      </c>
      <c r="Z129" s="19"/>
      <c r="AA129" s="19"/>
      <c r="AB129" s="17"/>
      <c r="AC129" s="19"/>
    </row>
    <row r="130" customFormat="false" ht="22.35" hidden="false" customHeight="false" outlineLevel="0" collapsed="false">
      <c r="A130" s="10" t="s">
        <v>853</v>
      </c>
      <c r="B130" s="17" t="s">
        <v>165</v>
      </c>
      <c r="C130" s="18" t="s">
        <v>166</v>
      </c>
      <c r="D130" s="17" t="s">
        <v>19</v>
      </c>
      <c r="E130" s="17" t="s">
        <v>75</v>
      </c>
      <c r="F130" s="17" t="s">
        <v>230</v>
      </c>
      <c r="G130" s="17" t="s">
        <v>734</v>
      </c>
      <c r="H130" s="17" t="s">
        <v>28</v>
      </c>
      <c r="I130" s="17" t="s">
        <v>277</v>
      </c>
      <c r="J130" s="17" t="s">
        <v>233</v>
      </c>
      <c r="K130" s="19"/>
      <c r="L130" s="19"/>
      <c r="M130" s="19"/>
      <c r="N130" s="19"/>
      <c r="O130" s="17" t="n">
        <v>1</v>
      </c>
      <c r="P130" s="18" t="s">
        <v>828</v>
      </c>
      <c r="Q130" s="18" t="s">
        <v>829</v>
      </c>
      <c r="R130" s="18" t="s">
        <v>854</v>
      </c>
      <c r="S130" s="17" t="s">
        <v>827</v>
      </c>
      <c r="T130" s="18" t="s">
        <v>855</v>
      </c>
      <c r="U130" s="19"/>
      <c r="V130" s="18" t="s">
        <v>856</v>
      </c>
      <c r="W130" s="17" t="s">
        <v>240</v>
      </c>
      <c r="X130" s="17" t="s">
        <v>857</v>
      </c>
      <c r="Y130" s="17" t="s">
        <v>242</v>
      </c>
      <c r="Z130" s="19"/>
      <c r="AA130" s="19"/>
      <c r="AB130" s="17"/>
      <c r="AC130" s="19"/>
    </row>
    <row r="131" customFormat="false" ht="22.35" hidden="false" customHeight="false" outlineLevel="0" collapsed="false">
      <c r="A131" s="10" t="s">
        <v>858</v>
      </c>
      <c r="B131" s="17" t="s">
        <v>165</v>
      </c>
      <c r="C131" s="18" t="s">
        <v>166</v>
      </c>
      <c r="D131" s="17" t="s">
        <v>19</v>
      </c>
      <c r="E131" s="17" t="s">
        <v>229</v>
      </c>
      <c r="F131" s="17" t="s">
        <v>230</v>
      </c>
      <c r="G131" s="17" t="s">
        <v>734</v>
      </c>
      <c r="H131" s="17" t="s">
        <v>28</v>
      </c>
      <c r="I131" s="17" t="s">
        <v>289</v>
      </c>
      <c r="J131" s="17" t="s">
        <v>233</v>
      </c>
      <c r="K131" s="19"/>
      <c r="L131" s="19"/>
      <c r="M131" s="19"/>
      <c r="N131" s="19"/>
      <c r="O131" s="17" t="n">
        <v>1</v>
      </c>
      <c r="P131" s="18" t="s">
        <v>828</v>
      </c>
      <c r="Q131" s="18" t="s">
        <v>859</v>
      </c>
      <c r="R131" s="18" t="s">
        <v>860</v>
      </c>
      <c r="S131" s="17" t="s">
        <v>843</v>
      </c>
      <c r="T131" s="18" t="s">
        <v>861</v>
      </c>
      <c r="U131" s="19"/>
      <c r="V131" s="18" t="s">
        <v>862</v>
      </c>
      <c r="W131" s="17" t="s">
        <v>383</v>
      </c>
      <c r="X131" s="17" t="s">
        <v>863</v>
      </c>
      <c r="Y131" s="17" t="s">
        <v>242</v>
      </c>
      <c r="Z131" s="19"/>
      <c r="AA131" s="19"/>
      <c r="AB131" s="17"/>
      <c r="AC131" s="19"/>
    </row>
    <row r="132" customFormat="false" ht="15" hidden="false" customHeight="false" outlineLevel="0" collapsed="false">
      <c r="A132" s="10" t="s">
        <v>864</v>
      </c>
      <c r="B132" s="17" t="s">
        <v>165</v>
      </c>
      <c r="C132" s="18" t="s">
        <v>166</v>
      </c>
      <c r="D132" s="17" t="s">
        <v>19</v>
      </c>
      <c r="E132" s="17" t="s">
        <v>75</v>
      </c>
      <c r="F132" s="17" t="s">
        <v>230</v>
      </c>
      <c r="G132" s="17" t="s">
        <v>734</v>
      </c>
      <c r="H132" s="17" t="s">
        <v>28</v>
      </c>
      <c r="I132" s="17" t="s">
        <v>289</v>
      </c>
      <c r="J132" s="17" t="s">
        <v>233</v>
      </c>
      <c r="K132" s="19"/>
      <c r="L132" s="19"/>
      <c r="M132" s="19"/>
      <c r="N132" s="19"/>
      <c r="O132" s="17" t="n">
        <v>1</v>
      </c>
      <c r="P132" s="18" t="s">
        <v>828</v>
      </c>
      <c r="Q132" s="18" t="s">
        <v>859</v>
      </c>
      <c r="R132" s="18" t="s">
        <v>865</v>
      </c>
      <c r="S132" s="17" t="s">
        <v>827</v>
      </c>
      <c r="T132" s="18" t="s">
        <v>866</v>
      </c>
      <c r="U132" s="19"/>
      <c r="V132" s="18" t="s">
        <v>867</v>
      </c>
      <c r="W132" s="17" t="s">
        <v>240</v>
      </c>
      <c r="X132" s="17" t="s">
        <v>287</v>
      </c>
      <c r="Y132" s="17" t="s">
        <v>242</v>
      </c>
      <c r="Z132" s="19"/>
      <c r="AA132" s="19"/>
      <c r="AB132" s="17"/>
      <c r="AC132" s="19"/>
    </row>
    <row r="133" customFormat="false" ht="22.35" hidden="false" customHeight="false" outlineLevel="0" collapsed="false">
      <c r="A133" s="10" t="s">
        <v>868</v>
      </c>
      <c r="B133" s="17" t="s">
        <v>165</v>
      </c>
      <c r="C133" s="18" t="s">
        <v>166</v>
      </c>
      <c r="D133" s="17" t="s">
        <v>19</v>
      </c>
      <c r="E133" s="17" t="s">
        <v>244</v>
      </c>
      <c r="F133" s="17" t="s">
        <v>230</v>
      </c>
      <c r="G133" s="17" t="s">
        <v>734</v>
      </c>
      <c r="H133" s="17" t="s">
        <v>28</v>
      </c>
      <c r="I133" s="17" t="s">
        <v>369</v>
      </c>
      <c r="J133" s="17" t="s">
        <v>233</v>
      </c>
      <c r="K133" s="19"/>
      <c r="L133" s="19"/>
      <c r="M133" s="19"/>
      <c r="N133" s="19"/>
      <c r="O133" s="17" t="n">
        <v>1</v>
      </c>
      <c r="P133" s="18" t="s">
        <v>828</v>
      </c>
      <c r="Q133" s="18" t="s">
        <v>859</v>
      </c>
      <c r="R133" s="18" t="s">
        <v>869</v>
      </c>
      <c r="S133" s="17" t="s">
        <v>843</v>
      </c>
      <c r="T133" s="18" t="s">
        <v>870</v>
      </c>
      <c r="U133" s="19"/>
      <c r="V133" s="18" t="s">
        <v>871</v>
      </c>
      <c r="W133" s="17" t="s">
        <v>240</v>
      </c>
      <c r="X133" s="17" t="s">
        <v>872</v>
      </c>
      <c r="Y133" s="17" t="s">
        <v>242</v>
      </c>
      <c r="Z133" s="19"/>
      <c r="AA133" s="19"/>
      <c r="AB133" s="17"/>
      <c r="AC133" s="19"/>
    </row>
    <row r="134" customFormat="false" ht="22.35" hidden="false" customHeight="false" outlineLevel="0" collapsed="false">
      <c r="A134" s="10" t="s">
        <v>873</v>
      </c>
      <c r="B134" s="17" t="s">
        <v>165</v>
      </c>
      <c r="C134" s="18" t="s">
        <v>166</v>
      </c>
      <c r="D134" s="17" t="s">
        <v>19</v>
      </c>
      <c r="E134" s="17" t="s">
        <v>75</v>
      </c>
      <c r="F134" s="17" t="s">
        <v>230</v>
      </c>
      <c r="G134" s="17" t="s">
        <v>734</v>
      </c>
      <c r="H134" s="17" t="s">
        <v>28</v>
      </c>
      <c r="I134" s="17" t="s">
        <v>283</v>
      </c>
      <c r="J134" s="17" t="s">
        <v>233</v>
      </c>
      <c r="K134" s="19"/>
      <c r="L134" s="19"/>
      <c r="M134" s="19"/>
      <c r="N134" s="19"/>
      <c r="O134" s="17" t="n">
        <v>1</v>
      </c>
      <c r="P134" s="18" t="s">
        <v>828</v>
      </c>
      <c r="Q134" s="18" t="s">
        <v>859</v>
      </c>
      <c r="R134" s="18" t="s">
        <v>874</v>
      </c>
      <c r="S134" s="17" t="s">
        <v>868</v>
      </c>
      <c r="T134" s="18" t="s">
        <v>285</v>
      </c>
      <c r="U134" s="19"/>
      <c r="V134" s="18" t="s">
        <v>286</v>
      </c>
      <c r="W134" s="17" t="s">
        <v>240</v>
      </c>
      <c r="X134" s="17" t="s">
        <v>287</v>
      </c>
      <c r="Y134" s="17" t="s">
        <v>242</v>
      </c>
      <c r="Z134" s="19"/>
      <c r="AA134" s="19"/>
      <c r="AB134" s="17"/>
      <c r="AC134" s="19"/>
    </row>
    <row r="135" customFormat="false" ht="22.35" hidden="false" customHeight="false" outlineLevel="0" collapsed="false">
      <c r="A135" s="10" t="s">
        <v>875</v>
      </c>
      <c r="B135" s="17" t="s">
        <v>172</v>
      </c>
      <c r="C135" s="18" t="s">
        <v>173</v>
      </c>
      <c r="D135" s="17" t="s">
        <v>19</v>
      </c>
      <c r="E135" s="17" t="s">
        <v>229</v>
      </c>
      <c r="F135" s="17" t="s">
        <v>230</v>
      </c>
      <c r="G135" s="17" t="s">
        <v>876</v>
      </c>
      <c r="H135" s="17" t="s">
        <v>28</v>
      </c>
      <c r="I135" s="17" t="s">
        <v>232</v>
      </c>
      <c r="J135" s="17" t="s">
        <v>233</v>
      </c>
      <c r="K135" s="19"/>
      <c r="L135" s="19"/>
      <c r="M135" s="19"/>
      <c r="N135" s="19"/>
      <c r="O135" s="17" t="n">
        <v>0</v>
      </c>
      <c r="P135" s="18" t="s">
        <v>877</v>
      </c>
      <c r="Q135" s="18" t="s">
        <v>878</v>
      </c>
      <c r="R135" s="18" t="s">
        <v>879</v>
      </c>
      <c r="S135" s="17" t="s">
        <v>237</v>
      </c>
      <c r="T135" s="18" t="s">
        <v>788</v>
      </c>
      <c r="U135" s="19"/>
      <c r="V135" s="18" t="s">
        <v>880</v>
      </c>
      <c r="W135" s="17" t="s">
        <v>240</v>
      </c>
      <c r="X135" s="17" t="s">
        <v>881</v>
      </c>
      <c r="Y135" s="17" t="s">
        <v>242</v>
      </c>
      <c r="Z135" s="19"/>
      <c r="AA135" s="19"/>
      <c r="AB135" s="17"/>
      <c r="AC135" s="19"/>
    </row>
    <row r="136" customFormat="false" ht="15" hidden="false" customHeight="false" outlineLevel="0" collapsed="false">
      <c r="A136" s="10" t="s">
        <v>882</v>
      </c>
      <c r="B136" s="17" t="s">
        <v>172</v>
      </c>
      <c r="C136" s="18" t="s">
        <v>173</v>
      </c>
      <c r="D136" s="17" t="s">
        <v>19</v>
      </c>
      <c r="E136" s="17" t="s">
        <v>75</v>
      </c>
      <c r="F136" s="17" t="s">
        <v>230</v>
      </c>
      <c r="G136" s="17" t="s">
        <v>876</v>
      </c>
      <c r="H136" s="17" t="s">
        <v>28</v>
      </c>
      <c r="I136" s="17" t="s">
        <v>289</v>
      </c>
      <c r="J136" s="17" t="s">
        <v>233</v>
      </c>
      <c r="K136" s="19"/>
      <c r="L136" s="19"/>
      <c r="M136" s="19"/>
      <c r="N136" s="19"/>
      <c r="O136" s="17" t="n">
        <v>1</v>
      </c>
      <c r="P136" s="18" t="s">
        <v>877</v>
      </c>
      <c r="Q136" s="18" t="s">
        <v>878</v>
      </c>
      <c r="R136" s="18" t="s">
        <v>883</v>
      </c>
      <c r="S136" s="17" t="s">
        <v>875</v>
      </c>
      <c r="T136" s="18" t="s">
        <v>884</v>
      </c>
      <c r="U136" s="19"/>
      <c r="V136" s="18" t="s">
        <v>885</v>
      </c>
      <c r="W136" s="17" t="s">
        <v>240</v>
      </c>
      <c r="X136" s="17" t="s">
        <v>886</v>
      </c>
      <c r="Y136" s="17" t="s">
        <v>242</v>
      </c>
      <c r="Z136" s="19"/>
      <c r="AA136" s="19"/>
      <c r="AB136" s="17"/>
      <c r="AC136" s="19"/>
    </row>
    <row r="137" customFormat="false" ht="22.35" hidden="false" customHeight="false" outlineLevel="0" collapsed="false">
      <c r="A137" s="10" t="s">
        <v>887</v>
      </c>
      <c r="B137" s="17" t="s">
        <v>172</v>
      </c>
      <c r="C137" s="18" t="s">
        <v>173</v>
      </c>
      <c r="D137" s="17" t="s">
        <v>19</v>
      </c>
      <c r="E137" s="17" t="s">
        <v>75</v>
      </c>
      <c r="F137" s="17" t="s">
        <v>230</v>
      </c>
      <c r="G137" s="17" t="s">
        <v>876</v>
      </c>
      <c r="H137" s="17" t="s">
        <v>28</v>
      </c>
      <c r="I137" s="17" t="s">
        <v>289</v>
      </c>
      <c r="J137" s="17" t="s">
        <v>233</v>
      </c>
      <c r="K137" s="19"/>
      <c r="L137" s="19"/>
      <c r="M137" s="19"/>
      <c r="N137" s="19"/>
      <c r="O137" s="17" t="n">
        <v>1</v>
      </c>
      <c r="P137" s="18" t="s">
        <v>877</v>
      </c>
      <c r="Q137" s="18" t="s">
        <v>878</v>
      </c>
      <c r="R137" s="18" t="s">
        <v>888</v>
      </c>
      <c r="S137" s="17" t="s">
        <v>882</v>
      </c>
      <c r="T137" s="18" t="s">
        <v>889</v>
      </c>
      <c r="U137" s="19"/>
      <c r="V137" s="18" t="s">
        <v>890</v>
      </c>
      <c r="W137" s="17" t="s">
        <v>240</v>
      </c>
      <c r="X137" s="17" t="s">
        <v>891</v>
      </c>
      <c r="Y137" s="17" t="s">
        <v>242</v>
      </c>
      <c r="Z137" s="19"/>
      <c r="AA137" s="19"/>
      <c r="AB137" s="17"/>
      <c r="AC137" s="19"/>
    </row>
    <row r="138" customFormat="false" ht="22.35" hidden="false" customHeight="false" outlineLevel="0" collapsed="false">
      <c r="A138" s="10" t="s">
        <v>892</v>
      </c>
      <c r="B138" s="17" t="s">
        <v>172</v>
      </c>
      <c r="C138" s="18" t="s">
        <v>173</v>
      </c>
      <c r="D138" s="17" t="s">
        <v>19</v>
      </c>
      <c r="E138" s="17" t="s">
        <v>75</v>
      </c>
      <c r="F138" s="17" t="s">
        <v>230</v>
      </c>
      <c r="G138" s="17" t="s">
        <v>876</v>
      </c>
      <c r="H138" s="17" t="s">
        <v>28</v>
      </c>
      <c r="I138" s="17" t="s">
        <v>893</v>
      </c>
      <c r="J138" s="17" t="s">
        <v>233</v>
      </c>
      <c r="K138" s="19"/>
      <c r="L138" s="19"/>
      <c r="M138" s="19"/>
      <c r="N138" s="19"/>
      <c r="O138" s="17" t="n">
        <v>1</v>
      </c>
      <c r="P138" s="18" t="s">
        <v>877</v>
      </c>
      <c r="Q138" s="18" t="s">
        <v>878</v>
      </c>
      <c r="R138" s="18" t="s">
        <v>894</v>
      </c>
      <c r="S138" s="17" t="s">
        <v>887</v>
      </c>
      <c r="T138" s="18" t="s">
        <v>895</v>
      </c>
      <c r="U138" s="19"/>
      <c r="V138" s="18" t="s">
        <v>896</v>
      </c>
      <c r="W138" s="17" t="s">
        <v>240</v>
      </c>
      <c r="X138" s="17" t="s">
        <v>897</v>
      </c>
      <c r="Y138" s="17" t="s">
        <v>242</v>
      </c>
      <c r="Z138" s="19"/>
      <c r="AA138" s="19"/>
      <c r="AB138" s="17"/>
      <c r="AC138" s="19"/>
    </row>
    <row r="139" customFormat="false" ht="22.35" hidden="false" customHeight="false" outlineLevel="0" collapsed="false">
      <c r="A139" s="10" t="s">
        <v>898</v>
      </c>
      <c r="B139" s="17" t="s">
        <v>172</v>
      </c>
      <c r="C139" s="18" t="s">
        <v>173</v>
      </c>
      <c r="D139" s="17" t="s">
        <v>19</v>
      </c>
      <c r="E139" s="17" t="s">
        <v>75</v>
      </c>
      <c r="F139" s="17" t="s">
        <v>230</v>
      </c>
      <c r="G139" s="17" t="s">
        <v>876</v>
      </c>
      <c r="H139" s="17" t="s">
        <v>28</v>
      </c>
      <c r="I139" s="17" t="s">
        <v>232</v>
      </c>
      <c r="J139" s="17" t="s">
        <v>233</v>
      </c>
      <c r="K139" s="19"/>
      <c r="L139" s="19"/>
      <c r="M139" s="19"/>
      <c r="N139" s="19"/>
      <c r="O139" s="17" t="n">
        <v>1</v>
      </c>
      <c r="P139" s="18" t="s">
        <v>877</v>
      </c>
      <c r="Q139" s="18" t="s">
        <v>878</v>
      </c>
      <c r="R139" s="18" t="s">
        <v>899</v>
      </c>
      <c r="S139" s="17" t="s">
        <v>882</v>
      </c>
      <c r="T139" s="18" t="s">
        <v>900</v>
      </c>
      <c r="U139" s="19"/>
      <c r="V139" s="18" t="s">
        <v>901</v>
      </c>
      <c r="W139" s="17" t="s">
        <v>240</v>
      </c>
      <c r="X139" s="17" t="s">
        <v>902</v>
      </c>
      <c r="Y139" s="17" t="s">
        <v>242</v>
      </c>
      <c r="Z139" s="19"/>
      <c r="AA139" s="19"/>
      <c r="AB139" s="17"/>
      <c r="AC139" s="19"/>
    </row>
    <row r="140" customFormat="false" ht="22.35" hidden="false" customHeight="false" outlineLevel="0" collapsed="false">
      <c r="A140" s="10" t="s">
        <v>903</v>
      </c>
      <c r="B140" s="17" t="s">
        <v>172</v>
      </c>
      <c r="C140" s="18" t="s">
        <v>173</v>
      </c>
      <c r="D140" s="17" t="s">
        <v>19</v>
      </c>
      <c r="E140" s="17" t="s">
        <v>75</v>
      </c>
      <c r="F140" s="17" t="s">
        <v>230</v>
      </c>
      <c r="G140" s="17" t="s">
        <v>876</v>
      </c>
      <c r="H140" s="17" t="s">
        <v>28</v>
      </c>
      <c r="I140" s="17" t="s">
        <v>316</v>
      </c>
      <c r="J140" s="17" t="s">
        <v>233</v>
      </c>
      <c r="K140" s="19"/>
      <c r="L140" s="19"/>
      <c r="M140" s="19"/>
      <c r="N140" s="19"/>
      <c r="O140" s="17" t="n">
        <v>1</v>
      </c>
      <c r="P140" s="18" t="s">
        <v>877</v>
      </c>
      <c r="Q140" s="18" t="s">
        <v>878</v>
      </c>
      <c r="R140" s="18" t="s">
        <v>904</v>
      </c>
      <c r="S140" s="17" t="s">
        <v>905</v>
      </c>
      <c r="T140" s="18" t="s">
        <v>906</v>
      </c>
      <c r="U140" s="19"/>
      <c r="V140" s="18" t="s">
        <v>907</v>
      </c>
      <c r="W140" s="17" t="s">
        <v>240</v>
      </c>
      <c r="X140" s="17" t="s">
        <v>908</v>
      </c>
      <c r="Y140" s="17" t="s">
        <v>242</v>
      </c>
      <c r="Z140" s="19"/>
      <c r="AA140" s="19"/>
      <c r="AB140" s="17"/>
      <c r="AC140" s="19"/>
    </row>
    <row r="141" customFormat="false" ht="22.35" hidden="false" customHeight="false" outlineLevel="0" collapsed="false">
      <c r="A141" s="10" t="s">
        <v>909</v>
      </c>
      <c r="B141" s="17" t="s">
        <v>172</v>
      </c>
      <c r="C141" s="18" t="s">
        <v>173</v>
      </c>
      <c r="D141" s="17" t="s">
        <v>19</v>
      </c>
      <c r="E141" s="17" t="s">
        <v>229</v>
      </c>
      <c r="F141" s="17" t="s">
        <v>230</v>
      </c>
      <c r="G141" s="17" t="s">
        <v>876</v>
      </c>
      <c r="H141" s="17" t="s">
        <v>28</v>
      </c>
      <c r="I141" s="17" t="s">
        <v>277</v>
      </c>
      <c r="J141" s="17" t="s">
        <v>233</v>
      </c>
      <c r="K141" s="19"/>
      <c r="L141" s="19"/>
      <c r="M141" s="19"/>
      <c r="N141" s="19"/>
      <c r="O141" s="17" t="n">
        <v>2</v>
      </c>
      <c r="P141" s="18" t="s">
        <v>877</v>
      </c>
      <c r="Q141" s="18" t="s">
        <v>910</v>
      </c>
      <c r="R141" s="18" t="s">
        <v>911</v>
      </c>
      <c r="S141" s="17" t="s">
        <v>903</v>
      </c>
      <c r="T141" s="18" t="s">
        <v>912</v>
      </c>
      <c r="U141" s="19"/>
      <c r="V141" s="18" t="s">
        <v>913</v>
      </c>
      <c r="W141" s="17" t="s">
        <v>240</v>
      </c>
      <c r="X141" s="17" t="s">
        <v>914</v>
      </c>
      <c r="Y141" s="17" t="s">
        <v>242</v>
      </c>
      <c r="Z141" s="19"/>
      <c r="AA141" s="19"/>
      <c r="AB141" s="17"/>
      <c r="AC141" s="19"/>
    </row>
    <row r="142" customFormat="false" ht="22.35" hidden="false" customHeight="false" outlineLevel="0" collapsed="false">
      <c r="A142" s="10" t="s">
        <v>915</v>
      </c>
      <c r="B142" s="17" t="s">
        <v>172</v>
      </c>
      <c r="C142" s="18" t="s">
        <v>173</v>
      </c>
      <c r="D142" s="17" t="s">
        <v>19</v>
      </c>
      <c r="E142" s="17" t="s">
        <v>75</v>
      </c>
      <c r="F142" s="17" t="s">
        <v>230</v>
      </c>
      <c r="G142" s="17" t="s">
        <v>876</v>
      </c>
      <c r="H142" s="17" t="s">
        <v>28</v>
      </c>
      <c r="I142" s="17" t="s">
        <v>277</v>
      </c>
      <c r="J142" s="17" t="s">
        <v>233</v>
      </c>
      <c r="K142" s="19"/>
      <c r="L142" s="19"/>
      <c r="M142" s="19"/>
      <c r="N142" s="19"/>
      <c r="O142" s="17" t="n">
        <v>2</v>
      </c>
      <c r="P142" s="18" t="s">
        <v>877</v>
      </c>
      <c r="Q142" s="18" t="s">
        <v>910</v>
      </c>
      <c r="R142" s="18" t="s">
        <v>916</v>
      </c>
      <c r="S142" s="17" t="s">
        <v>903</v>
      </c>
      <c r="T142" s="18" t="s">
        <v>917</v>
      </c>
      <c r="U142" s="19"/>
      <c r="V142" s="18" t="s">
        <v>918</v>
      </c>
      <c r="W142" s="17" t="s">
        <v>240</v>
      </c>
      <c r="X142" s="17" t="s">
        <v>919</v>
      </c>
      <c r="Y142" s="17" t="s">
        <v>242</v>
      </c>
      <c r="Z142" s="19"/>
      <c r="AA142" s="19"/>
      <c r="AB142" s="17"/>
      <c r="AC142" s="19"/>
    </row>
    <row r="143" customFormat="false" ht="22.35" hidden="false" customHeight="false" outlineLevel="0" collapsed="false">
      <c r="A143" s="10" t="s">
        <v>920</v>
      </c>
      <c r="B143" s="17" t="s">
        <v>172</v>
      </c>
      <c r="C143" s="18" t="s">
        <v>173</v>
      </c>
      <c r="D143" s="17" t="s">
        <v>19</v>
      </c>
      <c r="E143" s="17" t="s">
        <v>75</v>
      </c>
      <c r="F143" s="17" t="s">
        <v>230</v>
      </c>
      <c r="G143" s="17" t="s">
        <v>876</v>
      </c>
      <c r="H143" s="17" t="s">
        <v>28</v>
      </c>
      <c r="I143" s="17" t="s">
        <v>277</v>
      </c>
      <c r="J143" s="17" t="s">
        <v>233</v>
      </c>
      <c r="K143" s="19"/>
      <c r="L143" s="19"/>
      <c r="M143" s="19"/>
      <c r="N143" s="19"/>
      <c r="O143" s="17" t="n">
        <v>1</v>
      </c>
      <c r="P143" s="18" t="s">
        <v>877</v>
      </c>
      <c r="Q143" s="18" t="s">
        <v>910</v>
      </c>
      <c r="R143" s="18" t="s">
        <v>921</v>
      </c>
      <c r="S143" s="17" t="s">
        <v>898</v>
      </c>
      <c r="T143" s="18" t="s">
        <v>922</v>
      </c>
      <c r="U143" s="19"/>
      <c r="V143" s="18" t="s">
        <v>923</v>
      </c>
      <c r="W143" s="17" t="s">
        <v>240</v>
      </c>
      <c r="X143" s="17" t="s">
        <v>924</v>
      </c>
      <c r="Y143" s="17" t="s">
        <v>242</v>
      </c>
      <c r="Z143" s="19"/>
      <c r="AA143" s="19"/>
      <c r="AB143" s="17"/>
      <c r="AC143" s="19"/>
    </row>
    <row r="144" customFormat="false" ht="22.35" hidden="false" customHeight="false" outlineLevel="0" collapsed="false">
      <c r="A144" s="10" t="s">
        <v>925</v>
      </c>
      <c r="B144" s="17" t="s">
        <v>172</v>
      </c>
      <c r="C144" s="18" t="s">
        <v>173</v>
      </c>
      <c r="D144" s="17" t="s">
        <v>19</v>
      </c>
      <c r="E144" s="17" t="s">
        <v>75</v>
      </c>
      <c r="F144" s="17" t="s">
        <v>230</v>
      </c>
      <c r="G144" s="17" t="s">
        <v>876</v>
      </c>
      <c r="H144" s="17" t="s">
        <v>28</v>
      </c>
      <c r="I144" s="17" t="s">
        <v>283</v>
      </c>
      <c r="J144" s="17" t="s">
        <v>233</v>
      </c>
      <c r="K144" s="19"/>
      <c r="L144" s="19"/>
      <c r="M144" s="19"/>
      <c r="N144" s="19"/>
      <c r="O144" s="17" t="n">
        <v>2</v>
      </c>
      <c r="P144" s="18" t="s">
        <v>877</v>
      </c>
      <c r="Q144" s="18" t="s">
        <v>910</v>
      </c>
      <c r="R144" s="18" t="s">
        <v>926</v>
      </c>
      <c r="S144" s="17" t="s">
        <v>920</v>
      </c>
      <c r="T144" s="18" t="s">
        <v>285</v>
      </c>
      <c r="U144" s="19"/>
      <c r="V144" s="18" t="s">
        <v>286</v>
      </c>
      <c r="W144" s="17" t="s">
        <v>240</v>
      </c>
      <c r="X144" s="17" t="s">
        <v>287</v>
      </c>
      <c r="Y144" s="17" t="s">
        <v>242</v>
      </c>
      <c r="Z144" s="19"/>
      <c r="AA144" s="19"/>
      <c r="AB144" s="17"/>
      <c r="AC144" s="19"/>
    </row>
    <row r="145" customFormat="false" ht="22.35" hidden="false" customHeight="false" outlineLevel="0" collapsed="false">
      <c r="A145" s="10" t="s">
        <v>927</v>
      </c>
      <c r="B145" s="17" t="s">
        <v>172</v>
      </c>
      <c r="C145" s="18" t="s">
        <v>173</v>
      </c>
      <c r="D145" s="17" t="s">
        <v>19</v>
      </c>
      <c r="E145" s="17" t="s">
        <v>229</v>
      </c>
      <c r="F145" s="17" t="s">
        <v>230</v>
      </c>
      <c r="G145" s="17" t="s">
        <v>876</v>
      </c>
      <c r="H145" s="17" t="s">
        <v>28</v>
      </c>
      <c r="I145" s="17" t="s">
        <v>928</v>
      </c>
      <c r="J145" s="17" t="s">
        <v>233</v>
      </c>
      <c r="K145" s="19"/>
      <c r="L145" s="19"/>
      <c r="M145" s="19"/>
      <c r="N145" s="19"/>
      <c r="O145" s="17" t="n">
        <v>0</v>
      </c>
      <c r="P145" s="18" t="s">
        <v>929</v>
      </c>
      <c r="Q145" s="18" t="s">
        <v>930</v>
      </c>
      <c r="R145" s="18" t="s">
        <v>931</v>
      </c>
      <c r="S145" s="17" t="s">
        <v>875</v>
      </c>
      <c r="T145" s="18" t="s">
        <v>788</v>
      </c>
      <c r="U145" s="19"/>
      <c r="V145" s="18" t="s">
        <v>932</v>
      </c>
      <c r="W145" s="17" t="s">
        <v>240</v>
      </c>
      <c r="X145" s="17" t="s">
        <v>933</v>
      </c>
      <c r="Y145" s="17" t="s">
        <v>242</v>
      </c>
      <c r="Z145" s="19"/>
      <c r="AA145" s="19"/>
      <c r="AB145" s="17"/>
      <c r="AC145" s="19"/>
    </row>
    <row r="146" customFormat="false" ht="32.8" hidden="false" customHeight="false" outlineLevel="0" collapsed="false">
      <c r="A146" s="10" t="s">
        <v>934</v>
      </c>
      <c r="B146" s="17" t="s">
        <v>172</v>
      </c>
      <c r="C146" s="18" t="s">
        <v>173</v>
      </c>
      <c r="D146" s="17" t="s">
        <v>19</v>
      </c>
      <c r="E146" s="17" t="s">
        <v>244</v>
      </c>
      <c r="F146" s="17" t="s">
        <v>230</v>
      </c>
      <c r="G146" s="17" t="s">
        <v>876</v>
      </c>
      <c r="H146" s="17" t="s">
        <v>28</v>
      </c>
      <c r="I146" s="17" t="s">
        <v>232</v>
      </c>
      <c r="J146" s="17" t="s">
        <v>233</v>
      </c>
      <c r="K146" s="19"/>
      <c r="L146" s="19"/>
      <c r="M146" s="19"/>
      <c r="N146" s="19"/>
      <c r="O146" s="17" t="n">
        <v>0</v>
      </c>
      <c r="P146" s="18" t="s">
        <v>929</v>
      </c>
      <c r="Q146" s="18" t="s">
        <v>930</v>
      </c>
      <c r="R146" s="18" t="s">
        <v>935</v>
      </c>
      <c r="S146" s="17" t="s">
        <v>419</v>
      </c>
      <c r="T146" s="18" t="s">
        <v>936</v>
      </c>
      <c r="U146" s="19"/>
      <c r="V146" s="18" t="s">
        <v>937</v>
      </c>
      <c r="W146" s="17" t="s">
        <v>240</v>
      </c>
      <c r="X146" s="17" t="s">
        <v>938</v>
      </c>
      <c r="Y146" s="17" t="s">
        <v>242</v>
      </c>
      <c r="Z146" s="19"/>
      <c r="AA146" s="19"/>
      <c r="AB146" s="17"/>
      <c r="AC146" s="19"/>
    </row>
    <row r="147" customFormat="false" ht="22.35" hidden="false" customHeight="false" outlineLevel="0" collapsed="false">
      <c r="A147" s="10" t="s">
        <v>939</v>
      </c>
      <c r="B147" s="17" t="s">
        <v>172</v>
      </c>
      <c r="C147" s="18" t="s">
        <v>173</v>
      </c>
      <c r="D147" s="17" t="s">
        <v>19</v>
      </c>
      <c r="E147" s="17" t="s">
        <v>229</v>
      </c>
      <c r="F147" s="17" t="s">
        <v>230</v>
      </c>
      <c r="G147" s="17" t="s">
        <v>876</v>
      </c>
      <c r="H147" s="17" t="s">
        <v>28</v>
      </c>
      <c r="I147" s="17" t="s">
        <v>316</v>
      </c>
      <c r="J147" s="17" t="s">
        <v>233</v>
      </c>
      <c r="K147" s="19"/>
      <c r="L147" s="19"/>
      <c r="M147" s="19"/>
      <c r="N147" s="19"/>
      <c r="O147" s="17" t="n">
        <v>1</v>
      </c>
      <c r="P147" s="18" t="s">
        <v>929</v>
      </c>
      <c r="Q147" s="18" t="s">
        <v>930</v>
      </c>
      <c r="R147" s="18" t="s">
        <v>940</v>
      </c>
      <c r="S147" s="17" t="s">
        <v>934</v>
      </c>
      <c r="T147" s="18" t="s">
        <v>941</v>
      </c>
      <c r="U147" s="19"/>
      <c r="V147" s="18" t="s">
        <v>942</v>
      </c>
      <c r="W147" s="17" t="s">
        <v>240</v>
      </c>
      <c r="X147" s="17" t="s">
        <v>943</v>
      </c>
      <c r="Y147" s="17" t="s">
        <v>242</v>
      </c>
      <c r="Z147" s="19"/>
      <c r="AA147" s="19"/>
      <c r="AB147" s="17"/>
      <c r="AC147" s="19"/>
    </row>
    <row r="148" customFormat="false" ht="22.35" hidden="false" customHeight="false" outlineLevel="0" collapsed="false">
      <c r="A148" s="10" t="s">
        <v>944</v>
      </c>
      <c r="B148" s="17" t="s">
        <v>172</v>
      </c>
      <c r="C148" s="18" t="s">
        <v>173</v>
      </c>
      <c r="D148" s="17" t="s">
        <v>19</v>
      </c>
      <c r="E148" s="17" t="s">
        <v>75</v>
      </c>
      <c r="F148" s="17" t="s">
        <v>230</v>
      </c>
      <c r="G148" s="17" t="s">
        <v>876</v>
      </c>
      <c r="H148" s="17" t="s">
        <v>28</v>
      </c>
      <c r="I148" s="17" t="s">
        <v>333</v>
      </c>
      <c r="J148" s="17" t="s">
        <v>233</v>
      </c>
      <c r="K148" s="19"/>
      <c r="L148" s="19"/>
      <c r="M148" s="19"/>
      <c r="N148" s="19"/>
      <c r="O148" s="17" t="n">
        <v>1</v>
      </c>
      <c r="P148" s="18" t="s">
        <v>929</v>
      </c>
      <c r="Q148" s="18" t="s">
        <v>930</v>
      </c>
      <c r="R148" s="18" t="s">
        <v>945</v>
      </c>
      <c r="S148" s="17" t="s">
        <v>882</v>
      </c>
      <c r="T148" s="18" t="s">
        <v>946</v>
      </c>
      <c r="U148" s="19"/>
      <c r="V148" s="18" t="s">
        <v>947</v>
      </c>
      <c r="W148" s="17" t="s">
        <v>240</v>
      </c>
      <c r="X148" s="17" t="s">
        <v>948</v>
      </c>
      <c r="Y148" s="17" t="s">
        <v>242</v>
      </c>
      <c r="Z148" s="19"/>
      <c r="AA148" s="19"/>
      <c r="AB148" s="17"/>
      <c r="AC148" s="19"/>
    </row>
    <row r="149" customFormat="false" ht="22.35" hidden="false" customHeight="false" outlineLevel="0" collapsed="false">
      <c r="A149" s="10" t="s">
        <v>949</v>
      </c>
      <c r="B149" s="17" t="s">
        <v>172</v>
      </c>
      <c r="C149" s="18" t="s">
        <v>173</v>
      </c>
      <c r="D149" s="17" t="s">
        <v>19</v>
      </c>
      <c r="E149" s="17" t="s">
        <v>75</v>
      </c>
      <c r="F149" s="17" t="s">
        <v>230</v>
      </c>
      <c r="G149" s="17" t="s">
        <v>876</v>
      </c>
      <c r="H149" s="17" t="s">
        <v>28</v>
      </c>
      <c r="I149" s="17" t="s">
        <v>289</v>
      </c>
      <c r="J149" s="17" t="s">
        <v>233</v>
      </c>
      <c r="K149" s="19"/>
      <c r="L149" s="19"/>
      <c r="M149" s="19"/>
      <c r="N149" s="19"/>
      <c r="O149" s="17" t="n">
        <v>1</v>
      </c>
      <c r="P149" s="18" t="s">
        <v>929</v>
      </c>
      <c r="Q149" s="18" t="s">
        <v>930</v>
      </c>
      <c r="R149" s="18" t="s">
        <v>950</v>
      </c>
      <c r="S149" s="17" t="s">
        <v>882</v>
      </c>
      <c r="T149" s="18" t="s">
        <v>365</v>
      </c>
      <c r="U149" s="19"/>
      <c r="V149" s="18" t="s">
        <v>951</v>
      </c>
      <c r="W149" s="17" t="s">
        <v>240</v>
      </c>
      <c r="X149" s="17" t="s">
        <v>287</v>
      </c>
      <c r="Y149" s="17" t="s">
        <v>242</v>
      </c>
      <c r="Z149" s="19"/>
      <c r="AA149" s="19"/>
      <c r="AB149" s="17"/>
      <c r="AC149" s="19"/>
    </row>
    <row r="150" customFormat="false" ht="22.35" hidden="false" customHeight="false" outlineLevel="0" collapsed="false">
      <c r="A150" s="10" t="s">
        <v>952</v>
      </c>
      <c r="B150" s="17" t="s">
        <v>172</v>
      </c>
      <c r="C150" s="18" t="s">
        <v>173</v>
      </c>
      <c r="D150" s="17" t="s">
        <v>19</v>
      </c>
      <c r="E150" s="17" t="s">
        <v>75</v>
      </c>
      <c r="F150" s="17" t="s">
        <v>230</v>
      </c>
      <c r="G150" s="17" t="s">
        <v>876</v>
      </c>
      <c r="H150" s="17" t="s">
        <v>28</v>
      </c>
      <c r="I150" s="17" t="s">
        <v>277</v>
      </c>
      <c r="J150" s="17" t="s">
        <v>233</v>
      </c>
      <c r="K150" s="19"/>
      <c r="L150" s="19"/>
      <c r="M150" s="19"/>
      <c r="N150" s="19"/>
      <c r="O150" s="17" t="n">
        <v>2</v>
      </c>
      <c r="P150" s="18" t="s">
        <v>929</v>
      </c>
      <c r="Q150" s="18" t="s">
        <v>953</v>
      </c>
      <c r="R150" s="18" t="s">
        <v>954</v>
      </c>
      <c r="S150" s="17" t="s">
        <v>920</v>
      </c>
      <c r="T150" s="18" t="s">
        <v>955</v>
      </c>
      <c r="U150" s="19"/>
      <c r="V150" s="18" t="s">
        <v>956</v>
      </c>
      <c r="W150" s="17" t="s">
        <v>240</v>
      </c>
      <c r="X150" s="17" t="s">
        <v>957</v>
      </c>
      <c r="Y150" s="17" t="s">
        <v>242</v>
      </c>
      <c r="Z150" s="19"/>
      <c r="AA150" s="19"/>
      <c r="AB150" s="17"/>
      <c r="AC150" s="19"/>
    </row>
    <row r="151" customFormat="false" ht="22.35" hidden="false" customHeight="false" outlineLevel="0" collapsed="false">
      <c r="A151" s="10" t="s">
        <v>958</v>
      </c>
      <c r="B151" s="17" t="s">
        <v>172</v>
      </c>
      <c r="C151" s="18" t="s">
        <v>173</v>
      </c>
      <c r="D151" s="17" t="s">
        <v>19</v>
      </c>
      <c r="E151" s="17" t="s">
        <v>75</v>
      </c>
      <c r="F151" s="17" t="s">
        <v>230</v>
      </c>
      <c r="G151" s="17" t="s">
        <v>876</v>
      </c>
      <c r="H151" s="17" t="s">
        <v>28</v>
      </c>
      <c r="I151" s="17" t="s">
        <v>289</v>
      </c>
      <c r="J151" s="17" t="s">
        <v>233</v>
      </c>
      <c r="K151" s="19"/>
      <c r="L151" s="19"/>
      <c r="M151" s="19"/>
      <c r="N151" s="19"/>
      <c r="O151" s="17" t="n">
        <v>1</v>
      </c>
      <c r="P151" s="18" t="s">
        <v>929</v>
      </c>
      <c r="Q151" s="18" t="s">
        <v>953</v>
      </c>
      <c r="R151" s="18" t="s">
        <v>959</v>
      </c>
      <c r="S151" s="17" t="s">
        <v>882</v>
      </c>
      <c r="T151" s="18" t="s">
        <v>532</v>
      </c>
      <c r="U151" s="19"/>
      <c r="V151" s="18" t="s">
        <v>960</v>
      </c>
      <c r="W151" s="17" t="s">
        <v>240</v>
      </c>
      <c r="X151" s="17" t="s">
        <v>287</v>
      </c>
      <c r="Y151" s="17" t="s">
        <v>242</v>
      </c>
      <c r="Z151" s="19"/>
      <c r="AA151" s="19"/>
      <c r="AB151" s="17"/>
      <c r="AC151" s="19"/>
    </row>
    <row r="152" customFormat="false" ht="15" hidden="false" customHeight="false" outlineLevel="0" collapsed="false">
      <c r="A152" s="10" t="s">
        <v>961</v>
      </c>
      <c r="B152" s="17" t="s">
        <v>172</v>
      </c>
      <c r="C152" s="18" t="s">
        <v>173</v>
      </c>
      <c r="D152" s="17" t="s">
        <v>19</v>
      </c>
      <c r="E152" s="17" t="s">
        <v>229</v>
      </c>
      <c r="F152" s="17" t="s">
        <v>230</v>
      </c>
      <c r="G152" s="17" t="s">
        <v>876</v>
      </c>
      <c r="H152" s="17" t="s">
        <v>28</v>
      </c>
      <c r="I152" s="17" t="s">
        <v>289</v>
      </c>
      <c r="J152" s="17" t="s">
        <v>233</v>
      </c>
      <c r="K152" s="19"/>
      <c r="L152" s="19"/>
      <c r="M152" s="19"/>
      <c r="N152" s="19"/>
      <c r="O152" s="17" t="n">
        <v>1</v>
      </c>
      <c r="P152" s="18" t="s">
        <v>929</v>
      </c>
      <c r="Q152" s="18" t="s">
        <v>953</v>
      </c>
      <c r="R152" s="18" t="s">
        <v>962</v>
      </c>
      <c r="S152" s="17" t="s">
        <v>882</v>
      </c>
      <c r="T152" s="18" t="s">
        <v>376</v>
      </c>
      <c r="U152" s="19"/>
      <c r="V152" s="18" t="s">
        <v>963</v>
      </c>
      <c r="W152" s="17" t="s">
        <v>240</v>
      </c>
      <c r="X152" s="17" t="s">
        <v>378</v>
      </c>
      <c r="Y152" s="17" t="s">
        <v>242</v>
      </c>
      <c r="Z152" s="19"/>
      <c r="AA152" s="19"/>
      <c r="AB152" s="17"/>
      <c r="AC152" s="19"/>
    </row>
    <row r="153" customFormat="false" ht="22.35" hidden="false" customHeight="false" outlineLevel="0" collapsed="false">
      <c r="A153" s="10" t="s">
        <v>964</v>
      </c>
      <c r="B153" s="17" t="s">
        <v>172</v>
      </c>
      <c r="C153" s="18" t="s">
        <v>173</v>
      </c>
      <c r="D153" s="17" t="s">
        <v>19</v>
      </c>
      <c r="E153" s="17" t="s">
        <v>229</v>
      </c>
      <c r="F153" s="17" t="s">
        <v>230</v>
      </c>
      <c r="G153" s="17" t="s">
        <v>876</v>
      </c>
      <c r="H153" s="17" t="s">
        <v>28</v>
      </c>
      <c r="I153" s="17" t="s">
        <v>289</v>
      </c>
      <c r="J153" s="17" t="s">
        <v>233</v>
      </c>
      <c r="K153" s="19"/>
      <c r="L153" s="19"/>
      <c r="M153" s="19"/>
      <c r="N153" s="19"/>
      <c r="O153" s="17" t="n">
        <v>1</v>
      </c>
      <c r="P153" s="18" t="s">
        <v>929</v>
      </c>
      <c r="Q153" s="18" t="s">
        <v>953</v>
      </c>
      <c r="R153" s="18" t="s">
        <v>965</v>
      </c>
      <c r="S153" s="17" t="s">
        <v>961</v>
      </c>
      <c r="T153" s="18" t="s">
        <v>381</v>
      </c>
      <c r="U153" s="19"/>
      <c r="V153" s="18" t="s">
        <v>382</v>
      </c>
      <c r="W153" s="17" t="s">
        <v>383</v>
      </c>
      <c r="X153" s="17" t="s">
        <v>384</v>
      </c>
      <c r="Y153" s="17" t="s">
        <v>242</v>
      </c>
      <c r="Z153" s="19"/>
      <c r="AA153" s="19"/>
      <c r="AB153" s="17"/>
      <c r="AC153" s="19"/>
    </row>
    <row r="154" customFormat="false" ht="22.35" hidden="false" customHeight="false" outlineLevel="0" collapsed="false">
      <c r="A154" s="10" t="s">
        <v>966</v>
      </c>
      <c r="B154" s="17" t="s">
        <v>172</v>
      </c>
      <c r="C154" s="18" t="s">
        <v>173</v>
      </c>
      <c r="D154" s="17" t="s">
        <v>19</v>
      </c>
      <c r="E154" s="17" t="s">
        <v>75</v>
      </c>
      <c r="F154" s="17" t="s">
        <v>230</v>
      </c>
      <c r="G154" s="17" t="s">
        <v>876</v>
      </c>
      <c r="H154" s="17" t="s">
        <v>28</v>
      </c>
      <c r="I154" s="17" t="s">
        <v>369</v>
      </c>
      <c r="J154" s="17" t="s">
        <v>233</v>
      </c>
      <c r="K154" s="19"/>
      <c r="L154" s="19"/>
      <c r="M154" s="19"/>
      <c r="N154" s="19"/>
      <c r="O154" s="17" t="n">
        <v>1</v>
      </c>
      <c r="P154" s="18" t="s">
        <v>929</v>
      </c>
      <c r="Q154" s="18" t="s">
        <v>953</v>
      </c>
      <c r="R154" s="18" t="s">
        <v>967</v>
      </c>
      <c r="S154" s="17" t="s">
        <v>958</v>
      </c>
      <c r="T154" s="18" t="s">
        <v>968</v>
      </c>
      <c r="U154" s="19"/>
      <c r="V154" s="18" t="s">
        <v>969</v>
      </c>
      <c r="W154" s="17" t="s">
        <v>240</v>
      </c>
      <c r="X154" s="17" t="s">
        <v>287</v>
      </c>
      <c r="Y154" s="17" t="s">
        <v>242</v>
      </c>
      <c r="Z154" s="19"/>
      <c r="AA154" s="19"/>
      <c r="AB154" s="17"/>
      <c r="AC154" s="19"/>
    </row>
    <row r="155" customFormat="false" ht="22.35" hidden="false" customHeight="false" outlineLevel="0" collapsed="false">
      <c r="A155" s="10" t="s">
        <v>970</v>
      </c>
      <c r="B155" s="17" t="s">
        <v>172</v>
      </c>
      <c r="C155" s="18" t="s">
        <v>173</v>
      </c>
      <c r="D155" s="17" t="s">
        <v>19</v>
      </c>
      <c r="E155" s="17" t="s">
        <v>75</v>
      </c>
      <c r="F155" s="17" t="s">
        <v>230</v>
      </c>
      <c r="G155" s="17" t="s">
        <v>876</v>
      </c>
      <c r="H155" s="17" t="s">
        <v>28</v>
      </c>
      <c r="I155" s="17" t="s">
        <v>283</v>
      </c>
      <c r="J155" s="17" t="s">
        <v>233</v>
      </c>
      <c r="K155" s="19"/>
      <c r="L155" s="19"/>
      <c r="M155" s="19"/>
      <c r="N155" s="19"/>
      <c r="O155" s="17" t="n">
        <v>1</v>
      </c>
      <c r="P155" s="18" t="s">
        <v>929</v>
      </c>
      <c r="Q155" s="18" t="s">
        <v>953</v>
      </c>
      <c r="R155" s="18" t="s">
        <v>971</v>
      </c>
      <c r="S155" s="17" t="s">
        <v>966</v>
      </c>
      <c r="T155" s="18" t="s">
        <v>285</v>
      </c>
      <c r="U155" s="19"/>
      <c r="V155" s="18" t="s">
        <v>286</v>
      </c>
      <c r="W155" s="17" t="s">
        <v>240</v>
      </c>
      <c r="X155" s="17" t="s">
        <v>287</v>
      </c>
      <c r="Y155" s="17" t="s">
        <v>242</v>
      </c>
      <c r="Z155" s="19"/>
      <c r="AA155" s="19"/>
      <c r="AB155" s="17"/>
      <c r="AC155" s="19"/>
    </row>
    <row r="156" customFormat="false" ht="22.35" hidden="false" customHeight="false" outlineLevel="0" collapsed="false">
      <c r="A156" s="10" t="s">
        <v>972</v>
      </c>
      <c r="B156" s="17" t="s">
        <v>121</v>
      </c>
      <c r="C156" s="18" t="s">
        <v>122</v>
      </c>
      <c r="D156" s="17" t="s">
        <v>19</v>
      </c>
      <c r="E156" s="17" t="s">
        <v>75</v>
      </c>
      <c r="F156" s="17" t="s">
        <v>230</v>
      </c>
      <c r="G156" s="17" t="s">
        <v>973</v>
      </c>
      <c r="H156" s="17" t="s">
        <v>28</v>
      </c>
      <c r="I156" s="17" t="s">
        <v>974</v>
      </c>
      <c r="J156" s="17" t="s">
        <v>233</v>
      </c>
      <c r="K156" s="19"/>
      <c r="L156" s="19"/>
      <c r="M156" s="19"/>
      <c r="N156" s="19"/>
      <c r="O156" s="17" t="n">
        <v>1</v>
      </c>
      <c r="P156" s="18" t="s">
        <v>975</v>
      </c>
      <c r="Q156" s="18" t="s">
        <v>976</v>
      </c>
      <c r="R156" s="18" t="s">
        <v>977</v>
      </c>
      <c r="S156" s="17" t="s">
        <v>741</v>
      </c>
      <c r="T156" s="18" t="s">
        <v>978</v>
      </c>
      <c r="U156" s="19"/>
      <c r="V156" s="18" t="s">
        <v>979</v>
      </c>
      <c r="W156" s="17" t="s">
        <v>240</v>
      </c>
      <c r="X156" s="17" t="s">
        <v>980</v>
      </c>
      <c r="Y156" s="17" t="s">
        <v>242</v>
      </c>
      <c r="Z156" s="19"/>
      <c r="AA156" s="19"/>
      <c r="AB156" s="17"/>
      <c r="AC156" s="19"/>
    </row>
    <row r="157" customFormat="false" ht="22.35" hidden="false" customHeight="false" outlineLevel="0" collapsed="false">
      <c r="A157" s="10" t="s">
        <v>981</v>
      </c>
      <c r="B157" s="17" t="s">
        <v>121</v>
      </c>
      <c r="C157" s="18" t="s">
        <v>122</v>
      </c>
      <c r="D157" s="17" t="s">
        <v>19</v>
      </c>
      <c r="E157" s="17" t="s">
        <v>75</v>
      </c>
      <c r="F157" s="17" t="s">
        <v>230</v>
      </c>
      <c r="G157" s="17" t="s">
        <v>973</v>
      </c>
      <c r="H157" s="17" t="s">
        <v>28</v>
      </c>
      <c r="I157" s="17" t="s">
        <v>974</v>
      </c>
      <c r="J157" s="17" t="s">
        <v>233</v>
      </c>
      <c r="K157" s="19"/>
      <c r="L157" s="19"/>
      <c r="M157" s="19"/>
      <c r="N157" s="19"/>
      <c r="O157" s="17" t="n">
        <v>1</v>
      </c>
      <c r="P157" s="18" t="s">
        <v>975</v>
      </c>
      <c r="Q157" s="18" t="s">
        <v>976</v>
      </c>
      <c r="R157" s="18" t="s">
        <v>982</v>
      </c>
      <c r="S157" s="17" t="s">
        <v>983</v>
      </c>
      <c r="T157" s="18" t="s">
        <v>984</v>
      </c>
      <c r="U157" s="19"/>
      <c r="V157" s="18" t="s">
        <v>985</v>
      </c>
      <c r="W157" s="17" t="s">
        <v>240</v>
      </c>
      <c r="X157" s="17" t="s">
        <v>986</v>
      </c>
      <c r="Y157" s="17" t="s">
        <v>242</v>
      </c>
      <c r="Z157" s="19"/>
      <c r="AA157" s="19"/>
      <c r="AB157" s="17"/>
      <c r="AC157" s="19"/>
    </row>
    <row r="158" customFormat="false" ht="22.35" hidden="false" customHeight="false" outlineLevel="0" collapsed="false">
      <c r="A158" s="10" t="s">
        <v>987</v>
      </c>
      <c r="B158" s="17" t="s">
        <v>121</v>
      </c>
      <c r="C158" s="18" t="s">
        <v>122</v>
      </c>
      <c r="D158" s="17" t="s">
        <v>19</v>
      </c>
      <c r="E158" s="17" t="s">
        <v>75</v>
      </c>
      <c r="F158" s="17" t="s">
        <v>230</v>
      </c>
      <c r="G158" s="17" t="s">
        <v>973</v>
      </c>
      <c r="H158" s="17" t="s">
        <v>28</v>
      </c>
      <c r="I158" s="17" t="s">
        <v>974</v>
      </c>
      <c r="J158" s="17" t="s">
        <v>233</v>
      </c>
      <c r="K158" s="19"/>
      <c r="L158" s="19"/>
      <c r="M158" s="19"/>
      <c r="N158" s="19"/>
      <c r="O158" s="17" t="n">
        <v>1</v>
      </c>
      <c r="P158" s="18" t="s">
        <v>975</v>
      </c>
      <c r="Q158" s="18" t="s">
        <v>976</v>
      </c>
      <c r="R158" s="18" t="s">
        <v>988</v>
      </c>
      <c r="S158" s="17" t="s">
        <v>972</v>
      </c>
      <c r="T158" s="18" t="s">
        <v>989</v>
      </c>
      <c r="U158" s="19"/>
      <c r="V158" s="18" t="s">
        <v>990</v>
      </c>
      <c r="W158" s="17" t="s">
        <v>240</v>
      </c>
      <c r="X158" s="17" t="s">
        <v>991</v>
      </c>
      <c r="Y158" s="17" t="s">
        <v>242</v>
      </c>
      <c r="Z158" s="19"/>
      <c r="AA158" s="19"/>
      <c r="AB158" s="17"/>
      <c r="AC158" s="19"/>
    </row>
    <row r="159" customFormat="false" ht="22.35" hidden="false" customHeight="false" outlineLevel="0" collapsed="false">
      <c r="A159" s="10" t="s">
        <v>992</v>
      </c>
      <c r="B159" s="17" t="s">
        <v>121</v>
      </c>
      <c r="C159" s="18" t="s">
        <v>122</v>
      </c>
      <c r="D159" s="17" t="s">
        <v>19</v>
      </c>
      <c r="E159" s="17" t="s">
        <v>75</v>
      </c>
      <c r="F159" s="17" t="s">
        <v>230</v>
      </c>
      <c r="G159" s="17" t="s">
        <v>973</v>
      </c>
      <c r="H159" s="17" t="s">
        <v>28</v>
      </c>
      <c r="I159" s="17" t="s">
        <v>974</v>
      </c>
      <c r="J159" s="17" t="s">
        <v>233</v>
      </c>
      <c r="K159" s="19"/>
      <c r="L159" s="19"/>
      <c r="M159" s="19"/>
      <c r="N159" s="19"/>
      <c r="O159" s="17" t="n">
        <v>1</v>
      </c>
      <c r="P159" s="18" t="s">
        <v>975</v>
      </c>
      <c r="Q159" s="18" t="s">
        <v>976</v>
      </c>
      <c r="R159" s="18" t="s">
        <v>993</v>
      </c>
      <c r="S159" s="17" t="s">
        <v>972</v>
      </c>
      <c r="T159" s="18" t="s">
        <v>994</v>
      </c>
      <c r="U159" s="19"/>
      <c r="V159" s="18" t="s">
        <v>995</v>
      </c>
      <c r="W159" s="17" t="s">
        <v>240</v>
      </c>
      <c r="X159" s="17" t="s">
        <v>991</v>
      </c>
      <c r="Y159" s="17" t="s">
        <v>242</v>
      </c>
      <c r="Z159" s="19"/>
      <c r="AA159" s="19"/>
      <c r="AB159" s="17"/>
      <c r="AC159" s="19"/>
    </row>
    <row r="160" customFormat="false" ht="22.35" hidden="false" customHeight="false" outlineLevel="0" collapsed="false">
      <c r="A160" s="10" t="s">
        <v>996</v>
      </c>
      <c r="B160" s="17" t="s">
        <v>121</v>
      </c>
      <c r="C160" s="18" t="s">
        <v>122</v>
      </c>
      <c r="D160" s="17" t="s">
        <v>19</v>
      </c>
      <c r="E160" s="17" t="s">
        <v>75</v>
      </c>
      <c r="F160" s="17" t="s">
        <v>230</v>
      </c>
      <c r="G160" s="17" t="s">
        <v>973</v>
      </c>
      <c r="H160" s="17" t="s">
        <v>28</v>
      </c>
      <c r="I160" s="17" t="s">
        <v>974</v>
      </c>
      <c r="J160" s="17" t="s">
        <v>233</v>
      </c>
      <c r="K160" s="19"/>
      <c r="L160" s="19"/>
      <c r="M160" s="19"/>
      <c r="N160" s="19"/>
      <c r="O160" s="17" t="n">
        <v>1</v>
      </c>
      <c r="P160" s="18" t="s">
        <v>975</v>
      </c>
      <c r="Q160" s="18" t="s">
        <v>976</v>
      </c>
      <c r="R160" s="18" t="s">
        <v>997</v>
      </c>
      <c r="S160" s="17" t="s">
        <v>998</v>
      </c>
      <c r="T160" s="18" t="s">
        <v>999</v>
      </c>
      <c r="U160" s="19"/>
      <c r="V160" s="18" t="s">
        <v>1000</v>
      </c>
      <c r="W160" s="17" t="s">
        <v>240</v>
      </c>
      <c r="X160" s="17" t="s">
        <v>1001</v>
      </c>
      <c r="Y160" s="17" t="s">
        <v>242</v>
      </c>
      <c r="Z160" s="19"/>
      <c r="AA160" s="19"/>
      <c r="AB160" s="17"/>
      <c r="AC160" s="19"/>
    </row>
    <row r="161" customFormat="false" ht="22.35" hidden="false" customHeight="false" outlineLevel="0" collapsed="false">
      <c r="A161" s="10" t="s">
        <v>1002</v>
      </c>
      <c r="B161" s="17" t="s">
        <v>121</v>
      </c>
      <c r="C161" s="18" t="s">
        <v>122</v>
      </c>
      <c r="D161" s="17" t="s">
        <v>19</v>
      </c>
      <c r="E161" s="17" t="s">
        <v>244</v>
      </c>
      <c r="F161" s="17" t="s">
        <v>230</v>
      </c>
      <c r="G161" s="17" t="s">
        <v>973</v>
      </c>
      <c r="H161" s="17" t="s">
        <v>28</v>
      </c>
      <c r="I161" s="17" t="s">
        <v>333</v>
      </c>
      <c r="J161" s="17" t="s">
        <v>233</v>
      </c>
      <c r="K161" s="19"/>
      <c r="L161" s="19"/>
      <c r="M161" s="19"/>
      <c r="N161" s="19"/>
      <c r="O161" s="17" t="n">
        <v>1</v>
      </c>
      <c r="P161" s="18" t="s">
        <v>975</v>
      </c>
      <c r="Q161" s="18" t="s">
        <v>976</v>
      </c>
      <c r="R161" s="18" t="s">
        <v>1003</v>
      </c>
      <c r="S161" s="17" t="s">
        <v>1004</v>
      </c>
      <c r="T161" s="18" t="s">
        <v>1005</v>
      </c>
      <c r="U161" s="19"/>
      <c r="V161" s="18" t="s">
        <v>1006</v>
      </c>
      <c r="W161" s="17" t="s">
        <v>240</v>
      </c>
      <c r="X161" s="17" t="s">
        <v>1007</v>
      </c>
      <c r="Y161" s="17" t="s">
        <v>242</v>
      </c>
      <c r="Z161" s="19"/>
      <c r="AA161" s="19"/>
      <c r="AB161" s="17"/>
      <c r="AC161" s="19"/>
    </row>
    <row r="162" customFormat="false" ht="22.35" hidden="false" customHeight="false" outlineLevel="0" collapsed="false">
      <c r="A162" s="10" t="s">
        <v>1008</v>
      </c>
      <c r="B162" s="17" t="s">
        <v>121</v>
      </c>
      <c r="C162" s="18" t="s">
        <v>122</v>
      </c>
      <c r="D162" s="17" t="s">
        <v>19</v>
      </c>
      <c r="E162" s="17" t="s">
        <v>75</v>
      </c>
      <c r="F162" s="17" t="s">
        <v>230</v>
      </c>
      <c r="G162" s="17" t="s">
        <v>973</v>
      </c>
      <c r="H162" s="17" t="s">
        <v>28</v>
      </c>
      <c r="I162" s="17" t="s">
        <v>974</v>
      </c>
      <c r="J162" s="17" t="s">
        <v>233</v>
      </c>
      <c r="K162" s="19"/>
      <c r="L162" s="19"/>
      <c r="M162" s="19"/>
      <c r="N162" s="19"/>
      <c r="O162" s="17" t="n">
        <v>1</v>
      </c>
      <c r="P162" s="18" t="s">
        <v>975</v>
      </c>
      <c r="Q162" s="18" t="s">
        <v>1009</v>
      </c>
      <c r="R162" s="18" t="s">
        <v>1010</v>
      </c>
      <c r="S162" s="17" t="s">
        <v>981</v>
      </c>
      <c r="T162" s="18" t="s">
        <v>1011</v>
      </c>
      <c r="U162" s="19"/>
      <c r="V162" s="18" t="s">
        <v>1012</v>
      </c>
      <c r="W162" s="17" t="s">
        <v>240</v>
      </c>
      <c r="X162" s="17" t="s">
        <v>1013</v>
      </c>
      <c r="Y162" s="17" t="s">
        <v>242</v>
      </c>
      <c r="Z162" s="19"/>
      <c r="AA162" s="19"/>
      <c r="AB162" s="17"/>
      <c r="AC162" s="19"/>
    </row>
    <row r="163" customFormat="false" ht="22.35" hidden="false" customHeight="false" outlineLevel="0" collapsed="false">
      <c r="A163" s="10" t="s">
        <v>1014</v>
      </c>
      <c r="B163" s="17" t="s">
        <v>121</v>
      </c>
      <c r="C163" s="18" t="s">
        <v>122</v>
      </c>
      <c r="D163" s="17" t="s">
        <v>19</v>
      </c>
      <c r="E163" s="17" t="s">
        <v>75</v>
      </c>
      <c r="F163" s="17" t="s">
        <v>230</v>
      </c>
      <c r="G163" s="17" t="s">
        <v>973</v>
      </c>
      <c r="H163" s="17" t="s">
        <v>28</v>
      </c>
      <c r="I163" s="17" t="s">
        <v>974</v>
      </c>
      <c r="J163" s="17" t="s">
        <v>233</v>
      </c>
      <c r="K163" s="19"/>
      <c r="L163" s="19"/>
      <c r="M163" s="19"/>
      <c r="N163" s="19"/>
      <c r="O163" s="17" t="n">
        <v>1</v>
      </c>
      <c r="P163" s="18" t="s">
        <v>975</v>
      </c>
      <c r="Q163" s="18" t="s">
        <v>1009</v>
      </c>
      <c r="R163" s="18" t="s">
        <v>1015</v>
      </c>
      <c r="S163" s="17" t="s">
        <v>992</v>
      </c>
      <c r="T163" s="18" t="s">
        <v>1016</v>
      </c>
      <c r="U163" s="19"/>
      <c r="V163" s="18" t="s">
        <v>1017</v>
      </c>
      <c r="W163" s="17" t="s">
        <v>240</v>
      </c>
      <c r="X163" s="17" t="s">
        <v>991</v>
      </c>
      <c r="Y163" s="17" t="s">
        <v>242</v>
      </c>
      <c r="Z163" s="19"/>
      <c r="AA163" s="19"/>
      <c r="AB163" s="17"/>
      <c r="AC163" s="19"/>
    </row>
    <row r="164" customFormat="false" ht="32.8" hidden="false" customHeight="false" outlineLevel="0" collapsed="false">
      <c r="A164" s="10" t="s">
        <v>1018</v>
      </c>
      <c r="B164" s="17" t="s">
        <v>121</v>
      </c>
      <c r="C164" s="18" t="s">
        <v>122</v>
      </c>
      <c r="D164" s="17" t="s">
        <v>19</v>
      </c>
      <c r="E164" s="17" t="s">
        <v>229</v>
      </c>
      <c r="F164" s="17" t="s">
        <v>230</v>
      </c>
      <c r="G164" s="17" t="s">
        <v>973</v>
      </c>
      <c r="H164" s="17" t="s">
        <v>28</v>
      </c>
      <c r="I164" s="17" t="s">
        <v>289</v>
      </c>
      <c r="J164" s="17" t="s">
        <v>233</v>
      </c>
      <c r="K164" s="19"/>
      <c r="L164" s="19"/>
      <c r="M164" s="19"/>
      <c r="N164" s="19"/>
      <c r="O164" s="17" t="n">
        <v>1</v>
      </c>
      <c r="P164" s="18" t="s">
        <v>975</v>
      </c>
      <c r="Q164" s="18" t="s">
        <v>1009</v>
      </c>
      <c r="R164" s="18" t="s">
        <v>1019</v>
      </c>
      <c r="S164" s="17" t="s">
        <v>987</v>
      </c>
      <c r="T164" s="18" t="s">
        <v>1020</v>
      </c>
      <c r="U164" s="19"/>
      <c r="V164" s="18" t="s">
        <v>1021</v>
      </c>
      <c r="W164" s="17" t="s">
        <v>383</v>
      </c>
      <c r="X164" s="17" t="s">
        <v>1022</v>
      </c>
      <c r="Y164" s="17" t="s">
        <v>242</v>
      </c>
      <c r="Z164" s="19"/>
      <c r="AA164" s="19"/>
      <c r="AB164" s="17"/>
      <c r="AC164" s="19"/>
    </row>
    <row r="165" customFormat="false" ht="22.35" hidden="false" customHeight="false" outlineLevel="0" collapsed="false">
      <c r="A165" s="10" t="s">
        <v>1023</v>
      </c>
      <c r="B165" s="17" t="s">
        <v>121</v>
      </c>
      <c r="C165" s="18" t="s">
        <v>122</v>
      </c>
      <c r="D165" s="17" t="s">
        <v>19</v>
      </c>
      <c r="E165" s="17" t="s">
        <v>75</v>
      </c>
      <c r="F165" s="17" t="s">
        <v>230</v>
      </c>
      <c r="G165" s="17" t="s">
        <v>973</v>
      </c>
      <c r="H165" s="17" t="s">
        <v>28</v>
      </c>
      <c r="I165" s="17" t="s">
        <v>974</v>
      </c>
      <c r="J165" s="17" t="s">
        <v>233</v>
      </c>
      <c r="K165" s="19"/>
      <c r="L165" s="19"/>
      <c r="M165" s="19"/>
      <c r="N165" s="19"/>
      <c r="O165" s="17" t="n">
        <v>1</v>
      </c>
      <c r="P165" s="18" t="s">
        <v>975</v>
      </c>
      <c r="Q165" s="18" t="s">
        <v>1009</v>
      </c>
      <c r="R165" s="18" t="s">
        <v>1024</v>
      </c>
      <c r="S165" s="17" t="s">
        <v>972</v>
      </c>
      <c r="T165" s="18" t="s">
        <v>1025</v>
      </c>
      <c r="U165" s="19"/>
      <c r="V165" s="18" t="s">
        <v>1026</v>
      </c>
      <c r="W165" s="17" t="s">
        <v>240</v>
      </c>
      <c r="X165" s="17" t="s">
        <v>287</v>
      </c>
      <c r="Y165" s="17" t="s">
        <v>242</v>
      </c>
      <c r="Z165" s="19"/>
      <c r="AA165" s="19"/>
      <c r="AB165" s="17"/>
      <c r="AC165" s="19"/>
    </row>
    <row r="166" customFormat="false" ht="43.25" hidden="false" customHeight="false" outlineLevel="0" collapsed="false">
      <c r="A166" s="10" t="s">
        <v>1027</v>
      </c>
      <c r="B166" s="17" t="s">
        <v>121</v>
      </c>
      <c r="C166" s="18" t="s">
        <v>122</v>
      </c>
      <c r="D166" s="17" t="s">
        <v>19</v>
      </c>
      <c r="E166" s="17" t="s">
        <v>75</v>
      </c>
      <c r="F166" s="17" t="s">
        <v>230</v>
      </c>
      <c r="G166" s="17" t="s">
        <v>973</v>
      </c>
      <c r="H166" s="17" t="s">
        <v>28</v>
      </c>
      <c r="I166" s="17" t="s">
        <v>1028</v>
      </c>
      <c r="J166" s="17" t="s">
        <v>233</v>
      </c>
      <c r="K166" s="19"/>
      <c r="L166" s="19"/>
      <c r="M166" s="19"/>
      <c r="N166" s="19"/>
      <c r="O166" s="17" t="n">
        <v>1</v>
      </c>
      <c r="P166" s="18" t="s">
        <v>975</v>
      </c>
      <c r="Q166" s="18" t="s">
        <v>1009</v>
      </c>
      <c r="R166" s="18" t="s">
        <v>1029</v>
      </c>
      <c r="S166" s="17" t="s">
        <v>972</v>
      </c>
      <c r="T166" s="18" t="s">
        <v>1030</v>
      </c>
      <c r="U166" s="19"/>
      <c r="V166" s="18" t="s">
        <v>1031</v>
      </c>
      <c r="W166" s="17" t="s">
        <v>240</v>
      </c>
      <c r="X166" s="17" t="s">
        <v>1032</v>
      </c>
      <c r="Y166" s="17" t="s">
        <v>242</v>
      </c>
      <c r="Z166" s="19"/>
      <c r="AA166" s="19"/>
      <c r="AB166" s="17"/>
      <c r="AC166" s="19"/>
    </row>
    <row r="167" customFormat="false" ht="22.35" hidden="false" customHeight="false" outlineLevel="0" collapsed="false">
      <c r="A167" s="10" t="s">
        <v>1033</v>
      </c>
      <c r="B167" s="17" t="s">
        <v>121</v>
      </c>
      <c r="C167" s="18" t="s">
        <v>122</v>
      </c>
      <c r="D167" s="17" t="s">
        <v>19</v>
      </c>
      <c r="E167" s="17" t="s">
        <v>75</v>
      </c>
      <c r="F167" s="17" t="s">
        <v>230</v>
      </c>
      <c r="G167" s="17" t="s">
        <v>973</v>
      </c>
      <c r="H167" s="17" t="s">
        <v>28</v>
      </c>
      <c r="I167" s="17" t="s">
        <v>283</v>
      </c>
      <c r="J167" s="17" t="s">
        <v>233</v>
      </c>
      <c r="K167" s="19"/>
      <c r="L167" s="19"/>
      <c r="M167" s="19"/>
      <c r="N167" s="19"/>
      <c r="O167" s="17" t="n">
        <v>1</v>
      </c>
      <c r="P167" s="18" t="s">
        <v>975</v>
      </c>
      <c r="Q167" s="18" t="s">
        <v>1009</v>
      </c>
      <c r="R167" s="18" t="s">
        <v>1034</v>
      </c>
      <c r="S167" s="17" t="s">
        <v>1027</v>
      </c>
      <c r="T167" s="18" t="s">
        <v>285</v>
      </c>
      <c r="U167" s="19"/>
      <c r="V167" s="18" t="s">
        <v>286</v>
      </c>
      <c r="W167" s="17" t="s">
        <v>240</v>
      </c>
      <c r="X167" s="17" t="s">
        <v>287</v>
      </c>
      <c r="Y167" s="17" t="s">
        <v>242</v>
      </c>
      <c r="Z167" s="19"/>
      <c r="AA167" s="19"/>
      <c r="AB167" s="17"/>
      <c r="AC167" s="19"/>
    </row>
    <row r="168" customFormat="false" ht="32.8" hidden="false" customHeight="false" outlineLevel="0" collapsed="false">
      <c r="A168" s="10" t="s">
        <v>1035</v>
      </c>
      <c r="B168" s="17" t="s">
        <v>172</v>
      </c>
      <c r="C168" s="18" t="s">
        <v>173</v>
      </c>
      <c r="D168" s="17" t="s">
        <v>19</v>
      </c>
      <c r="E168" s="17" t="s">
        <v>229</v>
      </c>
      <c r="F168" s="17" t="s">
        <v>1036</v>
      </c>
      <c r="G168" s="17" t="s">
        <v>1037</v>
      </c>
      <c r="H168" s="17" t="s">
        <v>29</v>
      </c>
      <c r="I168" s="17" t="s">
        <v>232</v>
      </c>
      <c r="J168" s="17" t="s">
        <v>233</v>
      </c>
      <c r="K168" s="19"/>
      <c r="L168" s="19"/>
      <c r="M168" s="19"/>
      <c r="N168" s="19"/>
      <c r="O168" s="17" t="n">
        <v>0</v>
      </c>
      <c r="P168" s="18" t="s">
        <v>1038</v>
      </c>
      <c r="Q168" s="18" t="s">
        <v>1039</v>
      </c>
      <c r="R168" s="18" t="s">
        <v>1040</v>
      </c>
      <c r="S168" s="17" t="s">
        <v>1041</v>
      </c>
      <c r="T168" s="18" t="s">
        <v>1042</v>
      </c>
      <c r="U168" s="19"/>
      <c r="V168" s="18" t="s">
        <v>1043</v>
      </c>
      <c r="W168" s="17" t="s">
        <v>240</v>
      </c>
      <c r="X168" s="17" t="s">
        <v>1044</v>
      </c>
      <c r="Y168" s="17" t="s">
        <v>242</v>
      </c>
      <c r="Z168" s="19"/>
      <c r="AA168" s="19"/>
      <c r="AB168" s="17"/>
      <c r="AC168" s="19"/>
    </row>
    <row r="169" customFormat="false" ht="22.35" hidden="false" customHeight="false" outlineLevel="0" collapsed="false">
      <c r="A169" s="10" t="s">
        <v>1045</v>
      </c>
      <c r="B169" s="17" t="s">
        <v>172</v>
      </c>
      <c r="C169" s="18" t="s">
        <v>173</v>
      </c>
      <c r="D169" s="17" t="s">
        <v>19</v>
      </c>
      <c r="E169" s="17" t="s">
        <v>229</v>
      </c>
      <c r="F169" s="17" t="s">
        <v>1036</v>
      </c>
      <c r="G169" s="17" t="s">
        <v>1037</v>
      </c>
      <c r="H169" s="17" t="s">
        <v>29</v>
      </c>
      <c r="I169" s="17" t="s">
        <v>232</v>
      </c>
      <c r="J169" s="17" t="s">
        <v>233</v>
      </c>
      <c r="K169" s="19"/>
      <c r="L169" s="19"/>
      <c r="M169" s="19"/>
      <c r="N169" s="19"/>
      <c r="O169" s="17" t="n">
        <v>0</v>
      </c>
      <c r="P169" s="18" t="s">
        <v>1038</v>
      </c>
      <c r="Q169" s="18" t="s">
        <v>1039</v>
      </c>
      <c r="R169" s="18" t="s">
        <v>1046</v>
      </c>
      <c r="S169" s="17" t="s">
        <v>243</v>
      </c>
      <c r="T169" s="18" t="s">
        <v>1047</v>
      </c>
      <c r="U169" s="19"/>
      <c r="V169" s="18" t="s">
        <v>1048</v>
      </c>
      <c r="W169" s="17" t="s">
        <v>240</v>
      </c>
      <c r="X169" s="17" t="s">
        <v>1049</v>
      </c>
      <c r="Y169" s="17" t="s">
        <v>242</v>
      </c>
      <c r="Z169" s="19"/>
      <c r="AA169" s="19"/>
      <c r="AB169" s="17"/>
      <c r="AC169" s="19"/>
    </row>
    <row r="170" customFormat="false" ht="22.35" hidden="false" customHeight="false" outlineLevel="0" collapsed="false">
      <c r="A170" s="10" t="s">
        <v>1050</v>
      </c>
      <c r="B170" s="17" t="s">
        <v>172</v>
      </c>
      <c r="C170" s="18" t="s">
        <v>173</v>
      </c>
      <c r="D170" s="17" t="s">
        <v>19</v>
      </c>
      <c r="E170" s="17" t="s">
        <v>229</v>
      </c>
      <c r="F170" s="17" t="s">
        <v>1036</v>
      </c>
      <c r="G170" s="17" t="s">
        <v>1037</v>
      </c>
      <c r="H170" s="17" t="s">
        <v>29</v>
      </c>
      <c r="I170" s="17" t="s">
        <v>232</v>
      </c>
      <c r="J170" s="17" t="s">
        <v>233</v>
      </c>
      <c r="K170" s="19"/>
      <c r="L170" s="19"/>
      <c r="M170" s="19"/>
      <c r="N170" s="19"/>
      <c r="O170" s="17" t="n">
        <v>0</v>
      </c>
      <c r="P170" s="18" t="s">
        <v>1038</v>
      </c>
      <c r="Q170" s="18" t="s">
        <v>1039</v>
      </c>
      <c r="R170" s="18" t="s">
        <v>1051</v>
      </c>
      <c r="S170" s="17" t="s">
        <v>237</v>
      </c>
      <c r="T170" s="18" t="s">
        <v>1052</v>
      </c>
      <c r="U170" s="19"/>
      <c r="V170" s="18" t="s">
        <v>1053</v>
      </c>
      <c r="W170" s="17" t="s">
        <v>240</v>
      </c>
      <c r="X170" s="17" t="s">
        <v>1054</v>
      </c>
      <c r="Y170" s="17" t="s">
        <v>242</v>
      </c>
      <c r="Z170" s="19"/>
      <c r="AA170" s="19"/>
      <c r="AB170" s="17"/>
      <c r="AC170" s="19"/>
    </row>
    <row r="171" customFormat="false" ht="32.8" hidden="false" customHeight="false" outlineLevel="0" collapsed="false">
      <c r="A171" s="10" t="s">
        <v>1055</v>
      </c>
      <c r="B171" s="17" t="s">
        <v>172</v>
      </c>
      <c r="C171" s="18" t="s">
        <v>173</v>
      </c>
      <c r="D171" s="17" t="s">
        <v>19</v>
      </c>
      <c r="E171" s="17" t="s">
        <v>229</v>
      </c>
      <c r="F171" s="17" t="s">
        <v>1036</v>
      </c>
      <c r="G171" s="17" t="s">
        <v>1037</v>
      </c>
      <c r="H171" s="17" t="s">
        <v>29</v>
      </c>
      <c r="I171" s="17" t="s">
        <v>232</v>
      </c>
      <c r="J171" s="17" t="s">
        <v>233</v>
      </c>
      <c r="K171" s="19"/>
      <c r="L171" s="19"/>
      <c r="M171" s="19"/>
      <c r="N171" s="19"/>
      <c r="O171" s="17" t="n">
        <v>0</v>
      </c>
      <c r="P171" s="18" t="s">
        <v>1038</v>
      </c>
      <c r="Q171" s="18" t="s">
        <v>1039</v>
      </c>
      <c r="R171" s="18" t="s">
        <v>1056</v>
      </c>
      <c r="S171" s="17" t="s">
        <v>443</v>
      </c>
      <c r="T171" s="18" t="s">
        <v>1057</v>
      </c>
      <c r="U171" s="19"/>
      <c r="V171" s="18" t="s">
        <v>1058</v>
      </c>
      <c r="W171" s="17" t="s">
        <v>240</v>
      </c>
      <c r="X171" s="17" t="s">
        <v>1059</v>
      </c>
      <c r="Y171" s="17" t="s">
        <v>242</v>
      </c>
      <c r="Z171" s="19"/>
      <c r="AA171" s="19"/>
      <c r="AB171" s="17"/>
      <c r="AC171" s="19"/>
    </row>
    <row r="172" customFormat="false" ht="32.8" hidden="false" customHeight="false" outlineLevel="0" collapsed="false">
      <c r="A172" s="10" t="s">
        <v>1060</v>
      </c>
      <c r="B172" s="17" t="s">
        <v>172</v>
      </c>
      <c r="C172" s="18" t="s">
        <v>173</v>
      </c>
      <c r="D172" s="17" t="s">
        <v>19</v>
      </c>
      <c r="E172" s="17" t="s">
        <v>229</v>
      </c>
      <c r="F172" s="17" t="s">
        <v>1036</v>
      </c>
      <c r="G172" s="17" t="s">
        <v>1037</v>
      </c>
      <c r="H172" s="17" t="s">
        <v>29</v>
      </c>
      <c r="I172" s="17" t="s">
        <v>232</v>
      </c>
      <c r="J172" s="17" t="s">
        <v>233</v>
      </c>
      <c r="K172" s="19"/>
      <c r="L172" s="19"/>
      <c r="M172" s="19"/>
      <c r="N172" s="19"/>
      <c r="O172" s="17" t="n">
        <v>0</v>
      </c>
      <c r="P172" s="18" t="s">
        <v>1038</v>
      </c>
      <c r="Q172" s="18" t="s">
        <v>1039</v>
      </c>
      <c r="R172" s="18" t="s">
        <v>1061</v>
      </c>
      <c r="S172" s="17" t="s">
        <v>237</v>
      </c>
      <c r="T172" s="18" t="s">
        <v>1062</v>
      </c>
      <c r="U172" s="19"/>
      <c r="V172" s="18" t="s">
        <v>1063</v>
      </c>
      <c r="W172" s="17" t="s">
        <v>240</v>
      </c>
      <c r="X172" s="17" t="s">
        <v>1064</v>
      </c>
      <c r="Y172" s="17" t="s">
        <v>242</v>
      </c>
      <c r="Z172" s="19"/>
      <c r="AA172" s="19"/>
      <c r="AB172" s="17"/>
      <c r="AC172" s="19"/>
    </row>
    <row r="173" customFormat="false" ht="22.35" hidden="false" customHeight="false" outlineLevel="0" collapsed="false">
      <c r="A173" s="10" t="s">
        <v>1065</v>
      </c>
      <c r="B173" s="17" t="s">
        <v>172</v>
      </c>
      <c r="C173" s="18" t="s">
        <v>173</v>
      </c>
      <c r="D173" s="17" t="s">
        <v>19</v>
      </c>
      <c r="E173" s="17" t="s">
        <v>229</v>
      </c>
      <c r="F173" s="17" t="s">
        <v>1036</v>
      </c>
      <c r="G173" s="17" t="s">
        <v>1037</v>
      </c>
      <c r="H173" s="17" t="s">
        <v>29</v>
      </c>
      <c r="I173" s="17" t="s">
        <v>232</v>
      </c>
      <c r="J173" s="17" t="s">
        <v>233</v>
      </c>
      <c r="K173" s="19"/>
      <c r="L173" s="19"/>
      <c r="M173" s="19"/>
      <c r="N173" s="19"/>
      <c r="O173" s="17" t="n">
        <v>0</v>
      </c>
      <c r="P173" s="18" t="s">
        <v>1038</v>
      </c>
      <c r="Q173" s="18" t="s">
        <v>1039</v>
      </c>
      <c r="R173" s="18" t="s">
        <v>1066</v>
      </c>
      <c r="S173" s="17" t="s">
        <v>237</v>
      </c>
      <c r="T173" s="18" t="s">
        <v>1067</v>
      </c>
      <c r="U173" s="19"/>
      <c r="V173" s="18" t="s">
        <v>1068</v>
      </c>
      <c r="W173" s="17" t="s">
        <v>240</v>
      </c>
      <c r="X173" s="17" t="s">
        <v>1069</v>
      </c>
      <c r="Y173" s="17" t="s">
        <v>242</v>
      </c>
      <c r="Z173" s="19"/>
      <c r="AA173" s="19"/>
      <c r="AB173" s="17"/>
      <c r="AC173" s="19"/>
    </row>
    <row r="174" customFormat="false" ht="32.8" hidden="false" customHeight="false" outlineLevel="0" collapsed="false">
      <c r="A174" s="10" t="s">
        <v>1070</v>
      </c>
      <c r="B174" s="17" t="s">
        <v>172</v>
      </c>
      <c r="C174" s="18" t="s">
        <v>173</v>
      </c>
      <c r="D174" s="17" t="s">
        <v>19</v>
      </c>
      <c r="E174" s="17" t="s">
        <v>229</v>
      </c>
      <c r="F174" s="17" t="s">
        <v>1036</v>
      </c>
      <c r="G174" s="17" t="s">
        <v>1037</v>
      </c>
      <c r="H174" s="17" t="s">
        <v>29</v>
      </c>
      <c r="I174" s="17" t="s">
        <v>232</v>
      </c>
      <c r="J174" s="17" t="s">
        <v>233</v>
      </c>
      <c r="K174" s="19"/>
      <c r="L174" s="19"/>
      <c r="M174" s="19"/>
      <c r="N174" s="19"/>
      <c r="O174" s="17" t="n">
        <v>0</v>
      </c>
      <c r="P174" s="18" t="s">
        <v>1038</v>
      </c>
      <c r="Q174" s="18" t="s">
        <v>1071</v>
      </c>
      <c r="R174" s="18" t="s">
        <v>1072</v>
      </c>
      <c r="S174" s="17" t="s">
        <v>237</v>
      </c>
      <c r="T174" s="18" t="s">
        <v>238</v>
      </c>
      <c r="U174" s="19"/>
      <c r="V174" s="18" t="s">
        <v>1073</v>
      </c>
      <c r="W174" s="17" t="s">
        <v>240</v>
      </c>
      <c r="X174" s="17" t="s">
        <v>1074</v>
      </c>
      <c r="Y174" s="17" t="s">
        <v>242</v>
      </c>
      <c r="Z174" s="19"/>
      <c r="AA174" s="19"/>
      <c r="AB174" s="17"/>
      <c r="AC174" s="19"/>
    </row>
    <row r="175" customFormat="false" ht="22.35" hidden="false" customHeight="false" outlineLevel="0" collapsed="false">
      <c r="A175" s="10" t="s">
        <v>1075</v>
      </c>
      <c r="B175" s="17" t="s">
        <v>172</v>
      </c>
      <c r="C175" s="18" t="s">
        <v>173</v>
      </c>
      <c r="D175" s="17" t="s">
        <v>19</v>
      </c>
      <c r="E175" s="17" t="s">
        <v>229</v>
      </c>
      <c r="F175" s="17" t="s">
        <v>1036</v>
      </c>
      <c r="G175" s="17" t="s">
        <v>1037</v>
      </c>
      <c r="H175" s="17" t="s">
        <v>29</v>
      </c>
      <c r="I175" s="17" t="s">
        <v>232</v>
      </c>
      <c r="J175" s="17" t="s">
        <v>233</v>
      </c>
      <c r="K175" s="19"/>
      <c r="L175" s="19"/>
      <c r="M175" s="19"/>
      <c r="N175" s="19"/>
      <c r="O175" s="17" t="n">
        <v>0</v>
      </c>
      <c r="P175" s="18" t="s">
        <v>1038</v>
      </c>
      <c r="Q175" s="18" t="s">
        <v>1071</v>
      </c>
      <c r="R175" s="18" t="s">
        <v>1076</v>
      </c>
      <c r="S175" s="17" t="s">
        <v>1070</v>
      </c>
      <c r="T175" s="18" t="s">
        <v>1077</v>
      </c>
      <c r="U175" s="19"/>
      <c r="V175" s="18" t="s">
        <v>1078</v>
      </c>
      <c r="W175" s="17" t="s">
        <v>240</v>
      </c>
      <c r="X175" s="17" t="s">
        <v>1079</v>
      </c>
      <c r="Y175" s="17" t="s">
        <v>242</v>
      </c>
      <c r="Z175" s="19"/>
      <c r="AA175" s="19"/>
      <c r="AB175" s="17"/>
      <c r="AC175" s="19"/>
    </row>
    <row r="176" customFormat="false" ht="22.35" hidden="false" customHeight="false" outlineLevel="0" collapsed="false">
      <c r="A176" s="10" t="s">
        <v>1080</v>
      </c>
      <c r="B176" s="17" t="s">
        <v>172</v>
      </c>
      <c r="C176" s="18" t="s">
        <v>173</v>
      </c>
      <c r="D176" s="17" t="s">
        <v>19</v>
      </c>
      <c r="E176" s="17" t="s">
        <v>229</v>
      </c>
      <c r="F176" s="17" t="s">
        <v>1036</v>
      </c>
      <c r="G176" s="17" t="s">
        <v>1037</v>
      </c>
      <c r="H176" s="17" t="s">
        <v>29</v>
      </c>
      <c r="I176" s="17" t="s">
        <v>283</v>
      </c>
      <c r="J176" s="17" t="s">
        <v>233</v>
      </c>
      <c r="K176" s="19"/>
      <c r="L176" s="19"/>
      <c r="M176" s="19"/>
      <c r="N176" s="19"/>
      <c r="O176" s="17" t="n">
        <v>0</v>
      </c>
      <c r="P176" s="18" t="s">
        <v>1038</v>
      </c>
      <c r="Q176" s="18" t="s">
        <v>1071</v>
      </c>
      <c r="R176" s="18" t="s">
        <v>1081</v>
      </c>
      <c r="S176" s="17" t="s">
        <v>237</v>
      </c>
      <c r="T176" s="18" t="s">
        <v>1082</v>
      </c>
      <c r="U176" s="19"/>
      <c r="V176" s="18" t="s">
        <v>1083</v>
      </c>
      <c r="W176" s="17" t="s">
        <v>240</v>
      </c>
      <c r="X176" s="17" t="s">
        <v>1084</v>
      </c>
      <c r="Y176" s="17" t="s">
        <v>242</v>
      </c>
      <c r="Z176" s="19"/>
      <c r="AA176" s="19"/>
      <c r="AB176" s="17"/>
      <c r="AC176" s="19"/>
    </row>
    <row r="177" customFormat="false" ht="32.8" hidden="false" customHeight="false" outlineLevel="0" collapsed="false">
      <c r="A177" s="10" t="s">
        <v>1085</v>
      </c>
      <c r="B177" s="17" t="s">
        <v>172</v>
      </c>
      <c r="C177" s="18" t="s">
        <v>173</v>
      </c>
      <c r="D177" s="17" t="s">
        <v>19</v>
      </c>
      <c r="E177" s="17" t="s">
        <v>75</v>
      </c>
      <c r="F177" s="17" t="s">
        <v>1036</v>
      </c>
      <c r="G177" s="17" t="s">
        <v>1037</v>
      </c>
      <c r="H177" s="17" t="s">
        <v>29</v>
      </c>
      <c r="I177" s="17" t="s">
        <v>316</v>
      </c>
      <c r="J177" s="17" t="s">
        <v>233</v>
      </c>
      <c r="K177" s="19"/>
      <c r="L177" s="19"/>
      <c r="M177" s="19"/>
      <c r="N177" s="19"/>
      <c r="O177" s="17" t="n">
        <v>1</v>
      </c>
      <c r="P177" s="18" t="s">
        <v>1086</v>
      </c>
      <c r="Q177" s="18" t="s">
        <v>1087</v>
      </c>
      <c r="R177" s="18" t="s">
        <v>1088</v>
      </c>
      <c r="S177" s="17" t="s">
        <v>1089</v>
      </c>
      <c r="T177" s="18" t="s">
        <v>1090</v>
      </c>
      <c r="U177" s="19"/>
      <c r="V177" s="18" t="s">
        <v>1091</v>
      </c>
      <c r="W177" s="17" t="s">
        <v>240</v>
      </c>
      <c r="X177" s="17" t="s">
        <v>1092</v>
      </c>
      <c r="Y177" s="17" t="s">
        <v>242</v>
      </c>
      <c r="Z177" s="19"/>
      <c r="AA177" s="19"/>
      <c r="AB177" s="17"/>
      <c r="AC177" s="19"/>
    </row>
    <row r="178" customFormat="false" ht="22.35" hidden="false" customHeight="false" outlineLevel="0" collapsed="false">
      <c r="A178" s="10" t="s">
        <v>1093</v>
      </c>
      <c r="B178" s="17" t="s">
        <v>172</v>
      </c>
      <c r="C178" s="18" t="s">
        <v>173</v>
      </c>
      <c r="D178" s="17" t="s">
        <v>19</v>
      </c>
      <c r="E178" s="17" t="s">
        <v>75</v>
      </c>
      <c r="F178" s="17" t="s">
        <v>1036</v>
      </c>
      <c r="G178" s="17" t="s">
        <v>1037</v>
      </c>
      <c r="H178" s="17" t="s">
        <v>29</v>
      </c>
      <c r="I178" s="17" t="s">
        <v>316</v>
      </c>
      <c r="J178" s="17" t="s">
        <v>233</v>
      </c>
      <c r="K178" s="19"/>
      <c r="L178" s="19"/>
      <c r="M178" s="19"/>
      <c r="N178" s="19"/>
      <c r="O178" s="17" t="n">
        <v>1</v>
      </c>
      <c r="P178" s="18" t="s">
        <v>1086</v>
      </c>
      <c r="Q178" s="18" t="s">
        <v>1087</v>
      </c>
      <c r="R178" s="18" t="s">
        <v>1094</v>
      </c>
      <c r="S178" s="17" t="s">
        <v>1085</v>
      </c>
      <c r="T178" s="18" t="s">
        <v>1095</v>
      </c>
      <c r="U178" s="19"/>
      <c r="V178" s="18" t="s">
        <v>1096</v>
      </c>
      <c r="W178" s="17" t="s">
        <v>240</v>
      </c>
      <c r="X178" s="17" t="s">
        <v>1097</v>
      </c>
      <c r="Y178" s="17" t="s">
        <v>242</v>
      </c>
      <c r="Z178" s="19"/>
      <c r="AA178" s="19"/>
      <c r="AB178" s="17"/>
      <c r="AC178" s="19"/>
    </row>
    <row r="179" customFormat="false" ht="22.35" hidden="false" customHeight="false" outlineLevel="0" collapsed="false">
      <c r="A179" s="10" t="s">
        <v>1098</v>
      </c>
      <c r="B179" s="17" t="s">
        <v>172</v>
      </c>
      <c r="C179" s="18" t="s">
        <v>173</v>
      </c>
      <c r="D179" s="17" t="s">
        <v>19</v>
      </c>
      <c r="E179" s="17" t="s">
        <v>75</v>
      </c>
      <c r="F179" s="17" t="s">
        <v>1036</v>
      </c>
      <c r="G179" s="17" t="s">
        <v>1037</v>
      </c>
      <c r="H179" s="17" t="s">
        <v>29</v>
      </c>
      <c r="I179" s="17" t="s">
        <v>316</v>
      </c>
      <c r="J179" s="17" t="s">
        <v>233</v>
      </c>
      <c r="K179" s="19"/>
      <c r="L179" s="19"/>
      <c r="M179" s="19"/>
      <c r="N179" s="19"/>
      <c r="O179" s="17" t="n">
        <v>1</v>
      </c>
      <c r="P179" s="18" t="s">
        <v>1086</v>
      </c>
      <c r="Q179" s="18" t="s">
        <v>1087</v>
      </c>
      <c r="R179" s="18" t="s">
        <v>1099</v>
      </c>
      <c r="S179" s="17" t="s">
        <v>1085</v>
      </c>
      <c r="T179" s="18" t="s">
        <v>1100</v>
      </c>
      <c r="U179" s="19"/>
      <c r="V179" s="18" t="s">
        <v>1101</v>
      </c>
      <c r="W179" s="17" t="s">
        <v>240</v>
      </c>
      <c r="X179" s="17" t="s">
        <v>1102</v>
      </c>
      <c r="Y179" s="17" t="s">
        <v>242</v>
      </c>
      <c r="Z179" s="19"/>
      <c r="AA179" s="19"/>
      <c r="AB179" s="17"/>
      <c r="AC179" s="19"/>
    </row>
    <row r="180" customFormat="false" ht="32.8" hidden="false" customHeight="false" outlineLevel="0" collapsed="false">
      <c r="A180" s="10" t="s">
        <v>1103</v>
      </c>
      <c r="B180" s="17" t="s">
        <v>172</v>
      </c>
      <c r="C180" s="18" t="s">
        <v>173</v>
      </c>
      <c r="D180" s="17" t="s">
        <v>19</v>
      </c>
      <c r="E180" s="17" t="s">
        <v>75</v>
      </c>
      <c r="F180" s="17" t="s">
        <v>1036</v>
      </c>
      <c r="G180" s="17" t="s">
        <v>1037</v>
      </c>
      <c r="H180" s="17" t="s">
        <v>29</v>
      </c>
      <c r="I180" s="17" t="s">
        <v>316</v>
      </c>
      <c r="J180" s="17" t="s">
        <v>233</v>
      </c>
      <c r="K180" s="19"/>
      <c r="L180" s="19"/>
      <c r="M180" s="19"/>
      <c r="N180" s="19"/>
      <c r="O180" s="17" t="n">
        <v>1</v>
      </c>
      <c r="P180" s="18" t="s">
        <v>1086</v>
      </c>
      <c r="Q180" s="18" t="s">
        <v>1087</v>
      </c>
      <c r="R180" s="18" t="s">
        <v>1104</v>
      </c>
      <c r="S180" s="17" t="s">
        <v>1085</v>
      </c>
      <c r="T180" s="18" t="s">
        <v>1105</v>
      </c>
      <c r="U180" s="19"/>
      <c r="V180" s="18" t="s">
        <v>1106</v>
      </c>
      <c r="W180" s="17" t="s">
        <v>240</v>
      </c>
      <c r="X180" s="17" t="s">
        <v>1107</v>
      </c>
      <c r="Y180" s="17" t="s">
        <v>242</v>
      </c>
      <c r="Z180" s="19"/>
      <c r="AA180" s="19"/>
      <c r="AB180" s="17"/>
      <c r="AC180" s="19"/>
    </row>
    <row r="181" customFormat="false" ht="22.35" hidden="false" customHeight="false" outlineLevel="0" collapsed="false">
      <c r="A181" s="10" t="s">
        <v>1108</v>
      </c>
      <c r="B181" s="17" t="s">
        <v>172</v>
      </c>
      <c r="C181" s="18" t="s">
        <v>173</v>
      </c>
      <c r="D181" s="17" t="s">
        <v>19</v>
      </c>
      <c r="E181" s="17" t="s">
        <v>75</v>
      </c>
      <c r="F181" s="17" t="s">
        <v>1036</v>
      </c>
      <c r="G181" s="17" t="s">
        <v>1037</v>
      </c>
      <c r="H181" s="17" t="s">
        <v>29</v>
      </c>
      <c r="I181" s="17" t="s">
        <v>893</v>
      </c>
      <c r="J181" s="17" t="s">
        <v>233</v>
      </c>
      <c r="K181" s="19"/>
      <c r="L181" s="19"/>
      <c r="M181" s="19"/>
      <c r="N181" s="19"/>
      <c r="O181" s="17" t="n">
        <v>1</v>
      </c>
      <c r="P181" s="18" t="s">
        <v>1086</v>
      </c>
      <c r="Q181" s="18" t="s">
        <v>1087</v>
      </c>
      <c r="R181" s="18" t="s">
        <v>1109</v>
      </c>
      <c r="S181" s="17" t="s">
        <v>1085</v>
      </c>
      <c r="T181" s="18" t="s">
        <v>1110</v>
      </c>
      <c r="U181" s="19"/>
      <c r="V181" s="18" t="s">
        <v>1111</v>
      </c>
      <c r="W181" s="17" t="s">
        <v>240</v>
      </c>
      <c r="X181" s="17" t="s">
        <v>1112</v>
      </c>
      <c r="Y181" s="17" t="s">
        <v>242</v>
      </c>
      <c r="Z181" s="19"/>
      <c r="AA181" s="19"/>
      <c r="AB181" s="17"/>
      <c r="AC181" s="19"/>
    </row>
    <row r="182" customFormat="false" ht="22.35" hidden="false" customHeight="false" outlineLevel="0" collapsed="false">
      <c r="A182" s="10" t="s">
        <v>1113</v>
      </c>
      <c r="B182" s="17" t="s">
        <v>172</v>
      </c>
      <c r="C182" s="18" t="s">
        <v>173</v>
      </c>
      <c r="D182" s="17" t="s">
        <v>19</v>
      </c>
      <c r="E182" s="17" t="s">
        <v>75</v>
      </c>
      <c r="F182" s="17" t="s">
        <v>1036</v>
      </c>
      <c r="G182" s="17" t="s">
        <v>1037</v>
      </c>
      <c r="H182" s="17" t="s">
        <v>29</v>
      </c>
      <c r="I182" s="17" t="s">
        <v>316</v>
      </c>
      <c r="J182" s="17" t="s">
        <v>233</v>
      </c>
      <c r="K182" s="19"/>
      <c r="L182" s="19"/>
      <c r="M182" s="19"/>
      <c r="N182" s="19"/>
      <c r="O182" s="17" t="n">
        <v>1</v>
      </c>
      <c r="P182" s="18" t="s">
        <v>1086</v>
      </c>
      <c r="Q182" s="18" t="s">
        <v>1087</v>
      </c>
      <c r="R182" s="18" t="s">
        <v>1114</v>
      </c>
      <c r="S182" s="17" t="s">
        <v>1115</v>
      </c>
      <c r="T182" s="18" t="s">
        <v>1116</v>
      </c>
      <c r="U182" s="19"/>
      <c r="V182" s="18" t="s">
        <v>1117</v>
      </c>
      <c r="W182" s="17" t="s">
        <v>240</v>
      </c>
      <c r="X182" s="17" t="s">
        <v>1118</v>
      </c>
      <c r="Y182" s="17" t="s">
        <v>242</v>
      </c>
      <c r="Z182" s="19"/>
      <c r="AA182" s="19"/>
      <c r="AB182" s="17"/>
      <c r="AC182" s="19"/>
    </row>
    <row r="183" customFormat="false" ht="22.35" hidden="false" customHeight="false" outlineLevel="0" collapsed="false">
      <c r="A183" s="10" t="s">
        <v>1119</v>
      </c>
      <c r="B183" s="17" t="s">
        <v>172</v>
      </c>
      <c r="C183" s="18" t="s">
        <v>173</v>
      </c>
      <c r="D183" s="17" t="s">
        <v>19</v>
      </c>
      <c r="E183" s="17" t="s">
        <v>75</v>
      </c>
      <c r="F183" s="17" t="s">
        <v>1036</v>
      </c>
      <c r="G183" s="17" t="s">
        <v>1037</v>
      </c>
      <c r="H183" s="17" t="s">
        <v>29</v>
      </c>
      <c r="I183" s="17" t="s">
        <v>316</v>
      </c>
      <c r="J183" s="17" t="s">
        <v>233</v>
      </c>
      <c r="K183" s="19"/>
      <c r="L183" s="19"/>
      <c r="M183" s="19"/>
      <c r="N183" s="19"/>
      <c r="O183" s="17" t="n">
        <v>1</v>
      </c>
      <c r="P183" s="18" t="s">
        <v>1086</v>
      </c>
      <c r="Q183" s="18" t="s">
        <v>1120</v>
      </c>
      <c r="R183" s="18" t="s">
        <v>1121</v>
      </c>
      <c r="S183" s="17" t="s">
        <v>1122</v>
      </c>
      <c r="T183" s="18" t="s">
        <v>1123</v>
      </c>
      <c r="U183" s="19"/>
      <c r="V183" s="18" t="s">
        <v>1124</v>
      </c>
      <c r="W183" s="17" t="s">
        <v>240</v>
      </c>
      <c r="X183" s="17" t="s">
        <v>1054</v>
      </c>
      <c r="Y183" s="17" t="s">
        <v>242</v>
      </c>
      <c r="Z183" s="19"/>
      <c r="AA183" s="19"/>
      <c r="AB183" s="17"/>
      <c r="AC183" s="19"/>
    </row>
    <row r="184" customFormat="false" ht="22.35" hidden="false" customHeight="false" outlineLevel="0" collapsed="false">
      <c r="A184" s="10" t="s">
        <v>1125</v>
      </c>
      <c r="B184" s="17" t="s">
        <v>172</v>
      </c>
      <c r="C184" s="18" t="s">
        <v>173</v>
      </c>
      <c r="D184" s="17" t="s">
        <v>19</v>
      </c>
      <c r="E184" s="17" t="s">
        <v>75</v>
      </c>
      <c r="F184" s="17" t="s">
        <v>1036</v>
      </c>
      <c r="G184" s="17" t="s">
        <v>1037</v>
      </c>
      <c r="H184" s="17" t="s">
        <v>29</v>
      </c>
      <c r="I184" s="17" t="s">
        <v>316</v>
      </c>
      <c r="J184" s="17" t="s">
        <v>233</v>
      </c>
      <c r="K184" s="19"/>
      <c r="L184" s="19"/>
      <c r="M184" s="19"/>
      <c r="N184" s="19"/>
      <c r="O184" s="17" t="n">
        <v>1</v>
      </c>
      <c r="P184" s="18" t="s">
        <v>1086</v>
      </c>
      <c r="Q184" s="18" t="s">
        <v>1120</v>
      </c>
      <c r="R184" s="18" t="s">
        <v>1126</v>
      </c>
      <c r="S184" s="17" t="s">
        <v>1127</v>
      </c>
      <c r="T184" s="18" t="s">
        <v>1128</v>
      </c>
      <c r="U184" s="19"/>
      <c r="V184" s="18" t="s">
        <v>1129</v>
      </c>
      <c r="W184" s="17" t="s">
        <v>240</v>
      </c>
      <c r="X184" s="17" t="s">
        <v>1130</v>
      </c>
      <c r="Y184" s="17" t="s">
        <v>242</v>
      </c>
      <c r="Z184" s="19"/>
      <c r="AA184" s="19"/>
      <c r="AB184" s="17"/>
      <c r="AC184" s="19"/>
    </row>
    <row r="185" customFormat="false" ht="22.35" hidden="false" customHeight="false" outlineLevel="0" collapsed="false">
      <c r="A185" s="10" t="s">
        <v>1131</v>
      </c>
      <c r="B185" s="17" t="s">
        <v>172</v>
      </c>
      <c r="C185" s="18" t="s">
        <v>173</v>
      </c>
      <c r="D185" s="17" t="s">
        <v>19</v>
      </c>
      <c r="E185" s="17" t="s">
        <v>75</v>
      </c>
      <c r="F185" s="17" t="s">
        <v>1036</v>
      </c>
      <c r="G185" s="17" t="s">
        <v>1037</v>
      </c>
      <c r="H185" s="17" t="s">
        <v>29</v>
      </c>
      <c r="I185" s="17" t="s">
        <v>316</v>
      </c>
      <c r="J185" s="17" t="s">
        <v>233</v>
      </c>
      <c r="K185" s="19"/>
      <c r="L185" s="19"/>
      <c r="M185" s="19"/>
      <c r="N185" s="19"/>
      <c r="O185" s="17" t="n">
        <v>1</v>
      </c>
      <c r="P185" s="18" t="s">
        <v>1086</v>
      </c>
      <c r="Q185" s="18" t="s">
        <v>1120</v>
      </c>
      <c r="R185" s="18" t="s">
        <v>1132</v>
      </c>
      <c r="S185" s="17" t="s">
        <v>1133</v>
      </c>
      <c r="T185" s="18" t="s">
        <v>1134</v>
      </c>
      <c r="U185" s="19"/>
      <c r="V185" s="18" t="s">
        <v>1135</v>
      </c>
      <c r="W185" s="17" t="s">
        <v>240</v>
      </c>
      <c r="X185" s="17" t="s">
        <v>1136</v>
      </c>
      <c r="Y185" s="17" t="s">
        <v>242</v>
      </c>
      <c r="Z185" s="19"/>
      <c r="AA185" s="19"/>
      <c r="AB185" s="17"/>
      <c r="AC185" s="19"/>
    </row>
    <row r="186" customFormat="false" ht="22.35" hidden="false" customHeight="false" outlineLevel="0" collapsed="false">
      <c r="A186" s="10" t="s">
        <v>1137</v>
      </c>
      <c r="B186" s="17" t="s">
        <v>172</v>
      </c>
      <c r="C186" s="18" t="s">
        <v>173</v>
      </c>
      <c r="D186" s="17" t="s">
        <v>19</v>
      </c>
      <c r="E186" s="17" t="s">
        <v>75</v>
      </c>
      <c r="F186" s="17" t="s">
        <v>1036</v>
      </c>
      <c r="G186" s="17" t="s">
        <v>1037</v>
      </c>
      <c r="H186" s="17" t="s">
        <v>29</v>
      </c>
      <c r="I186" s="17" t="s">
        <v>283</v>
      </c>
      <c r="J186" s="17" t="s">
        <v>233</v>
      </c>
      <c r="K186" s="19"/>
      <c r="L186" s="19"/>
      <c r="M186" s="19"/>
      <c r="N186" s="19"/>
      <c r="O186" s="17" t="n">
        <v>1</v>
      </c>
      <c r="P186" s="18" t="s">
        <v>1086</v>
      </c>
      <c r="Q186" s="18" t="s">
        <v>1120</v>
      </c>
      <c r="R186" s="18" t="s">
        <v>1138</v>
      </c>
      <c r="S186" s="17" t="s">
        <v>237</v>
      </c>
      <c r="T186" s="18" t="s">
        <v>1082</v>
      </c>
      <c r="U186" s="19"/>
      <c r="V186" s="18" t="s">
        <v>1083</v>
      </c>
      <c r="W186" s="17" t="s">
        <v>240</v>
      </c>
      <c r="X186" s="17" t="s">
        <v>1084</v>
      </c>
      <c r="Y186" s="17" t="s">
        <v>242</v>
      </c>
      <c r="Z186" s="19"/>
      <c r="AA186" s="19"/>
      <c r="AB186" s="17"/>
      <c r="AC186" s="19"/>
    </row>
    <row r="187" customFormat="false" ht="22.35" hidden="false" customHeight="false" outlineLevel="0" collapsed="false">
      <c r="A187" s="10" t="s">
        <v>1139</v>
      </c>
      <c r="B187" s="17" t="s">
        <v>172</v>
      </c>
      <c r="C187" s="18" t="s">
        <v>173</v>
      </c>
      <c r="D187" s="17" t="s">
        <v>19</v>
      </c>
      <c r="E187" s="17" t="s">
        <v>75</v>
      </c>
      <c r="F187" s="17" t="s">
        <v>1036</v>
      </c>
      <c r="G187" s="17" t="s">
        <v>1037</v>
      </c>
      <c r="H187" s="17" t="s">
        <v>29</v>
      </c>
      <c r="I187" s="17" t="s">
        <v>316</v>
      </c>
      <c r="J187" s="17" t="s">
        <v>233</v>
      </c>
      <c r="K187" s="19"/>
      <c r="L187" s="19"/>
      <c r="M187" s="19"/>
      <c r="N187" s="19"/>
      <c r="O187" s="17" t="n">
        <v>1</v>
      </c>
      <c r="P187" s="18" t="s">
        <v>1140</v>
      </c>
      <c r="Q187" s="18" t="s">
        <v>1141</v>
      </c>
      <c r="R187" s="18" t="s">
        <v>1142</v>
      </c>
      <c r="S187" s="17" t="s">
        <v>1055</v>
      </c>
      <c r="T187" s="18" t="s">
        <v>1143</v>
      </c>
      <c r="U187" s="19"/>
      <c r="V187" s="18" t="s">
        <v>1144</v>
      </c>
      <c r="W187" s="17" t="s">
        <v>240</v>
      </c>
      <c r="X187" s="17" t="s">
        <v>1145</v>
      </c>
      <c r="Y187" s="17" t="s">
        <v>242</v>
      </c>
      <c r="Z187" s="19"/>
      <c r="AA187" s="19"/>
      <c r="AB187" s="17"/>
      <c r="AC187" s="19"/>
    </row>
    <row r="188" customFormat="false" ht="22.35" hidden="false" customHeight="false" outlineLevel="0" collapsed="false">
      <c r="A188" s="10" t="s">
        <v>1146</v>
      </c>
      <c r="B188" s="17" t="s">
        <v>172</v>
      </c>
      <c r="C188" s="18" t="s">
        <v>173</v>
      </c>
      <c r="D188" s="17" t="s">
        <v>19</v>
      </c>
      <c r="E188" s="17" t="s">
        <v>229</v>
      </c>
      <c r="F188" s="17" t="s">
        <v>1036</v>
      </c>
      <c r="G188" s="17" t="s">
        <v>1037</v>
      </c>
      <c r="H188" s="17" t="s">
        <v>29</v>
      </c>
      <c r="I188" s="17" t="s">
        <v>316</v>
      </c>
      <c r="J188" s="17" t="s">
        <v>233</v>
      </c>
      <c r="K188" s="19"/>
      <c r="L188" s="19"/>
      <c r="M188" s="19"/>
      <c r="N188" s="19"/>
      <c r="O188" s="17" t="n">
        <v>1</v>
      </c>
      <c r="P188" s="18" t="s">
        <v>1140</v>
      </c>
      <c r="Q188" s="18" t="s">
        <v>1141</v>
      </c>
      <c r="R188" s="18" t="s">
        <v>1147</v>
      </c>
      <c r="S188" s="17" t="s">
        <v>1148</v>
      </c>
      <c r="T188" s="18" t="s">
        <v>1149</v>
      </c>
      <c r="U188" s="19"/>
      <c r="V188" s="18" t="s">
        <v>1150</v>
      </c>
      <c r="W188" s="17" t="s">
        <v>240</v>
      </c>
      <c r="X188" s="17" t="s">
        <v>1151</v>
      </c>
      <c r="Y188" s="17" t="s">
        <v>242</v>
      </c>
      <c r="Z188" s="19"/>
      <c r="AA188" s="19"/>
      <c r="AB188" s="17"/>
      <c r="AC188" s="19"/>
    </row>
    <row r="189" customFormat="false" ht="22.35" hidden="false" customHeight="false" outlineLevel="0" collapsed="false">
      <c r="A189" s="10" t="s">
        <v>1152</v>
      </c>
      <c r="B189" s="17" t="s">
        <v>172</v>
      </c>
      <c r="C189" s="18" t="s">
        <v>173</v>
      </c>
      <c r="D189" s="17" t="s">
        <v>19</v>
      </c>
      <c r="E189" s="17" t="s">
        <v>229</v>
      </c>
      <c r="F189" s="17" t="s">
        <v>1036</v>
      </c>
      <c r="G189" s="17" t="s">
        <v>1037</v>
      </c>
      <c r="H189" s="17" t="s">
        <v>29</v>
      </c>
      <c r="I189" s="17" t="s">
        <v>316</v>
      </c>
      <c r="J189" s="17" t="s">
        <v>233</v>
      </c>
      <c r="K189" s="19"/>
      <c r="L189" s="19"/>
      <c r="M189" s="19"/>
      <c r="N189" s="19"/>
      <c r="O189" s="17" t="n">
        <v>1</v>
      </c>
      <c r="P189" s="18" t="s">
        <v>1140</v>
      </c>
      <c r="Q189" s="18" t="s">
        <v>1141</v>
      </c>
      <c r="R189" s="18" t="s">
        <v>1153</v>
      </c>
      <c r="S189" s="17" t="s">
        <v>1146</v>
      </c>
      <c r="T189" s="18" t="s">
        <v>1154</v>
      </c>
      <c r="U189" s="19"/>
      <c r="V189" s="18" t="s">
        <v>1155</v>
      </c>
      <c r="W189" s="17" t="s">
        <v>240</v>
      </c>
      <c r="X189" s="17" t="s">
        <v>1156</v>
      </c>
      <c r="Y189" s="17" t="s">
        <v>242</v>
      </c>
      <c r="Z189" s="19"/>
      <c r="AA189" s="19"/>
      <c r="AB189" s="17"/>
      <c r="AC189" s="19"/>
    </row>
    <row r="190" customFormat="false" ht="32.8" hidden="false" customHeight="false" outlineLevel="0" collapsed="false">
      <c r="A190" s="10" t="s">
        <v>1157</v>
      </c>
      <c r="B190" s="17" t="s">
        <v>172</v>
      </c>
      <c r="C190" s="18" t="s">
        <v>173</v>
      </c>
      <c r="D190" s="17" t="s">
        <v>19</v>
      </c>
      <c r="E190" s="17" t="s">
        <v>229</v>
      </c>
      <c r="F190" s="17" t="s">
        <v>1036</v>
      </c>
      <c r="G190" s="17" t="s">
        <v>1037</v>
      </c>
      <c r="H190" s="17" t="s">
        <v>29</v>
      </c>
      <c r="I190" s="17" t="s">
        <v>316</v>
      </c>
      <c r="J190" s="17" t="s">
        <v>233</v>
      </c>
      <c r="K190" s="19"/>
      <c r="L190" s="19"/>
      <c r="M190" s="19"/>
      <c r="N190" s="19"/>
      <c r="O190" s="17" t="n">
        <v>1</v>
      </c>
      <c r="P190" s="18" t="s">
        <v>1140</v>
      </c>
      <c r="Q190" s="18" t="s">
        <v>1141</v>
      </c>
      <c r="R190" s="18" t="s">
        <v>1158</v>
      </c>
      <c r="S190" s="17" t="s">
        <v>1159</v>
      </c>
      <c r="T190" s="18" t="s">
        <v>1160</v>
      </c>
      <c r="U190" s="19"/>
      <c r="V190" s="18" t="s">
        <v>1161</v>
      </c>
      <c r="W190" s="17" t="s">
        <v>240</v>
      </c>
      <c r="X190" s="17" t="s">
        <v>1162</v>
      </c>
      <c r="Y190" s="17" t="s">
        <v>242</v>
      </c>
      <c r="Z190" s="19"/>
      <c r="AA190" s="19"/>
      <c r="AB190" s="17"/>
      <c r="AC190" s="19"/>
    </row>
    <row r="191" customFormat="false" ht="22.35" hidden="false" customHeight="false" outlineLevel="0" collapsed="false">
      <c r="A191" s="10" t="s">
        <v>1163</v>
      </c>
      <c r="B191" s="17" t="s">
        <v>172</v>
      </c>
      <c r="C191" s="18" t="s">
        <v>173</v>
      </c>
      <c r="D191" s="17" t="s">
        <v>19</v>
      </c>
      <c r="E191" s="17" t="s">
        <v>229</v>
      </c>
      <c r="F191" s="17" t="s">
        <v>1036</v>
      </c>
      <c r="G191" s="17" t="s">
        <v>1037</v>
      </c>
      <c r="H191" s="17" t="s">
        <v>29</v>
      </c>
      <c r="I191" s="17" t="s">
        <v>316</v>
      </c>
      <c r="J191" s="17" t="s">
        <v>233</v>
      </c>
      <c r="K191" s="19"/>
      <c r="L191" s="19"/>
      <c r="M191" s="19"/>
      <c r="N191" s="19"/>
      <c r="O191" s="17" t="n">
        <v>1</v>
      </c>
      <c r="P191" s="18" t="s">
        <v>1140</v>
      </c>
      <c r="Q191" s="18" t="s">
        <v>1164</v>
      </c>
      <c r="R191" s="18" t="s">
        <v>1165</v>
      </c>
      <c r="S191" s="17" t="s">
        <v>1146</v>
      </c>
      <c r="T191" s="18" t="s">
        <v>1166</v>
      </c>
      <c r="U191" s="19"/>
      <c r="V191" s="18" t="s">
        <v>1167</v>
      </c>
      <c r="W191" s="17" t="s">
        <v>240</v>
      </c>
      <c r="X191" s="17" t="s">
        <v>1168</v>
      </c>
      <c r="Y191" s="17" t="s">
        <v>242</v>
      </c>
      <c r="Z191" s="19"/>
      <c r="AA191" s="19"/>
      <c r="AB191" s="17"/>
      <c r="AC191" s="19"/>
    </row>
    <row r="192" customFormat="false" ht="22.35" hidden="false" customHeight="false" outlineLevel="0" collapsed="false">
      <c r="A192" s="10" t="s">
        <v>1169</v>
      </c>
      <c r="B192" s="17" t="s">
        <v>172</v>
      </c>
      <c r="C192" s="18" t="s">
        <v>173</v>
      </c>
      <c r="D192" s="17" t="s">
        <v>19</v>
      </c>
      <c r="E192" s="17" t="s">
        <v>229</v>
      </c>
      <c r="F192" s="17" t="s">
        <v>1036</v>
      </c>
      <c r="G192" s="17" t="s">
        <v>1037</v>
      </c>
      <c r="H192" s="17" t="s">
        <v>29</v>
      </c>
      <c r="I192" s="17" t="s">
        <v>316</v>
      </c>
      <c r="J192" s="17" t="s">
        <v>233</v>
      </c>
      <c r="K192" s="19"/>
      <c r="L192" s="19"/>
      <c r="M192" s="19"/>
      <c r="N192" s="19"/>
      <c r="O192" s="17" t="n">
        <v>1</v>
      </c>
      <c r="P192" s="18" t="s">
        <v>1140</v>
      </c>
      <c r="Q192" s="18" t="s">
        <v>1164</v>
      </c>
      <c r="R192" s="18" t="s">
        <v>1170</v>
      </c>
      <c r="S192" s="17" t="s">
        <v>1171</v>
      </c>
      <c r="T192" s="18" t="s">
        <v>1172</v>
      </c>
      <c r="U192" s="19"/>
      <c r="V192" s="18" t="s">
        <v>1173</v>
      </c>
      <c r="W192" s="17" t="s">
        <v>240</v>
      </c>
      <c r="X192" s="17" t="s">
        <v>1174</v>
      </c>
      <c r="Y192" s="17" t="s">
        <v>242</v>
      </c>
      <c r="Z192" s="19"/>
      <c r="AA192" s="19"/>
      <c r="AB192" s="17"/>
      <c r="AC192" s="19"/>
    </row>
    <row r="193" customFormat="false" ht="32.8" hidden="false" customHeight="false" outlineLevel="0" collapsed="false">
      <c r="A193" s="10" t="s">
        <v>1175</v>
      </c>
      <c r="B193" s="17" t="s">
        <v>172</v>
      </c>
      <c r="C193" s="18" t="s">
        <v>173</v>
      </c>
      <c r="D193" s="17" t="s">
        <v>19</v>
      </c>
      <c r="E193" s="17" t="s">
        <v>229</v>
      </c>
      <c r="F193" s="17" t="s">
        <v>1036</v>
      </c>
      <c r="G193" s="17" t="s">
        <v>1037</v>
      </c>
      <c r="H193" s="17" t="s">
        <v>29</v>
      </c>
      <c r="I193" s="17" t="s">
        <v>277</v>
      </c>
      <c r="J193" s="17" t="s">
        <v>233</v>
      </c>
      <c r="K193" s="19"/>
      <c r="L193" s="19"/>
      <c r="M193" s="19"/>
      <c r="N193" s="19"/>
      <c r="O193" s="17" t="n">
        <v>1</v>
      </c>
      <c r="P193" s="18" t="s">
        <v>1140</v>
      </c>
      <c r="Q193" s="18" t="s">
        <v>1164</v>
      </c>
      <c r="R193" s="18" t="s">
        <v>1176</v>
      </c>
      <c r="S193" s="17" t="s">
        <v>1177</v>
      </c>
      <c r="T193" s="18" t="s">
        <v>1178</v>
      </c>
      <c r="U193" s="19"/>
      <c r="V193" s="18" t="s">
        <v>1179</v>
      </c>
      <c r="W193" s="17" t="s">
        <v>240</v>
      </c>
      <c r="X193" s="17" t="s">
        <v>1180</v>
      </c>
      <c r="Y193" s="17" t="s">
        <v>242</v>
      </c>
      <c r="Z193" s="19"/>
      <c r="AA193" s="19"/>
      <c r="AB193" s="17"/>
      <c r="AC193" s="19"/>
    </row>
    <row r="194" customFormat="false" ht="22.35" hidden="false" customHeight="false" outlineLevel="0" collapsed="false">
      <c r="A194" s="10" t="s">
        <v>1181</v>
      </c>
      <c r="B194" s="17" t="s">
        <v>172</v>
      </c>
      <c r="C194" s="18" t="s">
        <v>173</v>
      </c>
      <c r="D194" s="17" t="s">
        <v>19</v>
      </c>
      <c r="E194" s="17" t="s">
        <v>75</v>
      </c>
      <c r="F194" s="17" t="s">
        <v>1036</v>
      </c>
      <c r="G194" s="17" t="s">
        <v>1037</v>
      </c>
      <c r="H194" s="17" t="s">
        <v>29</v>
      </c>
      <c r="I194" s="17" t="s">
        <v>283</v>
      </c>
      <c r="J194" s="17" t="s">
        <v>233</v>
      </c>
      <c r="K194" s="19"/>
      <c r="L194" s="19"/>
      <c r="M194" s="19"/>
      <c r="N194" s="19"/>
      <c r="O194" s="17" t="n">
        <v>1</v>
      </c>
      <c r="P194" s="18" t="s">
        <v>1140</v>
      </c>
      <c r="Q194" s="18" t="s">
        <v>1164</v>
      </c>
      <c r="R194" s="18" t="s">
        <v>1182</v>
      </c>
      <c r="S194" s="17" t="s">
        <v>237</v>
      </c>
      <c r="T194" s="18" t="s">
        <v>1082</v>
      </c>
      <c r="U194" s="19"/>
      <c r="V194" s="18" t="s">
        <v>1083</v>
      </c>
      <c r="W194" s="17" t="s">
        <v>240</v>
      </c>
      <c r="X194" s="17" t="s">
        <v>1084</v>
      </c>
      <c r="Y194" s="17" t="s">
        <v>242</v>
      </c>
      <c r="Z194" s="19"/>
      <c r="AA194" s="19"/>
      <c r="AB194" s="17"/>
      <c r="AC194" s="19"/>
    </row>
    <row r="195" customFormat="false" ht="32.8" hidden="false" customHeight="false" outlineLevel="0" collapsed="false">
      <c r="A195" s="10" t="s">
        <v>1183</v>
      </c>
      <c r="B195" s="17" t="s">
        <v>172</v>
      </c>
      <c r="C195" s="18" t="s">
        <v>173</v>
      </c>
      <c r="D195" s="17" t="s">
        <v>19</v>
      </c>
      <c r="E195" s="17" t="s">
        <v>75</v>
      </c>
      <c r="F195" s="17" t="s">
        <v>1036</v>
      </c>
      <c r="G195" s="17" t="s">
        <v>1037</v>
      </c>
      <c r="H195" s="17" t="s">
        <v>29</v>
      </c>
      <c r="I195" s="17" t="s">
        <v>333</v>
      </c>
      <c r="J195" s="17" t="s">
        <v>233</v>
      </c>
      <c r="K195" s="19"/>
      <c r="L195" s="19"/>
      <c r="M195" s="19"/>
      <c r="N195" s="19"/>
      <c r="O195" s="17" t="n">
        <v>1</v>
      </c>
      <c r="P195" s="18" t="s">
        <v>1184</v>
      </c>
      <c r="Q195" s="18" t="s">
        <v>1185</v>
      </c>
      <c r="R195" s="18" t="s">
        <v>1186</v>
      </c>
      <c r="S195" s="17" t="s">
        <v>1187</v>
      </c>
      <c r="T195" s="18" t="s">
        <v>1188</v>
      </c>
      <c r="U195" s="19"/>
      <c r="V195" s="18" t="s">
        <v>1189</v>
      </c>
      <c r="W195" s="17" t="s">
        <v>240</v>
      </c>
      <c r="X195" s="17" t="s">
        <v>1190</v>
      </c>
      <c r="Y195" s="17" t="s">
        <v>242</v>
      </c>
      <c r="Z195" s="19"/>
      <c r="AA195" s="19"/>
      <c r="AB195" s="17"/>
      <c r="AC195" s="19"/>
    </row>
    <row r="196" customFormat="false" ht="22.35" hidden="false" customHeight="false" outlineLevel="0" collapsed="false">
      <c r="A196" s="10" t="s">
        <v>1191</v>
      </c>
      <c r="B196" s="17" t="s">
        <v>172</v>
      </c>
      <c r="C196" s="18" t="s">
        <v>173</v>
      </c>
      <c r="D196" s="17" t="s">
        <v>19</v>
      </c>
      <c r="E196" s="17" t="s">
        <v>75</v>
      </c>
      <c r="F196" s="17" t="s">
        <v>1036</v>
      </c>
      <c r="G196" s="17" t="s">
        <v>1037</v>
      </c>
      <c r="H196" s="17" t="s">
        <v>29</v>
      </c>
      <c r="I196" s="17" t="s">
        <v>333</v>
      </c>
      <c r="J196" s="17" t="s">
        <v>233</v>
      </c>
      <c r="K196" s="19"/>
      <c r="L196" s="19"/>
      <c r="M196" s="19"/>
      <c r="N196" s="19"/>
      <c r="O196" s="17" t="n">
        <v>1</v>
      </c>
      <c r="P196" s="18" t="s">
        <v>1184</v>
      </c>
      <c r="Q196" s="18" t="s">
        <v>1185</v>
      </c>
      <c r="R196" s="18" t="s">
        <v>1192</v>
      </c>
      <c r="S196" s="17" t="s">
        <v>1183</v>
      </c>
      <c r="T196" s="18" t="s">
        <v>1193</v>
      </c>
      <c r="U196" s="19"/>
      <c r="V196" s="18" t="s">
        <v>1194</v>
      </c>
      <c r="W196" s="17" t="s">
        <v>240</v>
      </c>
      <c r="X196" s="17" t="s">
        <v>1195</v>
      </c>
      <c r="Y196" s="17" t="s">
        <v>242</v>
      </c>
      <c r="Z196" s="19"/>
      <c r="AA196" s="19"/>
      <c r="AB196" s="17"/>
      <c r="AC196" s="19"/>
    </row>
    <row r="197" customFormat="false" ht="22.35" hidden="false" customHeight="false" outlineLevel="0" collapsed="false">
      <c r="A197" s="10" t="s">
        <v>1196</v>
      </c>
      <c r="B197" s="17" t="s">
        <v>172</v>
      </c>
      <c r="C197" s="18" t="s">
        <v>173</v>
      </c>
      <c r="D197" s="17" t="s">
        <v>19</v>
      </c>
      <c r="E197" s="17" t="s">
        <v>75</v>
      </c>
      <c r="F197" s="17" t="s">
        <v>1036</v>
      </c>
      <c r="G197" s="17" t="s">
        <v>1037</v>
      </c>
      <c r="H197" s="17" t="s">
        <v>29</v>
      </c>
      <c r="I197" s="17" t="s">
        <v>289</v>
      </c>
      <c r="J197" s="17" t="s">
        <v>233</v>
      </c>
      <c r="K197" s="19"/>
      <c r="L197" s="19"/>
      <c r="M197" s="19"/>
      <c r="N197" s="19"/>
      <c r="O197" s="17" t="n">
        <v>1</v>
      </c>
      <c r="P197" s="18" t="s">
        <v>1184</v>
      </c>
      <c r="Q197" s="18" t="s">
        <v>1185</v>
      </c>
      <c r="R197" s="18" t="s">
        <v>1197</v>
      </c>
      <c r="S197" s="17" t="s">
        <v>1103</v>
      </c>
      <c r="T197" s="18" t="s">
        <v>1198</v>
      </c>
      <c r="U197" s="19"/>
      <c r="V197" s="18" t="s">
        <v>1199</v>
      </c>
      <c r="W197" s="17" t="s">
        <v>240</v>
      </c>
      <c r="X197" s="17" t="s">
        <v>1200</v>
      </c>
      <c r="Y197" s="17" t="s">
        <v>242</v>
      </c>
      <c r="Z197" s="19"/>
      <c r="AA197" s="19"/>
      <c r="AB197" s="17"/>
      <c r="AC197" s="19"/>
    </row>
    <row r="198" customFormat="false" ht="22.35" hidden="false" customHeight="false" outlineLevel="0" collapsed="false">
      <c r="A198" s="10" t="s">
        <v>1201</v>
      </c>
      <c r="B198" s="17" t="s">
        <v>172</v>
      </c>
      <c r="C198" s="18" t="s">
        <v>173</v>
      </c>
      <c r="D198" s="17" t="s">
        <v>19</v>
      </c>
      <c r="E198" s="17" t="s">
        <v>75</v>
      </c>
      <c r="F198" s="17" t="s">
        <v>1036</v>
      </c>
      <c r="G198" s="17" t="s">
        <v>1037</v>
      </c>
      <c r="H198" s="17" t="s">
        <v>29</v>
      </c>
      <c r="I198" s="17" t="s">
        <v>277</v>
      </c>
      <c r="J198" s="17" t="s">
        <v>233</v>
      </c>
      <c r="K198" s="19"/>
      <c r="L198" s="19"/>
      <c r="M198" s="19"/>
      <c r="N198" s="19"/>
      <c r="O198" s="17" t="n">
        <v>1</v>
      </c>
      <c r="P198" s="18" t="s">
        <v>1184</v>
      </c>
      <c r="Q198" s="18" t="s">
        <v>1202</v>
      </c>
      <c r="R198" s="18" t="s">
        <v>1203</v>
      </c>
      <c r="S198" s="17" t="s">
        <v>1204</v>
      </c>
      <c r="T198" s="18" t="s">
        <v>1205</v>
      </c>
      <c r="U198" s="19"/>
      <c r="V198" s="18" t="s">
        <v>1206</v>
      </c>
      <c r="W198" s="17" t="s">
        <v>240</v>
      </c>
      <c r="X198" s="17" t="s">
        <v>1207</v>
      </c>
      <c r="Y198" s="17" t="s">
        <v>242</v>
      </c>
      <c r="Z198" s="19"/>
      <c r="AA198" s="19"/>
      <c r="AB198" s="17"/>
      <c r="AC198" s="19"/>
    </row>
    <row r="199" customFormat="false" ht="22.35" hidden="false" customHeight="false" outlineLevel="0" collapsed="false">
      <c r="A199" s="10" t="s">
        <v>1208</v>
      </c>
      <c r="B199" s="17" t="s">
        <v>172</v>
      </c>
      <c r="C199" s="18" t="s">
        <v>173</v>
      </c>
      <c r="D199" s="17" t="s">
        <v>19</v>
      </c>
      <c r="E199" s="17" t="s">
        <v>75</v>
      </c>
      <c r="F199" s="17" t="s">
        <v>1036</v>
      </c>
      <c r="G199" s="17" t="s">
        <v>1037</v>
      </c>
      <c r="H199" s="17" t="s">
        <v>29</v>
      </c>
      <c r="I199" s="17" t="s">
        <v>277</v>
      </c>
      <c r="J199" s="17" t="s">
        <v>233</v>
      </c>
      <c r="K199" s="19"/>
      <c r="L199" s="19"/>
      <c r="M199" s="19"/>
      <c r="N199" s="19"/>
      <c r="O199" s="17" t="n">
        <v>2</v>
      </c>
      <c r="P199" s="18" t="s">
        <v>1184</v>
      </c>
      <c r="Q199" s="18" t="s">
        <v>1202</v>
      </c>
      <c r="R199" s="18" t="s">
        <v>1209</v>
      </c>
      <c r="S199" s="17" t="s">
        <v>1201</v>
      </c>
      <c r="T199" s="18" t="s">
        <v>1210</v>
      </c>
      <c r="U199" s="19"/>
      <c r="V199" s="18" t="s">
        <v>1211</v>
      </c>
      <c r="W199" s="17" t="s">
        <v>240</v>
      </c>
      <c r="X199" s="17" t="s">
        <v>1212</v>
      </c>
      <c r="Y199" s="17" t="s">
        <v>242</v>
      </c>
      <c r="Z199" s="19"/>
      <c r="AA199" s="19"/>
      <c r="AB199" s="17"/>
      <c r="AC199" s="19"/>
    </row>
    <row r="200" customFormat="false" ht="22.35" hidden="false" customHeight="false" outlineLevel="0" collapsed="false">
      <c r="A200" s="10" t="s">
        <v>1213</v>
      </c>
      <c r="B200" s="17" t="s">
        <v>172</v>
      </c>
      <c r="C200" s="18" t="s">
        <v>173</v>
      </c>
      <c r="D200" s="17" t="s">
        <v>19</v>
      </c>
      <c r="E200" s="17" t="s">
        <v>75</v>
      </c>
      <c r="F200" s="17" t="s">
        <v>1036</v>
      </c>
      <c r="G200" s="17" t="s">
        <v>1037</v>
      </c>
      <c r="H200" s="17" t="s">
        <v>29</v>
      </c>
      <c r="I200" s="17" t="s">
        <v>277</v>
      </c>
      <c r="J200" s="17" t="s">
        <v>233</v>
      </c>
      <c r="K200" s="19"/>
      <c r="L200" s="19"/>
      <c r="M200" s="19"/>
      <c r="N200" s="19"/>
      <c r="O200" s="17" t="n">
        <v>3</v>
      </c>
      <c r="P200" s="18" t="s">
        <v>1184</v>
      </c>
      <c r="Q200" s="18" t="s">
        <v>1202</v>
      </c>
      <c r="R200" s="18" t="s">
        <v>1214</v>
      </c>
      <c r="S200" s="17" t="s">
        <v>1201</v>
      </c>
      <c r="T200" s="18" t="s">
        <v>1215</v>
      </c>
      <c r="U200" s="19"/>
      <c r="V200" s="18" t="s">
        <v>1216</v>
      </c>
      <c r="W200" s="17" t="s">
        <v>1217</v>
      </c>
      <c r="X200" s="17" t="s">
        <v>1212</v>
      </c>
      <c r="Y200" s="17" t="s">
        <v>242</v>
      </c>
      <c r="Z200" s="19"/>
      <c r="AA200" s="19"/>
      <c r="AB200" s="17"/>
      <c r="AC200" s="19"/>
    </row>
    <row r="201" customFormat="false" ht="32.8" hidden="false" customHeight="false" outlineLevel="0" collapsed="false">
      <c r="A201" s="10" t="s">
        <v>1218</v>
      </c>
      <c r="B201" s="17" t="s">
        <v>172</v>
      </c>
      <c r="C201" s="18" t="s">
        <v>173</v>
      </c>
      <c r="D201" s="17" t="s">
        <v>19</v>
      </c>
      <c r="E201" s="17" t="s">
        <v>75</v>
      </c>
      <c r="F201" s="17" t="s">
        <v>1036</v>
      </c>
      <c r="G201" s="17" t="s">
        <v>1037</v>
      </c>
      <c r="H201" s="17" t="s">
        <v>29</v>
      </c>
      <c r="I201" s="17" t="s">
        <v>277</v>
      </c>
      <c r="J201" s="17" t="s">
        <v>233</v>
      </c>
      <c r="K201" s="19"/>
      <c r="L201" s="19"/>
      <c r="M201" s="19"/>
      <c r="N201" s="19"/>
      <c r="O201" s="17" t="n">
        <v>2</v>
      </c>
      <c r="P201" s="18" t="s">
        <v>1184</v>
      </c>
      <c r="Q201" s="18" t="s">
        <v>1202</v>
      </c>
      <c r="R201" s="18" t="s">
        <v>1219</v>
      </c>
      <c r="S201" s="17" t="s">
        <v>1220</v>
      </c>
      <c r="T201" s="18" t="s">
        <v>1221</v>
      </c>
      <c r="U201" s="19"/>
      <c r="V201" s="18" t="s">
        <v>1222</v>
      </c>
      <c r="W201" s="17" t="s">
        <v>240</v>
      </c>
      <c r="X201" s="17" t="s">
        <v>1223</v>
      </c>
      <c r="Y201" s="17" t="s">
        <v>242</v>
      </c>
      <c r="Z201" s="19"/>
      <c r="AA201" s="19"/>
      <c r="AB201" s="17"/>
      <c r="AC201" s="19"/>
    </row>
    <row r="202" customFormat="false" ht="22.35" hidden="false" customHeight="false" outlineLevel="0" collapsed="false">
      <c r="A202" s="10" t="s">
        <v>1224</v>
      </c>
      <c r="B202" s="17" t="s">
        <v>172</v>
      </c>
      <c r="C202" s="18" t="s">
        <v>173</v>
      </c>
      <c r="D202" s="17" t="s">
        <v>19</v>
      </c>
      <c r="E202" s="17" t="s">
        <v>75</v>
      </c>
      <c r="F202" s="17" t="s">
        <v>1036</v>
      </c>
      <c r="G202" s="17" t="s">
        <v>1037</v>
      </c>
      <c r="H202" s="17" t="s">
        <v>29</v>
      </c>
      <c r="I202" s="17" t="s">
        <v>283</v>
      </c>
      <c r="J202" s="17" t="s">
        <v>233</v>
      </c>
      <c r="K202" s="19"/>
      <c r="L202" s="19"/>
      <c r="M202" s="19"/>
      <c r="N202" s="19"/>
      <c r="O202" s="17" t="n">
        <v>3</v>
      </c>
      <c r="P202" s="18" t="s">
        <v>1184</v>
      </c>
      <c r="Q202" s="18" t="s">
        <v>1202</v>
      </c>
      <c r="R202" s="18" t="s">
        <v>1225</v>
      </c>
      <c r="S202" s="17" t="s">
        <v>237</v>
      </c>
      <c r="T202" s="18" t="s">
        <v>1082</v>
      </c>
      <c r="U202" s="19"/>
      <c r="V202" s="18" t="s">
        <v>1083</v>
      </c>
      <c r="W202" s="17" t="s">
        <v>240</v>
      </c>
      <c r="X202" s="17" t="s">
        <v>1084</v>
      </c>
      <c r="Y202" s="17" t="s">
        <v>242</v>
      </c>
      <c r="Z202" s="19"/>
      <c r="AA202" s="19"/>
      <c r="AB202" s="17"/>
      <c r="AC202" s="19"/>
    </row>
    <row r="203" customFormat="false" ht="22.35" hidden="false" customHeight="false" outlineLevel="0" collapsed="false">
      <c r="A203" s="10" t="s">
        <v>1226</v>
      </c>
      <c r="B203" s="17" t="s">
        <v>172</v>
      </c>
      <c r="C203" s="18" t="s">
        <v>173</v>
      </c>
      <c r="D203" s="17" t="s">
        <v>19</v>
      </c>
      <c r="E203" s="17" t="s">
        <v>229</v>
      </c>
      <c r="F203" s="17" t="s">
        <v>1036</v>
      </c>
      <c r="G203" s="17" t="s">
        <v>1037</v>
      </c>
      <c r="H203" s="17" t="s">
        <v>29</v>
      </c>
      <c r="I203" s="17" t="s">
        <v>316</v>
      </c>
      <c r="J203" s="17" t="s">
        <v>233</v>
      </c>
      <c r="K203" s="19"/>
      <c r="L203" s="19"/>
      <c r="M203" s="19"/>
      <c r="N203" s="19"/>
      <c r="O203" s="17" t="n">
        <v>1</v>
      </c>
      <c r="P203" s="18" t="s">
        <v>1227</v>
      </c>
      <c r="Q203" s="18" t="s">
        <v>358</v>
      </c>
      <c r="R203" s="18" t="s">
        <v>1228</v>
      </c>
      <c r="S203" s="17" t="s">
        <v>1229</v>
      </c>
      <c r="T203" s="18" t="s">
        <v>1230</v>
      </c>
      <c r="U203" s="19"/>
      <c r="V203" s="18" t="s">
        <v>1231</v>
      </c>
      <c r="W203" s="17" t="s">
        <v>240</v>
      </c>
      <c r="X203" s="17" t="s">
        <v>1232</v>
      </c>
      <c r="Y203" s="17" t="s">
        <v>242</v>
      </c>
      <c r="Z203" s="19"/>
      <c r="AA203" s="19"/>
      <c r="AB203" s="17"/>
      <c r="AC203" s="19"/>
    </row>
    <row r="204" customFormat="false" ht="22.35" hidden="false" customHeight="false" outlineLevel="0" collapsed="false">
      <c r="A204" s="10" t="s">
        <v>1233</v>
      </c>
      <c r="B204" s="17" t="s">
        <v>172</v>
      </c>
      <c r="C204" s="18" t="s">
        <v>173</v>
      </c>
      <c r="D204" s="17" t="s">
        <v>19</v>
      </c>
      <c r="E204" s="17" t="s">
        <v>75</v>
      </c>
      <c r="F204" s="17" t="s">
        <v>1036</v>
      </c>
      <c r="G204" s="17" t="s">
        <v>1037</v>
      </c>
      <c r="H204" s="17" t="s">
        <v>29</v>
      </c>
      <c r="I204" s="17" t="s">
        <v>289</v>
      </c>
      <c r="J204" s="17" t="s">
        <v>233</v>
      </c>
      <c r="K204" s="19"/>
      <c r="L204" s="19"/>
      <c r="M204" s="19"/>
      <c r="N204" s="19"/>
      <c r="O204" s="17" t="n">
        <v>1</v>
      </c>
      <c r="P204" s="18" t="s">
        <v>1227</v>
      </c>
      <c r="Q204" s="18" t="s">
        <v>358</v>
      </c>
      <c r="R204" s="18" t="s">
        <v>1234</v>
      </c>
      <c r="S204" s="17" t="s">
        <v>1226</v>
      </c>
      <c r="T204" s="18" t="s">
        <v>1235</v>
      </c>
      <c r="U204" s="19"/>
      <c r="V204" s="18" t="s">
        <v>1236</v>
      </c>
      <c r="W204" s="17" t="s">
        <v>240</v>
      </c>
      <c r="X204" s="17" t="s">
        <v>1237</v>
      </c>
      <c r="Y204" s="17" t="s">
        <v>242</v>
      </c>
      <c r="Z204" s="19"/>
      <c r="AA204" s="19"/>
      <c r="AB204" s="17"/>
      <c r="AC204" s="19"/>
    </row>
    <row r="205" customFormat="false" ht="32.8" hidden="false" customHeight="false" outlineLevel="0" collapsed="false">
      <c r="A205" s="10" t="s">
        <v>1238</v>
      </c>
      <c r="B205" s="17" t="s">
        <v>172</v>
      </c>
      <c r="C205" s="18" t="s">
        <v>173</v>
      </c>
      <c r="D205" s="17" t="s">
        <v>19</v>
      </c>
      <c r="E205" s="17" t="s">
        <v>75</v>
      </c>
      <c r="F205" s="17" t="s">
        <v>1036</v>
      </c>
      <c r="G205" s="17" t="s">
        <v>1037</v>
      </c>
      <c r="H205" s="17" t="s">
        <v>29</v>
      </c>
      <c r="I205" s="17" t="s">
        <v>369</v>
      </c>
      <c r="J205" s="17" t="s">
        <v>233</v>
      </c>
      <c r="K205" s="19"/>
      <c r="L205" s="19"/>
      <c r="M205" s="19"/>
      <c r="N205" s="19"/>
      <c r="O205" s="17" t="n">
        <v>1</v>
      </c>
      <c r="P205" s="18" t="s">
        <v>1227</v>
      </c>
      <c r="Q205" s="18" t="s">
        <v>358</v>
      </c>
      <c r="R205" s="18" t="s">
        <v>1239</v>
      </c>
      <c r="S205" s="17" t="s">
        <v>1233</v>
      </c>
      <c r="T205" s="18" t="s">
        <v>1240</v>
      </c>
      <c r="U205" s="19"/>
      <c r="V205" s="18" t="s">
        <v>1241</v>
      </c>
      <c r="W205" s="17" t="s">
        <v>240</v>
      </c>
      <c r="X205" s="17" t="s">
        <v>1242</v>
      </c>
      <c r="Y205" s="17" t="s">
        <v>242</v>
      </c>
      <c r="Z205" s="19"/>
      <c r="AA205" s="19"/>
      <c r="AB205" s="17"/>
      <c r="AC205" s="19"/>
    </row>
    <row r="206" customFormat="false" ht="22.35" hidden="false" customHeight="false" outlineLevel="0" collapsed="false">
      <c r="A206" s="10" t="s">
        <v>1243</v>
      </c>
      <c r="B206" s="17" t="s">
        <v>172</v>
      </c>
      <c r="C206" s="18" t="s">
        <v>173</v>
      </c>
      <c r="D206" s="17" t="s">
        <v>19</v>
      </c>
      <c r="E206" s="17" t="s">
        <v>229</v>
      </c>
      <c r="F206" s="17" t="s">
        <v>1036</v>
      </c>
      <c r="G206" s="17" t="s">
        <v>1037</v>
      </c>
      <c r="H206" s="17" t="s">
        <v>29</v>
      </c>
      <c r="I206" s="17" t="s">
        <v>289</v>
      </c>
      <c r="J206" s="17" t="s">
        <v>233</v>
      </c>
      <c r="K206" s="19"/>
      <c r="L206" s="19"/>
      <c r="M206" s="19"/>
      <c r="N206" s="19"/>
      <c r="O206" s="17" t="n">
        <v>1</v>
      </c>
      <c r="P206" s="18" t="s">
        <v>1227</v>
      </c>
      <c r="Q206" s="18" t="s">
        <v>1244</v>
      </c>
      <c r="R206" s="18" t="s">
        <v>1245</v>
      </c>
      <c r="S206" s="17" t="s">
        <v>1035</v>
      </c>
      <c r="T206" s="18" t="s">
        <v>1246</v>
      </c>
      <c r="U206" s="19"/>
      <c r="V206" s="18" t="s">
        <v>1247</v>
      </c>
      <c r="W206" s="17" t="s">
        <v>240</v>
      </c>
      <c r="X206" s="17" t="s">
        <v>1248</v>
      </c>
      <c r="Y206" s="17" t="s">
        <v>242</v>
      </c>
      <c r="Z206" s="19"/>
      <c r="AA206" s="19"/>
      <c r="AB206" s="17"/>
      <c r="AC206" s="19"/>
    </row>
    <row r="207" customFormat="false" ht="22.35" hidden="false" customHeight="false" outlineLevel="0" collapsed="false">
      <c r="A207" s="10" t="s">
        <v>1249</v>
      </c>
      <c r="B207" s="17" t="s">
        <v>172</v>
      </c>
      <c r="C207" s="18" t="s">
        <v>173</v>
      </c>
      <c r="D207" s="17" t="s">
        <v>19</v>
      </c>
      <c r="E207" s="17" t="s">
        <v>229</v>
      </c>
      <c r="F207" s="17" t="s">
        <v>1036</v>
      </c>
      <c r="G207" s="17" t="s">
        <v>1037</v>
      </c>
      <c r="H207" s="17" t="s">
        <v>29</v>
      </c>
      <c r="I207" s="17" t="s">
        <v>289</v>
      </c>
      <c r="J207" s="17" t="s">
        <v>233</v>
      </c>
      <c r="K207" s="19"/>
      <c r="L207" s="19"/>
      <c r="M207" s="19"/>
      <c r="N207" s="19"/>
      <c r="O207" s="17" t="n">
        <v>1</v>
      </c>
      <c r="P207" s="18" t="s">
        <v>1227</v>
      </c>
      <c r="Q207" s="18" t="s">
        <v>1244</v>
      </c>
      <c r="R207" s="18" t="s">
        <v>1250</v>
      </c>
      <c r="S207" s="17" t="s">
        <v>1251</v>
      </c>
      <c r="T207" s="18" t="s">
        <v>1252</v>
      </c>
      <c r="U207" s="19"/>
      <c r="V207" s="18" t="s">
        <v>1253</v>
      </c>
      <c r="W207" s="17" t="s">
        <v>383</v>
      </c>
      <c r="X207" s="17" t="s">
        <v>1254</v>
      </c>
      <c r="Y207" s="17" t="s">
        <v>242</v>
      </c>
      <c r="Z207" s="19"/>
      <c r="AA207" s="19"/>
      <c r="AB207" s="17"/>
      <c r="AC207" s="19"/>
    </row>
    <row r="208" customFormat="false" ht="22.35" hidden="false" customHeight="false" outlineLevel="0" collapsed="false">
      <c r="A208" s="10" t="s">
        <v>1255</v>
      </c>
      <c r="B208" s="17" t="s">
        <v>172</v>
      </c>
      <c r="C208" s="18" t="s">
        <v>173</v>
      </c>
      <c r="D208" s="17" t="s">
        <v>19</v>
      </c>
      <c r="E208" s="17" t="s">
        <v>75</v>
      </c>
      <c r="F208" s="17" t="s">
        <v>1036</v>
      </c>
      <c r="G208" s="17" t="s">
        <v>1037</v>
      </c>
      <c r="H208" s="17" t="s">
        <v>29</v>
      </c>
      <c r="I208" s="17" t="s">
        <v>289</v>
      </c>
      <c r="J208" s="17" t="s">
        <v>233</v>
      </c>
      <c r="K208" s="19"/>
      <c r="L208" s="19"/>
      <c r="M208" s="19"/>
      <c r="N208" s="19"/>
      <c r="O208" s="17" t="n">
        <v>1</v>
      </c>
      <c r="P208" s="18" t="s">
        <v>1227</v>
      </c>
      <c r="Q208" s="18" t="s">
        <v>1244</v>
      </c>
      <c r="R208" s="18" t="s">
        <v>1256</v>
      </c>
      <c r="S208" s="17" t="s">
        <v>1243</v>
      </c>
      <c r="T208" s="18" t="s">
        <v>1257</v>
      </c>
      <c r="U208" s="19"/>
      <c r="V208" s="18" t="s">
        <v>1258</v>
      </c>
      <c r="W208" s="17" t="s">
        <v>240</v>
      </c>
      <c r="X208" s="17" t="s">
        <v>1259</v>
      </c>
      <c r="Y208" s="17" t="s">
        <v>242</v>
      </c>
      <c r="Z208" s="19"/>
      <c r="AA208" s="19"/>
      <c r="AB208" s="17"/>
      <c r="AC208" s="19"/>
    </row>
    <row r="209" customFormat="false" ht="22.35" hidden="false" customHeight="false" outlineLevel="0" collapsed="false">
      <c r="A209" s="10" t="s">
        <v>1260</v>
      </c>
      <c r="B209" s="17" t="s">
        <v>172</v>
      </c>
      <c r="C209" s="18" t="s">
        <v>173</v>
      </c>
      <c r="D209" s="17" t="s">
        <v>19</v>
      </c>
      <c r="E209" s="17" t="s">
        <v>75</v>
      </c>
      <c r="F209" s="17" t="s">
        <v>1036</v>
      </c>
      <c r="G209" s="17" t="s">
        <v>1037</v>
      </c>
      <c r="H209" s="17" t="s">
        <v>29</v>
      </c>
      <c r="I209" s="17" t="s">
        <v>369</v>
      </c>
      <c r="J209" s="17" t="s">
        <v>233</v>
      </c>
      <c r="K209" s="19"/>
      <c r="L209" s="19"/>
      <c r="M209" s="19"/>
      <c r="N209" s="19"/>
      <c r="O209" s="17" t="n">
        <v>2</v>
      </c>
      <c r="P209" s="18" t="s">
        <v>1227</v>
      </c>
      <c r="Q209" s="18" t="s">
        <v>1261</v>
      </c>
      <c r="R209" s="18" t="s">
        <v>1262</v>
      </c>
      <c r="S209" s="17" t="s">
        <v>1218</v>
      </c>
      <c r="T209" s="18" t="s">
        <v>1263</v>
      </c>
      <c r="U209" s="19"/>
      <c r="V209" s="18" t="s">
        <v>1264</v>
      </c>
      <c r="W209" s="17" t="s">
        <v>240</v>
      </c>
      <c r="X209" s="17" t="s">
        <v>1265</v>
      </c>
      <c r="Y209" s="17" t="s">
        <v>242</v>
      </c>
      <c r="Z209" s="19"/>
      <c r="AA209" s="19"/>
      <c r="AB209" s="17"/>
      <c r="AC209" s="19"/>
    </row>
    <row r="210" customFormat="false" ht="22.35" hidden="false" customHeight="false" outlineLevel="0" collapsed="false">
      <c r="A210" s="10" t="s">
        <v>1266</v>
      </c>
      <c r="B210" s="17" t="s">
        <v>172</v>
      </c>
      <c r="C210" s="18" t="s">
        <v>173</v>
      </c>
      <c r="D210" s="17" t="s">
        <v>19</v>
      </c>
      <c r="E210" s="17" t="s">
        <v>75</v>
      </c>
      <c r="F210" s="17" t="s">
        <v>1036</v>
      </c>
      <c r="G210" s="17" t="s">
        <v>1037</v>
      </c>
      <c r="H210" s="17" t="s">
        <v>29</v>
      </c>
      <c r="I210" s="17" t="s">
        <v>369</v>
      </c>
      <c r="J210" s="17" t="s">
        <v>233</v>
      </c>
      <c r="K210" s="19"/>
      <c r="L210" s="19"/>
      <c r="M210" s="19"/>
      <c r="N210" s="19"/>
      <c r="O210" s="17" t="n">
        <v>2</v>
      </c>
      <c r="P210" s="18" t="s">
        <v>1227</v>
      </c>
      <c r="Q210" s="18" t="s">
        <v>1261</v>
      </c>
      <c r="R210" s="18" t="s">
        <v>1267</v>
      </c>
      <c r="S210" s="17" t="s">
        <v>1035</v>
      </c>
      <c r="T210" s="18" t="s">
        <v>1268</v>
      </c>
      <c r="U210" s="19"/>
      <c r="V210" s="18" t="s">
        <v>1269</v>
      </c>
      <c r="W210" s="17" t="s">
        <v>240</v>
      </c>
      <c r="X210" s="17" t="s">
        <v>1270</v>
      </c>
      <c r="Y210" s="17" t="s">
        <v>242</v>
      </c>
      <c r="Z210" s="19"/>
      <c r="AA210" s="19"/>
      <c r="AB210" s="17"/>
      <c r="AC210" s="19"/>
    </row>
    <row r="211" customFormat="false" ht="22.35" hidden="false" customHeight="false" outlineLevel="0" collapsed="false">
      <c r="A211" s="10" t="s">
        <v>1271</v>
      </c>
      <c r="B211" s="17" t="s">
        <v>172</v>
      </c>
      <c r="C211" s="18" t="s">
        <v>173</v>
      </c>
      <c r="D211" s="17" t="s">
        <v>19</v>
      </c>
      <c r="E211" s="17" t="s">
        <v>75</v>
      </c>
      <c r="F211" s="17" t="s">
        <v>1036</v>
      </c>
      <c r="G211" s="17" t="s">
        <v>1037</v>
      </c>
      <c r="H211" s="17" t="s">
        <v>29</v>
      </c>
      <c r="I211" s="17" t="s">
        <v>283</v>
      </c>
      <c r="J211" s="17" t="s">
        <v>233</v>
      </c>
      <c r="K211" s="19"/>
      <c r="L211" s="19"/>
      <c r="M211" s="19"/>
      <c r="N211" s="19"/>
      <c r="O211" s="17" t="n">
        <v>2</v>
      </c>
      <c r="P211" s="18" t="s">
        <v>1227</v>
      </c>
      <c r="Q211" s="18" t="s">
        <v>1261</v>
      </c>
      <c r="R211" s="18" t="s">
        <v>1272</v>
      </c>
      <c r="S211" s="17" t="s">
        <v>237</v>
      </c>
      <c r="T211" s="18" t="s">
        <v>1082</v>
      </c>
      <c r="U211" s="19"/>
      <c r="V211" s="18" t="s">
        <v>1083</v>
      </c>
      <c r="W211" s="17" t="s">
        <v>240</v>
      </c>
      <c r="X211" s="17" t="s">
        <v>1084</v>
      </c>
      <c r="Y211" s="17" t="s">
        <v>242</v>
      </c>
      <c r="Z211" s="19"/>
      <c r="AA211" s="19"/>
      <c r="AB211" s="17"/>
      <c r="AC211" s="19"/>
    </row>
    <row r="212" customFormat="false" ht="22.35" hidden="false" customHeight="false" outlineLevel="0" collapsed="false">
      <c r="A212" s="10" t="s">
        <v>1273</v>
      </c>
      <c r="B212" s="17" t="s">
        <v>65</v>
      </c>
      <c r="C212" s="18" t="s">
        <v>66</v>
      </c>
      <c r="D212" s="17" t="s">
        <v>19</v>
      </c>
      <c r="E212" s="17" t="s">
        <v>229</v>
      </c>
      <c r="F212" s="17" t="s">
        <v>1036</v>
      </c>
      <c r="G212" s="17" t="s">
        <v>1274</v>
      </c>
      <c r="H212" s="17" t="s">
        <v>29</v>
      </c>
      <c r="I212" s="17" t="s">
        <v>232</v>
      </c>
      <c r="J212" s="17" t="s">
        <v>233</v>
      </c>
      <c r="K212" s="19"/>
      <c r="L212" s="19"/>
      <c r="M212" s="19"/>
      <c r="N212" s="19"/>
      <c r="O212" s="17" t="n">
        <v>0</v>
      </c>
      <c r="P212" s="18" t="s">
        <v>1275</v>
      </c>
      <c r="Q212" s="18" t="s">
        <v>1276</v>
      </c>
      <c r="R212" s="18" t="s">
        <v>1277</v>
      </c>
      <c r="S212" s="17" t="s">
        <v>443</v>
      </c>
      <c r="T212" s="18" t="s">
        <v>1278</v>
      </c>
      <c r="U212" s="19"/>
      <c r="V212" s="18" t="s">
        <v>1279</v>
      </c>
      <c r="W212" s="17" t="s">
        <v>240</v>
      </c>
      <c r="X212" s="17" t="s">
        <v>1280</v>
      </c>
      <c r="Y212" s="17" t="s">
        <v>242</v>
      </c>
      <c r="Z212" s="19"/>
      <c r="AA212" s="19"/>
      <c r="AB212" s="17"/>
      <c r="AC212" s="19"/>
    </row>
    <row r="213" customFormat="false" ht="22.35" hidden="false" customHeight="false" outlineLevel="0" collapsed="false">
      <c r="A213" s="10" t="s">
        <v>1281</v>
      </c>
      <c r="B213" s="17" t="s">
        <v>65</v>
      </c>
      <c r="C213" s="18" t="s">
        <v>66</v>
      </c>
      <c r="D213" s="17" t="s">
        <v>19</v>
      </c>
      <c r="E213" s="17" t="s">
        <v>229</v>
      </c>
      <c r="F213" s="17" t="s">
        <v>1036</v>
      </c>
      <c r="G213" s="17" t="s">
        <v>1274</v>
      </c>
      <c r="H213" s="17" t="s">
        <v>29</v>
      </c>
      <c r="I213" s="17" t="s">
        <v>232</v>
      </c>
      <c r="J213" s="17" t="s">
        <v>233</v>
      </c>
      <c r="K213" s="19"/>
      <c r="L213" s="19"/>
      <c r="M213" s="19"/>
      <c r="N213" s="19"/>
      <c r="O213" s="17" t="n">
        <v>0</v>
      </c>
      <c r="P213" s="18" t="s">
        <v>1275</v>
      </c>
      <c r="Q213" s="18" t="s">
        <v>1276</v>
      </c>
      <c r="R213" s="18" t="s">
        <v>1282</v>
      </c>
      <c r="S213" s="17" t="s">
        <v>443</v>
      </c>
      <c r="T213" s="18" t="s">
        <v>1283</v>
      </c>
      <c r="U213" s="19"/>
      <c r="V213" s="18" t="s">
        <v>1284</v>
      </c>
      <c r="W213" s="17" t="s">
        <v>240</v>
      </c>
      <c r="X213" s="17" t="s">
        <v>1280</v>
      </c>
      <c r="Y213" s="17" t="s">
        <v>242</v>
      </c>
      <c r="Z213" s="19"/>
      <c r="AA213" s="19"/>
      <c r="AB213" s="17"/>
      <c r="AC213" s="19"/>
    </row>
    <row r="214" customFormat="false" ht="22.35" hidden="false" customHeight="false" outlineLevel="0" collapsed="false">
      <c r="A214" s="10" t="s">
        <v>1285</v>
      </c>
      <c r="B214" s="17" t="s">
        <v>65</v>
      </c>
      <c r="C214" s="18" t="s">
        <v>66</v>
      </c>
      <c r="D214" s="17" t="s">
        <v>19</v>
      </c>
      <c r="E214" s="17" t="s">
        <v>229</v>
      </c>
      <c r="F214" s="17" t="s">
        <v>1036</v>
      </c>
      <c r="G214" s="17" t="s">
        <v>1274</v>
      </c>
      <c r="H214" s="17" t="s">
        <v>29</v>
      </c>
      <c r="I214" s="17" t="s">
        <v>232</v>
      </c>
      <c r="J214" s="17" t="s">
        <v>233</v>
      </c>
      <c r="K214" s="19"/>
      <c r="L214" s="19"/>
      <c r="M214" s="19"/>
      <c r="N214" s="19"/>
      <c r="O214" s="17" t="n">
        <v>0</v>
      </c>
      <c r="P214" s="18" t="s">
        <v>1275</v>
      </c>
      <c r="Q214" s="18" t="s">
        <v>1276</v>
      </c>
      <c r="R214" s="18" t="s">
        <v>1286</v>
      </c>
      <c r="S214" s="17" t="s">
        <v>1273</v>
      </c>
      <c r="T214" s="18" t="s">
        <v>1287</v>
      </c>
      <c r="U214" s="19"/>
      <c r="V214" s="18" t="s">
        <v>1288</v>
      </c>
      <c r="W214" s="17" t="s">
        <v>240</v>
      </c>
      <c r="X214" s="17" t="s">
        <v>1289</v>
      </c>
      <c r="Y214" s="17" t="s">
        <v>242</v>
      </c>
      <c r="Z214" s="19"/>
      <c r="AA214" s="19"/>
      <c r="AB214" s="17"/>
      <c r="AC214" s="19"/>
    </row>
    <row r="215" customFormat="false" ht="22.35" hidden="false" customHeight="false" outlineLevel="0" collapsed="false">
      <c r="A215" s="10" t="s">
        <v>1290</v>
      </c>
      <c r="B215" s="17" t="s">
        <v>65</v>
      </c>
      <c r="C215" s="18" t="s">
        <v>66</v>
      </c>
      <c r="D215" s="17" t="s">
        <v>19</v>
      </c>
      <c r="E215" s="17" t="s">
        <v>229</v>
      </c>
      <c r="F215" s="17" t="s">
        <v>1036</v>
      </c>
      <c r="G215" s="17" t="s">
        <v>1274</v>
      </c>
      <c r="H215" s="17" t="s">
        <v>29</v>
      </c>
      <c r="I215" s="17" t="s">
        <v>232</v>
      </c>
      <c r="J215" s="17" t="s">
        <v>233</v>
      </c>
      <c r="K215" s="19"/>
      <c r="L215" s="19"/>
      <c r="M215" s="19"/>
      <c r="N215" s="19"/>
      <c r="O215" s="17" t="n">
        <v>0</v>
      </c>
      <c r="P215" s="18" t="s">
        <v>1275</v>
      </c>
      <c r="Q215" s="18" t="s">
        <v>1276</v>
      </c>
      <c r="R215" s="18" t="s">
        <v>1291</v>
      </c>
      <c r="S215" s="17" t="s">
        <v>1285</v>
      </c>
      <c r="T215" s="18" t="s">
        <v>1292</v>
      </c>
      <c r="U215" s="19"/>
      <c r="V215" s="18" t="s">
        <v>1293</v>
      </c>
      <c r="W215" s="17" t="s">
        <v>240</v>
      </c>
      <c r="X215" s="17" t="s">
        <v>1294</v>
      </c>
      <c r="Y215" s="17" t="s">
        <v>242</v>
      </c>
      <c r="Z215" s="19"/>
      <c r="AA215" s="19"/>
      <c r="AB215" s="17"/>
      <c r="AC215" s="19"/>
    </row>
    <row r="216" customFormat="false" ht="22.35" hidden="false" customHeight="false" outlineLevel="0" collapsed="false">
      <c r="A216" s="10" t="s">
        <v>1295</v>
      </c>
      <c r="B216" s="17" t="s">
        <v>65</v>
      </c>
      <c r="C216" s="18" t="s">
        <v>66</v>
      </c>
      <c r="D216" s="17" t="s">
        <v>19</v>
      </c>
      <c r="E216" s="17" t="s">
        <v>229</v>
      </c>
      <c r="F216" s="17" t="s">
        <v>1036</v>
      </c>
      <c r="G216" s="17" t="s">
        <v>1274</v>
      </c>
      <c r="H216" s="17" t="s">
        <v>29</v>
      </c>
      <c r="I216" s="17" t="s">
        <v>232</v>
      </c>
      <c r="J216" s="17" t="s">
        <v>233</v>
      </c>
      <c r="K216" s="19"/>
      <c r="L216" s="19"/>
      <c r="M216" s="19"/>
      <c r="N216" s="19"/>
      <c r="O216" s="17" t="n">
        <v>0</v>
      </c>
      <c r="P216" s="18" t="s">
        <v>1275</v>
      </c>
      <c r="Q216" s="18" t="s">
        <v>1276</v>
      </c>
      <c r="R216" s="18" t="s">
        <v>1296</v>
      </c>
      <c r="S216" s="17" t="s">
        <v>237</v>
      </c>
      <c r="T216" s="18" t="s">
        <v>1297</v>
      </c>
      <c r="U216" s="19"/>
      <c r="V216" s="18" t="s">
        <v>1298</v>
      </c>
      <c r="W216" s="17" t="s">
        <v>240</v>
      </c>
      <c r="X216" s="17" t="s">
        <v>1299</v>
      </c>
      <c r="Y216" s="17" t="s">
        <v>242</v>
      </c>
      <c r="Z216" s="19"/>
      <c r="AA216" s="19"/>
      <c r="AB216" s="17"/>
      <c r="AC216" s="19"/>
    </row>
    <row r="217" customFormat="false" ht="32.8" hidden="false" customHeight="false" outlineLevel="0" collapsed="false">
      <c r="A217" s="10" t="s">
        <v>1300</v>
      </c>
      <c r="B217" s="17" t="s">
        <v>65</v>
      </c>
      <c r="C217" s="18" t="s">
        <v>66</v>
      </c>
      <c r="D217" s="17" t="s">
        <v>19</v>
      </c>
      <c r="E217" s="17" t="s">
        <v>229</v>
      </c>
      <c r="F217" s="17" t="s">
        <v>1036</v>
      </c>
      <c r="G217" s="17" t="s">
        <v>1274</v>
      </c>
      <c r="H217" s="17" t="s">
        <v>29</v>
      </c>
      <c r="I217" s="17" t="s">
        <v>232</v>
      </c>
      <c r="J217" s="17" t="s">
        <v>233</v>
      </c>
      <c r="K217" s="19"/>
      <c r="L217" s="19"/>
      <c r="M217" s="19"/>
      <c r="N217" s="19"/>
      <c r="O217" s="17" t="n">
        <v>0</v>
      </c>
      <c r="P217" s="18" t="s">
        <v>1275</v>
      </c>
      <c r="Q217" s="18" t="s">
        <v>1301</v>
      </c>
      <c r="R217" s="18" t="s">
        <v>1302</v>
      </c>
      <c r="S217" s="17" t="s">
        <v>1303</v>
      </c>
      <c r="T217" s="18" t="s">
        <v>1304</v>
      </c>
      <c r="U217" s="19"/>
      <c r="V217" s="18" t="s">
        <v>1305</v>
      </c>
      <c r="W217" s="17" t="s">
        <v>240</v>
      </c>
      <c r="X217" s="17" t="s">
        <v>1306</v>
      </c>
      <c r="Y217" s="17" t="s">
        <v>242</v>
      </c>
      <c r="Z217" s="19"/>
      <c r="AA217" s="19"/>
      <c r="AB217" s="17"/>
      <c r="AC217" s="19"/>
    </row>
    <row r="218" customFormat="false" ht="22.35" hidden="false" customHeight="false" outlineLevel="0" collapsed="false">
      <c r="A218" s="10" t="s">
        <v>1307</v>
      </c>
      <c r="B218" s="17" t="s">
        <v>65</v>
      </c>
      <c r="C218" s="18" t="s">
        <v>66</v>
      </c>
      <c r="D218" s="17" t="s">
        <v>19</v>
      </c>
      <c r="E218" s="17" t="s">
        <v>229</v>
      </c>
      <c r="F218" s="17" t="s">
        <v>1036</v>
      </c>
      <c r="G218" s="17" t="s">
        <v>1274</v>
      </c>
      <c r="H218" s="17" t="s">
        <v>29</v>
      </c>
      <c r="I218" s="17" t="s">
        <v>232</v>
      </c>
      <c r="J218" s="17" t="s">
        <v>233</v>
      </c>
      <c r="K218" s="19"/>
      <c r="L218" s="19"/>
      <c r="M218" s="19"/>
      <c r="N218" s="19"/>
      <c r="O218" s="17" t="n">
        <v>0</v>
      </c>
      <c r="P218" s="18" t="s">
        <v>1275</v>
      </c>
      <c r="Q218" s="18" t="s">
        <v>1301</v>
      </c>
      <c r="R218" s="18" t="s">
        <v>1308</v>
      </c>
      <c r="S218" s="17" t="s">
        <v>1309</v>
      </c>
      <c r="T218" s="18" t="s">
        <v>1310</v>
      </c>
      <c r="U218" s="19"/>
      <c r="V218" s="18" t="s">
        <v>1311</v>
      </c>
      <c r="W218" s="17" t="s">
        <v>240</v>
      </c>
      <c r="X218" s="17" t="s">
        <v>1312</v>
      </c>
      <c r="Y218" s="17" t="s">
        <v>242</v>
      </c>
      <c r="Z218" s="19"/>
      <c r="AA218" s="19"/>
      <c r="AB218" s="17"/>
      <c r="AC218" s="19"/>
    </row>
    <row r="219" customFormat="false" ht="22.35" hidden="false" customHeight="false" outlineLevel="0" collapsed="false">
      <c r="A219" s="10" t="s">
        <v>1313</v>
      </c>
      <c r="B219" s="17" t="s">
        <v>65</v>
      </c>
      <c r="C219" s="18" t="s">
        <v>66</v>
      </c>
      <c r="D219" s="17" t="s">
        <v>19</v>
      </c>
      <c r="E219" s="17" t="s">
        <v>229</v>
      </c>
      <c r="F219" s="17" t="s">
        <v>1036</v>
      </c>
      <c r="G219" s="17" t="s">
        <v>1274</v>
      </c>
      <c r="H219" s="17" t="s">
        <v>29</v>
      </c>
      <c r="I219" s="17" t="s">
        <v>283</v>
      </c>
      <c r="J219" s="17" t="s">
        <v>233</v>
      </c>
      <c r="K219" s="19"/>
      <c r="L219" s="19"/>
      <c r="M219" s="19"/>
      <c r="N219" s="19"/>
      <c r="O219" s="17" t="n">
        <v>0</v>
      </c>
      <c r="P219" s="18" t="s">
        <v>1275</v>
      </c>
      <c r="Q219" s="18" t="s">
        <v>1301</v>
      </c>
      <c r="R219" s="18" t="s">
        <v>1314</v>
      </c>
      <c r="S219" s="17" t="s">
        <v>237</v>
      </c>
      <c r="T219" s="18" t="s">
        <v>1082</v>
      </c>
      <c r="U219" s="19"/>
      <c r="V219" s="18" t="s">
        <v>1083</v>
      </c>
      <c r="W219" s="17" t="s">
        <v>240</v>
      </c>
      <c r="X219" s="17" t="s">
        <v>1084</v>
      </c>
      <c r="Y219" s="17" t="s">
        <v>242</v>
      </c>
      <c r="Z219" s="19"/>
      <c r="AA219" s="19"/>
      <c r="AB219" s="17"/>
      <c r="AC219" s="19"/>
    </row>
    <row r="220" customFormat="false" ht="22.35" hidden="false" customHeight="false" outlineLevel="0" collapsed="false">
      <c r="A220" s="10" t="s">
        <v>1315</v>
      </c>
      <c r="B220" s="17" t="s">
        <v>65</v>
      </c>
      <c r="C220" s="18" t="s">
        <v>66</v>
      </c>
      <c r="D220" s="17" t="s">
        <v>19</v>
      </c>
      <c r="E220" s="17" t="s">
        <v>75</v>
      </c>
      <c r="F220" s="17" t="s">
        <v>1036</v>
      </c>
      <c r="G220" s="17" t="s">
        <v>1274</v>
      </c>
      <c r="H220" s="17" t="s">
        <v>29</v>
      </c>
      <c r="I220" s="17" t="s">
        <v>316</v>
      </c>
      <c r="J220" s="17" t="s">
        <v>233</v>
      </c>
      <c r="K220" s="19"/>
      <c r="L220" s="19"/>
      <c r="M220" s="19"/>
      <c r="N220" s="19"/>
      <c r="O220" s="17" t="n">
        <v>1</v>
      </c>
      <c r="P220" s="18" t="s">
        <v>1316</v>
      </c>
      <c r="Q220" s="18" t="s">
        <v>1317</v>
      </c>
      <c r="R220" s="18" t="s">
        <v>1318</v>
      </c>
      <c r="S220" s="17" t="s">
        <v>1319</v>
      </c>
      <c r="T220" s="18" t="s">
        <v>1320</v>
      </c>
      <c r="U220" s="19"/>
      <c r="V220" s="18" t="s">
        <v>1321</v>
      </c>
      <c r="W220" s="17" t="s">
        <v>240</v>
      </c>
      <c r="X220" s="17" t="s">
        <v>1322</v>
      </c>
      <c r="Y220" s="17" t="s">
        <v>242</v>
      </c>
      <c r="Z220" s="19"/>
      <c r="AA220" s="19"/>
      <c r="AB220" s="17"/>
      <c r="AC220" s="19"/>
    </row>
    <row r="221" customFormat="false" ht="22.35" hidden="false" customHeight="false" outlineLevel="0" collapsed="false">
      <c r="A221" s="10" t="s">
        <v>1323</v>
      </c>
      <c r="B221" s="17" t="s">
        <v>65</v>
      </c>
      <c r="C221" s="18" t="s">
        <v>66</v>
      </c>
      <c r="D221" s="17" t="s">
        <v>19</v>
      </c>
      <c r="E221" s="17" t="s">
        <v>229</v>
      </c>
      <c r="F221" s="17" t="s">
        <v>1036</v>
      </c>
      <c r="G221" s="17" t="s">
        <v>1274</v>
      </c>
      <c r="H221" s="17" t="s">
        <v>29</v>
      </c>
      <c r="I221" s="17" t="s">
        <v>316</v>
      </c>
      <c r="J221" s="17" t="s">
        <v>233</v>
      </c>
      <c r="K221" s="19"/>
      <c r="L221" s="19"/>
      <c r="M221" s="19"/>
      <c r="N221" s="19"/>
      <c r="O221" s="17" t="n">
        <v>1</v>
      </c>
      <c r="P221" s="18" t="s">
        <v>1316</v>
      </c>
      <c r="Q221" s="18" t="s">
        <v>1317</v>
      </c>
      <c r="R221" s="18" t="s">
        <v>1324</v>
      </c>
      <c r="S221" s="17" t="s">
        <v>1325</v>
      </c>
      <c r="T221" s="18" t="s">
        <v>1326</v>
      </c>
      <c r="U221" s="19"/>
      <c r="V221" s="18" t="s">
        <v>1327</v>
      </c>
      <c r="W221" s="17" t="s">
        <v>240</v>
      </c>
      <c r="X221" s="17" t="s">
        <v>1328</v>
      </c>
      <c r="Y221" s="17" t="s">
        <v>242</v>
      </c>
      <c r="Z221" s="19"/>
      <c r="AA221" s="19"/>
      <c r="AB221" s="17"/>
      <c r="AC221" s="19"/>
    </row>
    <row r="222" customFormat="false" ht="22.35" hidden="false" customHeight="false" outlineLevel="0" collapsed="false">
      <c r="A222" s="10" t="s">
        <v>1329</v>
      </c>
      <c r="B222" s="17" t="s">
        <v>65</v>
      </c>
      <c r="C222" s="18" t="s">
        <v>66</v>
      </c>
      <c r="D222" s="17" t="s">
        <v>19</v>
      </c>
      <c r="E222" s="17" t="s">
        <v>75</v>
      </c>
      <c r="F222" s="17" t="s">
        <v>1036</v>
      </c>
      <c r="G222" s="17" t="s">
        <v>1274</v>
      </c>
      <c r="H222" s="17" t="s">
        <v>29</v>
      </c>
      <c r="I222" s="17" t="s">
        <v>316</v>
      </c>
      <c r="J222" s="17" t="s">
        <v>233</v>
      </c>
      <c r="K222" s="19"/>
      <c r="L222" s="19"/>
      <c r="M222" s="19"/>
      <c r="N222" s="19"/>
      <c r="O222" s="17" t="n">
        <v>1</v>
      </c>
      <c r="P222" s="18" t="s">
        <v>1316</v>
      </c>
      <c r="Q222" s="18" t="s">
        <v>1317</v>
      </c>
      <c r="R222" s="18" t="s">
        <v>1330</v>
      </c>
      <c r="S222" s="17" t="s">
        <v>1315</v>
      </c>
      <c r="T222" s="18" t="s">
        <v>1331</v>
      </c>
      <c r="U222" s="19"/>
      <c r="V222" s="18" t="s">
        <v>1332</v>
      </c>
      <c r="W222" s="17" t="s">
        <v>240</v>
      </c>
      <c r="X222" s="17" t="s">
        <v>1322</v>
      </c>
      <c r="Y222" s="17" t="s">
        <v>242</v>
      </c>
      <c r="Z222" s="19"/>
      <c r="AA222" s="19"/>
      <c r="AB222" s="17"/>
      <c r="AC222" s="19"/>
    </row>
    <row r="223" customFormat="false" ht="22.35" hidden="false" customHeight="false" outlineLevel="0" collapsed="false">
      <c r="A223" s="10" t="s">
        <v>1333</v>
      </c>
      <c r="B223" s="17" t="s">
        <v>65</v>
      </c>
      <c r="C223" s="18" t="s">
        <v>66</v>
      </c>
      <c r="D223" s="17" t="s">
        <v>19</v>
      </c>
      <c r="E223" s="17" t="s">
        <v>75</v>
      </c>
      <c r="F223" s="17" t="s">
        <v>1036</v>
      </c>
      <c r="G223" s="17" t="s">
        <v>1274</v>
      </c>
      <c r="H223" s="17" t="s">
        <v>29</v>
      </c>
      <c r="I223" s="17" t="s">
        <v>316</v>
      </c>
      <c r="J223" s="17" t="s">
        <v>233</v>
      </c>
      <c r="K223" s="19"/>
      <c r="L223" s="19"/>
      <c r="M223" s="19"/>
      <c r="N223" s="19"/>
      <c r="O223" s="17" t="n">
        <v>1</v>
      </c>
      <c r="P223" s="18" t="s">
        <v>1316</v>
      </c>
      <c r="Q223" s="18" t="s">
        <v>1317</v>
      </c>
      <c r="R223" s="18" t="s">
        <v>1334</v>
      </c>
      <c r="S223" s="17" t="s">
        <v>1329</v>
      </c>
      <c r="T223" s="18" t="s">
        <v>1335</v>
      </c>
      <c r="U223" s="19"/>
      <c r="V223" s="18" t="s">
        <v>1336</v>
      </c>
      <c r="W223" s="17" t="s">
        <v>240</v>
      </c>
      <c r="X223" s="17" t="s">
        <v>1337</v>
      </c>
      <c r="Y223" s="17" t="s">
        <v>242</v>
      </c>
      <c r="Z223" s="19"/>
      <c r="AA223" s="19"/>
      <c r="AB223" s="17"/>
      <c r="AC223" s="19"/>
    </row>
    <row r="224" customFormat="false" ht="22.35" hidden="false" customHeight="false" outlineLevel="0" collapsed="false">
      <c r="A224" s="10" t="s">
        <v>1338</v>
      </c>
      <c r="B224" s="17" t="s">
        <v>65</v>
      </c>
      <c r="C224" s="18" t="s">
        <v>66</v>
      </c>
      <c r="D224" s="17" t="s">
        <v>19</v>
      </c>
      <c r="E224" s="17" t="s">
        <v>75</v>
      </c>
      <c r="F224" s="17" t="s">
        <v>1036</v>
      </c>
      <c r="G224" s="17" t="s">
        <v>1274</v>
      </c>
      <c r="H224" s="17" t="s">
        <v>29</v>
      </c>
      <c r="I224" s="17" t="s">
        <v>893</v>
      </c>
      <c r="J224" s="17" t="s">
        <v>233</v>
      </c>
      <c r="K224" s="19"/>
      <c r="L224" s="19"/>
      <c r="M224" s="19"/>
      <c r="N224" s="19"/>
      <c r="O224" s="17" t="n">
        <v>1</v>
      </c>
      <c r="P224" s="18" t="s">
        <v>1316</v>
      </c>
      <c r="Q224" s="18" t="s">
        <v>1339</v>
      </c>
      <c r="R224" s="18" t="s">
        <v>1340</v>
      </c>
      <c r="S224" s="17" t="s">
        <v>1341</v>
      </c>
      <c r="T224" s="18" t="s">
        <v>1342</v>
      </c>
      <c r="U224" s="19"/>
      <c r="V224" s="18" t="s">
        <v>1343</v>
      </c>
      <c r="W224" s="17" t="s">
        <v>240</v>
      </c>
      <c r="X224" s="17" t="s">
        <v>1344</v>
      </c>
      <c r="Y224" s="17" t="s">
        <v>242</v>
      </c>
      <c r="Z224" s="19"/>
      <c r="AA224" s="19"/>
      <c r="AB224" s="17"/>
      <c r="AC224" s="19"/>
    </row>
    <row r="225" customFormat="false" ht="22.35" hidden="false" customHeight="false" outlineLevel="0" collapsed="false">
      <c r="A225" s="10" t="s">
        <v>1345</v>
      </c>
      <c r="B225" s="17" t="s">
        <v>65</v>
      </c>
      <c r="C225" s="18" t="s">
        <v>66</v>
      </c>
      <c r="D225" s="17" t="s">
        <v>19</v>
      </c>
      <c r="E225" s="17" t="s">
        <v>75</v>
      </c>
      <c r="F225" s="17" t="s">
        <v>1036</v>
      </c>
      <c r="G225" s="17" t="s">
        <v>1274</v>
      </c>
      <c r="H225" s="17" t="s">
        <v>29</v>
      </c>
      <c r="I225" s="17" t="s">
        <v>1346</v>
      </c>
      <c r="J225" s="17" t="s">
        <v>233</v>
      </c>
      <c r="K225" s="19"/>
      <c r="L225" s="19"/>
      <c r="M225" s="19"/>
      <c r="N225" s="19"/>
      <c r="O225" s="17" t="n">
        <v>1</v>
      </c>
      <c r="P225" s="18" t="s">
        <v>1316</v>
      </c>
      <c r="Q225" s="18" t="s">
        <v>1339</v>
      </c>
      <c r="R225" s="18" t="s">
        <v>1347</v>
      </c>
      <c r="S225" s="17" t="s">
        <v>1338</v>
      </c>
      <c r="T225" s="18" t="s">
        <v>1348</v>
      </c>
      <c r="U225" s="19"/>
      <c r="V225" s="18" t="s">
        <v>1349</v>
      </c>
      <c r="W225" s="17" t="s">
        <v>240</v>
      </c>
      <c r="X225" s="17" t="s">
        <v>1350</v>
      </c>
      <c r="Y225" s="17" t="s">
        <v>242</v>
      </c>
      <c r="Z225" s="19"/>
      <c r="AA225" s="19"/>
      <c r="AB225" s="17"/>
      <c r="AC225" s="19"/>
    </row>
    <row r="226" customFormat="false" ht="22.35" hidden="false" customHeight="false" outlineLevel="0" collapsed="false">
      <c r="A226" s="10" t="s">
        <v>1351</v>
      </c>
      <c r="B226" s="17" t="s">
        <v>65</v>
      </c>
      <c r="C226" s="18" t="s">
        <v>66</v>
      </c>
      <c r="D226" s="17" t="s">
        <v>19</v>
      </c>
      <c r="E226" s="17" t="s">
        <v>75</v>
      </c>
      <c r="F226" s="17" t="s">
        <v>1036</v>
      </c>
      <c r="G226" s="17" t="s">
        <v>1274</v>
      </c>
      <c r="H226" s="17" t="s">
        <v>29</v>
      </c>
      <c r="I226" s="17" t="s">
        <v>283</v>
      </c>
      <c r="J226" s="17" t="s">
        <v>233</v>
      </c>
      <c r="K226" s="19"/>
      <c r="L226" s="19"/>
      <c r="M226" s="19"/>
      <c r="N226" s="19"/>
      <c r="O226" s="17" t="n">
        <v>1</v>
      </c>
      <c r="P226" s="18" t="s">
        <v>1316</v>
      </c>
      <c r="Q226" s="18" t="s">
        <v>1339</v>
      </c>
      <c r="R226" s="18" t="s">
        <v>1352</v>
      </c>
      <c r="S226" s="17" t="s">
        <v>237</v>
      </c>
      <c r="T226" s="18" t="s">
        <v>1082</v>
      </c>
      <c r="U226" s="19"/>
      <c r="V226" s="18" t="s">
        <v>1083</v>
      </c>
      <c r="W226" s="17" t="s">
        <v>240</v>
      </c>
      <c r="X226" s="17" t="s">
        <v>1084</v>
      </c>
      <c r="Y226" s="17" t="s">
        <v>242</v>
      </c>
      <c r="Z226" s="19"/>
      <c r="AA226" s="19"/>
      <c r="AB226" s="17"/>
      <c r="AC226" s="19"/>
    </row>
    <row r="227" customFormat="false" ht="22.35" hidden="false" customHeight="false" outlineLevel="0" collapsed="false">
      <c r="A227" s="10" t="s">
        <v>1353</v>
      </c>
      <c r="B227" s="17" t="s">
        <v>65</v>
      </c>
      <c r="C227" s="18" t="s">
        <v>66</v>
      </c>
      <c r="D227" s="17" t="s">
        <v>19</v>
      </c>
      <c r="E227" s="17" t="s">
        <v>75</v>
      </c>
      <c r="F227" s="17" t="s">
        <v>1036</v>
      </c>
      <c r="G227" s="17" t="s">
        <v>1274</v>
      </c>
      <c r="H227" s="17" t="s">
        <v>29</v>
      </c>
      <c r="I227" s="17" t="s">
        <v>316</v>
      </c>
      <c r="J227" s="17" t="s">
        <v>233</v>
      </c>
      <c r="K227" s="19"/>
      <c r="L227" s="19"/>
      <c r="M227" s="19"/>
      <c r="N227" s="19"/>
      <c r="O227" s="17" t="n">
        <v>1</v>
      </c>
      <c r="P227" s="18" t="s">
        <v>1354</v>
      </c>
      <c r="Q227" s="18" t="s">
        <v>1355</v>
      </c>
      <c r="R227" s="18" t="s">
        <v>1356</v>
      </c>
      <c r="S227" s="17" t="s">
        <v>1357</v>
      </c>
      <c r="T227" s="18" t="s">
        <v>1358</v>
      </c>
      <c r="U227" s="19"/>
      <c r="V227" s="18" t="s">
        <v>1359</v>
      </c>
      <c r="W227" s="17" t="s">
        <v>240</v>
      </c>
      <c r="X227" s="17" t="s">
        <v>1360</v>
      </c>
      <c r="Y227" s="17" t="s">
        <v>242</v>
      </c>
      <c r="Z227" s="19"/>
      <c r="AA227" s="19"/>
      <c r="AB227" s="17"/>
      <c r="AC227" s="19"/>
    </row>
    <row r="228" customFormat="false" ht="22.35" hidden="false" customHeight="false" outlineLevel="0" collapsed="false">
      <c r="A228" s="10" t="s">
        <v>1361</v>
      </c>
      <c r="B228" s="17" t="s">
        <v>65</v>
      </c>
      <c r="C228" s="18" t="s">
        <v>66</v>
      </c>
      <c r="D228" s="17" t="s">
        <v>19</v>
      </c>
      <c r="E228" s="17" t="s">
        <v>75</v>
      </c>
      <c r="F228" s="17" t="s">
        <v>1036</v>
      </c>
      <c r="G228" s="17" t="s">
        <v>1274</v>
      </c>
      <c r="H228" s="17" t="s">
        <v>29</v>
      </c>
      <c r="I228" s="17" t="s">
        <v>893</v>
      </c>
      <c r="J228" s="17" t="s">
        <v>233</v>
      </c>
      <c r="K228" s="19"/>
      <c r="L228" s="19"/>
      <c r="M228" s="19"/>
      <c r="N228" s="19"/>
      <c r="O228" s="17" t="n">
        <v>1</v>
      </c>
      <c r="P228" s="18" t="s">
        <v>1354</v>
      </c>
      <c r="Q228" s="18" t="s">
        <v>1355</v>
      </c>
      <c r="R228" s="18" t="s">
        <v>1362</v>
      </c>
      <c r="S228" s="17" t="s">
        <v>1353</v>
      </c>
      <c r="T228" s="18" t="s">
        <v>1363</v>
      </c>
      <c r="U228" s="19"/>
      <c r="V228" s="18" t="s">
        <v>1364</v>
      </c>
      <c r="W228" s="17" t="s">
        <v>240</v>
      </c>
      <c r="X228" s="17" t="s">
        <v>1322</v>
      </c>
      <c r="Y228" s="17" t="s">
        <v>242</v>
      </c>
      <c r="Z228" s="19"/>
      <c r="AA228" s="19"/>
      <c r="AB228" s="17"/>
      <c r="AC228" s="19"/>
    </row>
    <row r="229" customFormat="false" ht="22.35" hidden="false" customHeight="false" outlineLevel="0" collapsed="false">
      <c r="A229" s="10" t="s">
        <v>1365</v>
      </c>
      <c r="B229" s="17" t="s">
        <v>65</v>
      </c>
      <c r="C229" s="18" t="s">
        <v>66</v>
      </c>
      <c r="D229" s="17" t="s">
        <v>19</v>
      </c>
      <c r="E229" s="17" t="s">
        <v>229</v>
      </c>
      <c r="F229" s="17" t="s">
        <v>1036</v>
      </c>
      <c r="G229" s="17" t="s">
        <v>1274</v>
      </c>
      <c r="H229" s="17" t="s">
        <v>29</v>
      </c>
      <c r="I229" s="17" t="s">
        <v>316</v>
      </c>
      <c r="J229" s="17" t="s">
        <v>233</v>
      </c>
      <c r="K229" s="19"/>
      <c r="L229" s="19"/>
      <c r="M229" s="19"/>
      <c r="N229" s="19"/>
      <c r="O229" s="17" t="n">
        <v>1</v>
      </c>
      <c r="P229" s="18" t="s">
        <v>1354</v>
      </c>
      <c r="Q229" s="18" t="s">
        <v>1355</v>
      </c>
      <c r="R229" s="18" t="s">
        <v>1366</v>
      </c>
      <c r="S229" s="17" t="s">
        <v>1367</v>
      </c>
      <c r="T229" s="18" t="s">
        <v>1368</v>
      </c>
      <c r="U229" s="19"/>
      <c r="V229" s="18" t="s">
        <v>1369</v>
      </c>
      <c r="W229" s="17" t="s">
        <v>240</v>
      </c>
      <c r="X229" s="17" t="s">
        <v>1370</v>
      </c>
      <c r="Y229" s="17" t="s">
        <v>242</v>
      </c>
      <c r="Z229" s="19"/>
      <c r="AA229" s="19"/>
      <c r="AB229" s="17"/>
      <c r="AC229" s="19"/>
    </row>
    <row r="230" customFormat="false" ht="22.35" hidden="false" customHeight="false" outlineLevel="0" collapsed="false">
      <c r="A230" s="10" t="s">
        <v>1371</v>
      </c>
      <c r="B230" s="17" t="s">
        <v>65</v>
      </c>
      <c r="C230" s="18" t="s">
        <v>66</v>
      </c>
      <c r="D230" s="17" t="s">
        <v>19</v>
      </c>
      <c r="E230" s="17" t="s">
        <v>75</v>
      </c>
      <c r="F230" s="17" t="s">
        <v>1036</v>
      </c>
      <c r="G230" s="17" t="s">
        <v>1274</v>
      </c>
      <c r="H230" s="17" t="s">
        <v>29</v>
      </c>
      <c r="I230" s="17" t="s">
        <v>316</v>
      </c>
      <c r="J230" s="17" t="s">
        <v>233</v>
      </c>
      <c r="K230" s="19"/>
      <c r="L230" s="19"/>
      <c r="M230" s="19"/>
      <c r="N230" s="19"/>
      <c r="O230" s="17" t="n">
        <v>1</v>
      </c>
      <c r="P230" s="18" t="s">
        <v>1354</v>
      </c>
      <c r="Q230" s="18" t="s">
        <v>1372</v>
      </c>
      <c r="R230" s="18" t="s">
        <v>1373</v>
      </c>
      <c r="S230" s="17" t="s">
        <v>1374</v>
      </c>
      <c r="T230" s="18" t="s">
        <v>1375</v>
      </c>
      <c r="U230" s="19"/>
      <c r="V230" s="18" t="s">
        <v>1376</v>
      </c>
      <c r="W230" s="17" t="s">
        <v>240</v>
      </c>
      <c r="X230" s="17" t="s">
        <v>1322</v>
      </c>
      <c r="Y230" s="17" t="s">
        <v>242</v>
      </c>
      <c r="Z230" s="19"/>
      <c r="AA230" s="19"/>
      <c r="AB230" s="17"/>
      <c r="AC230" s="19"/>
    </row>
    <row r="231" customFormat="false" ht="22.35" hidden="false" customHeight="false" outlineLevel="0" collapsed="false">
      <c r="A231" s="10" t="s">
        <v>1377</v>
      </c>
      <c r="B231" s="17" t="s">
        <v>65</v>
      </c>
      <c r="C231" s="18" t="s">
        <v>66</v>
      </c>
      <c r="D231" s="17" t="s">
        <v>19</v>
      </c>
      <c r="E231" s="17" t="s">
        <v>229</v>
      </c>
      <c r="F231" s="17" t="s">
        <v>1036</v>
      </c>
      <c r="G231" s="17" t="s">
        <v>1274</v>
      </c>
      <c r="H231" s="17" t="s">
        <v>29</v>
      </c>
      <c r="I231" s="17" t="s">
        <v>316</v>
      </c>
      <c r="J231" s="17" t="s">
        <v>233</v>
      </c>
      <c r="K231" s="19"/>
      <c r="L231" s="19"/>
      <c r="M231" s="19"/>
      <c r="N231" s="19"/>
      <c r="O231" s="17" t="n">
        <v>1</v>
      </c>
      <c r="P231" s="18" t="s">
        <v>1354</v>
      </c>
      <c r="Q231" s="18" t="s">
        <v>1372</v>
      </c>
      <c r="R231" s="18" t="s">
        <v>1378</v>
      </c>
      <c r="S231" s="17" t="s">
        <v>1379</v>
      </c>
      <c r="T231" s="18" t="s">
        <v>1380</v>
      </c>
      <c r="U231" s="19"/>
      <c r="V231" s="18" t="s">
        <v>1381</v>
      </c>
      <c r="W231" s="17" t="s">
        <v>240</v>
      </c>
      <c r="X231" s="17" t="s">
        <v>1382</v>
      </c>
      <c r="Y231" s="17" t="s">
        <v>242</v>
      </c>
      <c r="Z231" s="19"/>
      <c r="AA231" s="19"/>
      <c r="AB231" s="17"/>
      <c r="AC231" s="19"/>
    </row>
    <row r="232" customFormat="false" ht="22.35" hidden="false" customHeight="false" outlineLevel="0" collapsed="false">
      <c r="A232" s="10" t="s">
        <v>1383</v>
      </c>
      <c r="B232" s="17" t="s">
        <v>65</v>
      </c>
      <c r="C232" s="18" t="s">
        <v>66</v>
      </c>
      <c r="D232" s="17" t="s">
        <v>19</v>
      </c>
      <c r="E232" s="17" t="s">
        <v>75</v>
      </c>
      <c r="F232" s="17" t="s">
        <v>1036</v>
      </c>
      <c r="G232" s="17" t="s">
        <v>1274</v>
      </c>
      <c r="H232" s="17" t="s">
        <v>29</v>
      </c>
      <c r="I232" s="17" t="s">
        <v>316</v>
      </c>
      <c r="J232" s="17" t="s">
        <v>233</v>
      </c>
      <c r="K232" s="19"/>
      <c r="L232" s="19"/>
      <c r="M232" s="19"/>
      <c r="N232" s="19"/>
      <c r="O232" s="17" t="n">
        <v>1</v>
      </c>
      <c r="P232" s="18" t="s">
        <v>1354</v>
      </c>
      <c r="Q232" s="18" t="s">
        <v>1372</v>
      </c>
      <c r="R232" s="18" t="s">
        <v>1384</v>
      </c>
      <c r="S232" s="17" t="s">
        <v>1385</v>
      </c>
      <c r="T232" s="18" t="s">
        <v>1386</v>
      </c>
      <c r="U232" s="19"/>
      <c r="V232" s="18" t="s">
        <v>1387</v>
      </c>
      <c r="W232" s="17" t="s">
        <v>240</v>
      </c>
      <c r="X232" s="17" t="s">
        <v>1388</v>
      </c>
      <c r="Y232" s="17" t="s">
        <v>242</v>
      </c>
      <c r="Z232" s="19"/>
      <c r="AA232" s="19"/>
      <c r="AB232" s="17"/>
      <c r="AC232" s="19"/>
    </row>
    <row r="233" customFormat="false" ht="22.35" hidden="false" customHeight="false" outlineLevel="0" collapsed="false">
      <c r="A233" s="10" t="s">
        <v>1389</v>
      </c>
      <c r="B233" s="17" t="s">
        <v>65</v>
      </c>
      <c r="C233" s="18" t="s">
        <v>66</v>
      </c>
      <c r="D233" s="17" t="s">
        <v>19</v>
      </c>
      <c r="E233" s="17" t="s">
        <v>75</v>
      </c>
      <c r="F233" s="17" t="s">
        <v>1036</v>
      </c>
      <c r="G233" s="17" t="s">
        <v>1274</v>
      </c>
      <c r="H233" s="17" t="s">
        <v>29</v>
      </c>
      <c r="I233" s="17" t="s">
        <v>316</v>
      </c>
      <c r="J233" s="17" t="s">
        <v>233</v>
      </c>
      <c r="K233" s="19"/>
      <c r="L233" s="19"/>
      <c r="M233" s="19"/>
      <c r="N233" s="19"/>
      <c r="O233" s="17" t="n">
        <v>1</v>
      </c>
      <c r="P233" s="18" t="s">
        <v>1354</v>
      </c>
      <c r="Q233" s="18" t="s">
        <v>1372</v>
      </c>
      <c r="R233" s="18" t="s">
        <v>1390</v>
      </c>
      <c r="S233" s="17" t="s">
        <v>1377</v>
      </c>
      <c r="T233" s="18" t="s">
        <v>1391</v>
      </c>
      <c r="U233" s="19"/>
      <c r="V233" s="18" t="s">
        <v>1392</v>
      </c>
      <c r="W233" s="17" t="s">
        <v>240</v>
      </c>
      <c r="X233" s="17" t="s">
        <v>1393</v>
      </c>
      <c r="Y233" s="17" t="s">
        <v>242</v>
      </c>
      <c r="Z233" s="19"/>
      <c r="AA233" s="19"/>
      <c r="AB233" s="17"/>
      <c r="AC233" s="19"/>
    </row>
    <row r="234" customFormat="false" ht="32.8" hidden="false" customHeight="false" outlineLevel="0" collapsed="false">
      <c r="A234" s="10" t="s">
        <v>1394</v>
      </c>
      <c r="B234" s="17" t="s">
        <v>65</v>
      </c>
      <c r="C234" s="18" t="s">
        <v>66</v>
      </c>
      <c r="D234" s="17" t="s">
        <v>19</v>
      </c>
      <c r="E234" s="17" t="s">
        <v>75</v>
      </c>
      <c r="F234" s="17" t="s">
        <v>1036</v>
      </c>
      <c r="G234" s="17" t="s">
        <v>1274</v>
      </c>
      <c r="H234" s="17" t="s">
        <v>29</v>
      </c>
      <c r="I234" s="17" t="s">
        <v>277</v>
      </c>
      <c r="J234" s="17" t="s">
        <v>233</v>
      </c>
      <c r="K234" s="19"/>
      <c r="L234" s="19"/>
      <c r="M234" s="19"/>
      <c r="N234" s="19"/>
      <c r="O234" s="17" t="n">
        <v>1</v>
      </c>
      <c r="P234" s="18" t="s">
        <v>1354</v>
      </c>
      <c r="Q234" s="18" t="s">
        <v>1395</v>
      </c>
      <c r="R234" s="18" t="s">
        <v>1396</v>
      </c>
      <c r="S234" s="17" t="s">
        <v>1397</v>
      </c>
      <c r="T234" s="18" t="s">
        <v>1398</v>
      </c>
      <c r="U234" s="19"/>
      <c r="V234" s="18" t="s">
        <v>1399</v>
      </c>
      <c r="W234" s="17" t="s">
        <v>240</v>
      </c>
      <c r="X234" s="17" t="s">
        <v>1400</v>
      </c>
      <c r="Y234" s="17" t="s">
        <v>242</v>
      </c>
      <c r="Z234" s="19"/>
      <c r="AA234" s="19"/>
      <c r="AB234" s="17"/>
      <c r="AC234" s="19"/>
    </row>
    <row r="235" customFormat="false" ht="22.35" hidden="false" customHeight="false" outlineLevel="0" collapsed="false">
      <c r="A235" s="10" t="s">
        <v>1401</v>
      </c>
      <c r="B235" s="17" t="s">
        <v>65</v>
      </c>
      <c r="C235" s="18" t="s">
        <v>66</v>
      </c>
      <c r="D235" s="17" t="s">
        <v>19</v>
      </c>
      <c r="E235" s="17" t="s">
        <v>229</v>
      </c>
      <c r="F235" s="17" t="s">
        <v>1036</v>
      </c>
      <c r="G235" s="17" t="s">
        <v>1274</v>
      </c>
      <c r="H235" s="17" t="s">
        <v>29</v>
      </c>
      <c r="I235" s="17" t="s">
        <v>277</v>
      </c>
      <c r="J235" s="17" t="s">
        <v>233</v>
      </c>
      <c r="K235" s="19"/>
      <c r="L235" s="19"/>
      <c r="M235" s="19"/>
      <c r="N235" s="19"/>
      <c r="O235" s="17" t="n">
        <v>1</v>
      </c>
      <c r="P235" s="18" t="s">
        <v>1354</v>
      </c>
      <c r="Q235" s="18" t="s">
        <v>1395</v>
      </c>
      <c r="R235" s="18" t="s">
        <v>1402</v>
      </c>
      <c r="S235" s="17" t="s">
        <v>1394</v>
      </c>
      <c r="T235" s="18" t="s">
        <v>660</v>
      </c>
      <c r="U235" s="19"/>
      <c r="V235" s="18" t="s">
        <v>1403</v>
      </c>
      <c r="W235" s="17" t="s">
        <v>240</v>
      </c>
      <c r="X235" s="17" t="s">
        <v>1404</v>
      </c>
      <c r="Y235" s="17" t="s">
        <v>242</v>
      </c>
      <c r="Z235" s="19"/>
      <c r="AA235" s="19"/>
      <c r="AB235" s="17"/>
      <c r="AC235" s="19"/>
    </row>
    <row r="236" customFormat="false" ht="32.8" hidden="false" customHeight="false" outlineLevel="0" collapsed="false">
      <c r="A236" s="10" t="s">
        <v>1405</v>
      </c>
      <c r="B236" s="17" t="s">
        <v>65</v>
      </c>
      <c r="C236" s="18" t="s">
        <v>66</v>
      </c>
      <c r="D236" s="17" t="s">
        <v>19</v>
      </c>
      <c r="E236" s="17" t="s">
        <v>229</v>
      </c>
      <c r="F236" s="17" t="s">
        <v>1036</v>
      </c>
      <c r="G236" s="17" t="s">
        <v>1274</v>
      </c>
      <c r="H236" s="17" t="s">
        <v>29</v>
      </c>
      <c r="I236" s="17" t="s">
        <v>277</v>
      </c>
      <c r="J236" s="17" t="s">
        <v>233</v>
      </c>
      <c r="K236" s="19"/>
      <c r="L236" s="19"/>
      <c r="M236" s="19"/>
      <c r="N236" s="19"/>
      <c r="O236" s="17" t="n">
        <v>1</v>
      </c>
      <c r="P236" s="18" t="s">
        <v>1354</v>
      </c>
      <c r="Q236" s="18" t="s">
        <v>1395</v>
      </c>
      <c r="R236" s="18" t="s">
        <v>1406</v>
      </c>
      <c r="S236" s="17" t="s">
        <v>1401</v>
      </c>
      <c r="T236" s="18" t="s">
        <v>1407</v>
      </c>
      <c r="U236" s="19"/>
      <c r="V236" s="18" t="s">
        <v>1408</v>
      </c>
      <c r="W236" s="17" t="s">
        <v>240</v>
      </c>
      <c r="X236" s="17" t="s">
        <v>1409</v>
      </c>
      <c r="Y236" s="17" t="s">
        <v>242</v>
      </c>
      <c r="Z236" s="19"/>
      <c r="AA236" s="19"/>
      <c r="AB236" s="17"/>
      <c r="AC236" s="19"/>
    </row>
    <row r="237" customFormat="false" ht="22.35" hidden="false" customHeight="false" outlineLevel="0" collapsed="false">
      <c r="A237" s="10" t="s">
        <v>1410</v>
      </c>
      <c r="B237" s="17" t="s">
        <v>65</v>
      </c>
      <c r="C237" s="18" t="s">
        <v>66</v>
      </c>
      <c r="D237" s="17" t="s">
        <v>19</v>
      </c>
      <c r="E237" s="17" t="s">
        <v>75</v>
      </c>
      <c r="F237" s="17" t="s">
        <v>1036</v>
      </c>
      <c r="G237" s="17" t="s">
        <v>1274</v>
      </c>
      <c r="H237" s="17" t="s">
        <v>29</v>
      </c>
      <c r="I237" s="17" t="s">
        <v>283</v>
      </c>
      <c r="J237" s="17" t="s">
        <v>233</v>
      </c>
      <c r="K237" s="19"/>
      <c r="L237" s="19"/>
      <c r="M237" s="19"/>
      <c r="N237" s="19"/>
      <c r="O237" s="17" t="n">
        <v>1</v>
      </c>
      <c r="P237" s="18" t="s">
        <v>1354</v>
      </c>
      <c r="Q237" s="18" t="s">
        <v>1395</v>
      </c>
      <c r="R237" s="18" t="s">
        <v>1411</v>
      </c>
      <c r="S237" s="17" t="s">
        <v>237</v>
      </c>
      <c r="T237" s="18" t="s">
        <v>1082</v>
      </c>
      <c r="U237" s="19"/>
      <c r="V237" s="18" t="s">
        <v>1083</v>
      </c>
      <c r="W237" s="17" t="s">
        <v>240</v>
      </c>
      <c r="X237" s="17" t="s">
        <v>1084</v>
      </c>
      <c r="Y237" s="17" t="s">
        <v>242</v>
      </c>
      <c r="Z237" s="19"/>
      <c r="AA237" s="19"/>
      <c r="AB237" s="17"/>
      <c r="AC237" s="19"/>
    </row>
    <row r="238" customFormat="false" ht="32.8" hidden="false" customHeight="false" outlineLevel="0" collapsed="false">
      <c r="A238" s="10" t="s">
        <v>1412</v>
      </c>
      <c r="B238" s="17" t="s">
        <v>65</v>
      </c>
      <c r="C238" s="18" t="s">
        <v>66</v>
      </c>
      <c r="D238" s="17" t="s">
        <v>19</v>
      </c>
      <c r="E238" s="17" t="s">
        <v>75</v>
      </c>
      <c r="F238" s="17" t="s">
        <v>1036</v>
      </c>
      <c r="G238" s="17" t="s">
        <v>1274</v>
      </c>
      <c r="H238" s="17" t="s">
        <v>29</v>
      </c>
      <c r="I238" s="17" t="s">
        <v>1413</v>
      </c>
      <c r="J238" s="17" t="s">
        <v>233</v>
      </c>
      <c r="K238" s="19"/>
      <c r="L238" s="19"/>
      <c r="M238" s="19"/>
      <c r="N238" s="19"/>
      <c r="O238" s="17" t="n">
        <v>3</v>
      </c>
      <c r="P238" s="18" t="s">
        <v>1414</v>
      </c>
      <c r="Q238" s="18" t="s">
        <v>1415</v>
      </c>
      <c r="R238" s="18" t="s">
        <v>1416</v>
      </c>
      <c r="S238" s="17" t="s">
        <v>1417</v>
      </c>
      <c r="T238" s="18" t="s">
        <v>1418</v>
      </c>
      <c r="U238" s="19"/>
      <c r="V238" s="18" t="s">
        <v>1419</v>
      </c>
      <c r="W238" s="17" t="s">
        <v>240</v>
      </c>
      <c r="X238" s="17" t="s">
        <v>1420</v>
      </c>
      <c r="Y238" s="17" t="s">
        <v>242</v>
      </c>
      <c r="Z238" s="19"/>
      <c r="AA238" s="19"/>
      <c r="AB238" s="17"/>
      <c r="AC238" s="19"/>
    </row>
    <row r="239" customFormat="false" ht="22.35" hidden="false" customHeight="false" outlineLevel="0" collapsed="false">
      <c r="A239" s="10" t="s">
        <v>1421</v>
      </c>
      <c r="B239" s="17" t="s">
        <v>65</v>
      </c>
      <c r="C239" s="18" t="s">
        <v>66</v>
      </c>
      <c r="D239" s="17" t="s">
        <v>19</v>
      </c>
      <c r="E239" s="17" t="s">
        <v>229</v>
      </c>
      <c r="F239" s="17" t="s">
        <v>1036</v>
      </c>
      <c r="G239" s="17" t="s">
        <v>1274</v>
      </c>
      <c r="H239" s="17" t="s">
        <v>29</v>
      </c>
      <c r="I239" s="17" t="s">
        <v>1413</v>
      </c>
      <c r="J239" s="17" t="s">
        <v>233</v>
      </c>
      <c r="K239" s="19"/>
      <c r="L239" s="19"/>
      <c r="M239" s="19"/>
      <c r="N239" s="19"/>
      <c r="O239" s="17" t="n">
        <v>3</v>
      </c>
      <c r="P239" s="18" t="s">
        <v>1414</v>
      </c>
      <c r="Q239" s="18" t="s">
        <v>1415</v>
      </c>
      <c r="R239" s="18" t="s">
        <v>1422</v>
      </c>
      <c r="S239" s="17" t="s">
        <v>1412</v>
      </c>
      <c r="T239" s="18" t="s">
        <v>1423</v>
      </c>
      <c r="U239" s="19"/>
      <c r="V239" s="18" t="s">
        <v>1424</v>
      </c>
      <c r="W239" s="17" t="s">
        <v>240</v>
      </c>
      <c r="X239" s="17" t="s">
        <v>1425</v>
      </c>
      <c r="Y239" s="17" t="s">
        <v>242</v>
      </c>
      <c r="Z239" s="19"/>
      <c r="AA239" s="19"/>
      <c r="AB239" s="17"/>
      <c r="AC239" s="19"/>
    </row>
    <row r="240" customFormat="false" ht="32.8" hidden="false" customHeight="false" outlineLevel="0" collapsed="false">
      <c r="A240" s="10" t="s">
        <v>1426</v>
      </c>
      <c r="B240" s="17" t="s">
        <v>65</v>
      </c>
      <c r="C240" s="18" t="s">
        <v>66</v>
      </c>
      <c r="D240" s="17" t="s">
        <v>19</v>
      </c>
      <c r="E240" s="17" t="s">
        <v>75</v>
      </c>
      <c r="F240" s="17" t="s">
        <v>1036</v>
      </c>
      <c r="G240" s="17" t="s">
        <v>1274</v>
      </c>
      <c r="H240" s="17" t="s">
        <v>29</v>
      </c>
      <c r="I240" s="17" t="s">
        <v>1413</v>
      </c>
      <c r="J240" s="17" t="s">
        <v>233</v>
      </c>
      <c r="K240" s="19"/>
      <c r="L240" s="19"/>
      <c r="M240" s="19"/>
      <c r="N240" s="19"/>
      <c r="O240" s="17" t="n">
        <v>3</v>
      </c>
      <c r="P240" s="18" t="s">
        <v>1414</v>
      </c>
      <c r="Q240" s="18" t="s">
        <v>1427</v>
      </c>
      <c r="R240" s="18" t="s">
        <v>1428</v>
      </c>
      <c r="S240" s="17" t="s">
        <v>1429</v>
      </c>
      <c r="T240" s="18" t="s">
        <v>1430</v>
      </c>
      <c r="U240" s="19"/>
      <c r="V240" s="18" t="s">
        <v>1431</v>
      </c>
      <c r="W240" s="17" t="s">
        <v>240</v>
      </c>
      <c r="X240" s="17" t="s">
        <v>1432</v>
      </c>
      <c r="Y240" s="17" t="s">
        <v>242</v>
      </c>
      <c r="Z240" s="19"/>
      <c r="AA240" s="19"/>
      <c r="AB240" s="17"/>
      <c r="AC240" s="19"/>
    </row>
    <row r="241" customFormat="false" ht="32.8" hidden="false" customHeight="false" outlineLevel="0" collapsed="false">
      <c r="A241" s="10" t="s">
        <v>1433</v>
      </c>
      <c r="B241" s="17" t="s">
        <v>65</v>
      </c>
      <c r="C241" s="18" t="s">
        <v>66</v>
      </c>
      <c r="D241" s="17" t="s">
        <v>19</v>
      </c>
      <c r="E241" s="17" t="s">
        <v>229</v>
      </c>
      <c r="F241" s="17" t="s">
        <v>1036</v>
      </c>
      <c r="G241" s="17" t="s">
        <v>1274</v>
      </c>
      <c r="H241" s="17" t="s">
        <v>29</v>
      </c>
      <c r="I241" s="17" t="s">
        <v>1413</v>
      </c>
      <c r="J241" s="17" t="s">
        <v>233</v>
      </c>
      <c r="K241" s="19"/>
      <c r="L241" s="19"/>
      <c r="M241" s="19"/>
      <c r="N241" s="19"/>
      <c r="O241" s="17" t="n">
        <v>3</v>
      </c>
      <c r="P241" s="18" t="s">
        <v>1414</v>
      </c>
      <c r="Q241" s="18" t="s">
        <v>1427</v>
      </c>
      <c r="R241" s="18" t="s">
        <v>1434</v>
      </c>
      <c r="S241" s="17" t="s">
        <v>1426</v>
      </c>
      <c r="T241" s="18" t="s">
        <v>1435</v>
      </c>
      <c r="U241" s="19"/>
      <c r="V241" s="18" t="s">
        <v>1436</v>
      </c>
      <c r="W241" s="17" t="s">
        <v>240</v>
      </c>
      <c r="X241" s="17" t="s">
        <v>1437</v>
      </c>
      <c r="Y241" s="17" t="s">
        <v>242</v>
      </c>
      <c r="Z241" s="19"/>
      <c r="AA241" s="19"/>
      <c r="AB241" s="17"/>
      <c r="AC241" s="19"/>
    </row>
    <row r="242" customFormat="false" ht="32.8" hidden="false" customHeight="false" outlineLevel="0" collapsed="false">
      <c r="A242" s="10" t="s">
        <v>1438</v>
      </c>
      <c r="B242" s="17" t="s">
        <v>65</v>
      </c>
      <c r="C242" s="18" t="s">
        <v>66</v>
      </c>
      <c r="D242" s="17" t="s">
        <v>19</v>
      </c>
      <c r="E242" s="17" t="s">
        <v>75</v>
      </c>
      <c r="F242" s="17" t="s">
        <v>1036</v>
      </c>
      <c r="G242" s="17" t="s">
        <v>1274</v>
      </c>
      <c r="H242" s="17" t="s">
        <v>29</v>
      </c>
      <c r="I242" s="17" t="s">
        <v>1413</v>
      </c>
      <c r="J242" s="17" t="s">
        <v>233</v>
      </c>
      <c r="K242" s="19"/>
      <c r="L242" s="19"/>
      <c r="M242" s="19"/>
      <c r="N242" s="19"/>
      <c r="O242" s="17" t="n">
        <v>3</v>
      </c>
      <c r="P242" s="18" t="s">
        <v>1414</v>
      </c>
      <c r="Q242" s="18" t="s">
        <v>1427</v>
      </c>
      <c r="R242" s="18" t="s">
        <v>1439</v>
      </c>
      <c r="S242" s="17" t="s">
        <v>1426</v>
      </c>
      <c r="T242" s="18" t="s">
        <v>1440</v>
      </c>
      <c r="U242" s="19"/>
      <c r="V242" s="18" t="s">
        <v>1441</v>
      </c>
      <c r="W242" s="17" t="s">
        <v>383</v>
      </c>
      <c r="X242" s="17" t="s">
        <v>1442</v>
      </c>
      <c r="Y242" s="17" t="s">
        <v>242</v>
      </c>
      <c r="Z242" s="19"/>
      <c r="AA242" s="19"/>
      <c r="AB242" s="17"/>
      <c r="AC242" s="19"/>
    </row>
    <row r="243" customFormat="false" ht="22.35" hidden="false" customHeight="false" outlineLevel="0" collapsed="false">
      <c r="A243" s="10" t="s">
        <v>1443</v>
      </c>
      <c r="B243" s="17" t="s">
        <v>65</v>
      </c>
      <c r="C243" s="18" t="s">
        <v>66</v>
      </c>
      <c r="D243" s="17" t="s">
        <v>19</v>
      </c>
      <c r="E243" s="17" t="s">
        <v>75</v>
      </c>
      <c r="F243" s="17" t="s">
        <v>1036</v>
      </c>
      <c r="G243" s="17" t="s">
        <v>1274</v>
      </c>
      <c r="H243" s="17" t="s">
        <v>29</v>
      </c>
      <c r="I243" s="17" t="s">
        <v>283</v>
      </c>
      <c r="J243" s="17" t="s">
        <v>233</v>
      </c>
      <c r="K243" s="19"/>
      <c r="L243" s="19"/>
      <c r="M243" s="19"/>
      <c r="N243" s="19"/>
      <c r="O243" s="17" t="n">
        <v>3</v>
      </c>
      <c r="P243" s="18" t="s">
        <v>1414</v>
      </c>
      <c r="Q243" s="18" t="s">
        <v>1427</v>
      </c>
      <c r="R243" s="18" t="s">
        <v>1444</v>
      </c>
      <c r="S243" s="17" t="s">
        <v>237</v>
      </c>
      <c r="T243" s="18" t="s">
        <v>1082</v>
      </c>
      <c r="U243" s="19"/>
      <c r="V243" s="18" t="s">
        <v>1083</v>
      </c>
      <c r="W243" s="17" t="s">
        <v>240</v>
      </c>
      <c r="X243" s="17" t="s">
        <v>1084</v>
      </c>
      <c r="Y243" s="17" t="s">
        <v>242</v>
      </c>
      <c r="Z243" s="19"/>
      <c r="AA243" s="19"/>
      <c r="AB243" s="17"/>
      <c r="AC243" s="19"/>
    </row>
    <row r="244" customFormat="false" ht="22.35" hidden="false" customHeight="false" outlineLevel="0" collapsed="false">
      <c r="A244" s="10" t="s">
        <v>1445</v>
      </c>
      <c r="B244" s="17" t="s">
        <v>65</v>
      </c>
      <c r="C244" s="18" t="s">
        <v>66</v>
      </c>
      <c r="D244" s="17" t="s">
        <v>19</v>
      </c>
      <c r="E244" s="17" t="s">
        <v>229</v>
      </c>
      <c r="F244" s="17" t="s">
        <v>1036</v>
      </c>
      <c r="G244" s="17" t="s">
        <v>1274</v>
      </c>
      <c r="H244" s="17" t="s">
        <v>29</v>
      </c>
      <c r="I244" s="17" t="s">
        <v>450</v>
      </c>
      <c r="J244" s="17" t="s">
        <v>233</v>
      </c>
      <c r="K244" s="19"/>
      <c r="L244" s="19"/>
      <c r="M244" s="19"/>
      <c r="N244" s="19"/>
      <c r="O244" s="17" t="n">
        <v>1</v>
      </c>
      <c r="P244" s="18" t="s">
        <v>1446</v>
      </c>
      <c r="Q244" s="18" t="s">
        <v>1447</v>
      </c>
      <c r="R244" s="18" t="s">
        <v>1448</v>
      </c>
      <c r="S244" s="17" t="s">
        <v>1449</v>
      </c>
      <c r="T244" s="18" t="s">
        <v>1450</v>
      </c>
      <c r="U244" s="19"/>
      <c r="V244" s="18" t="s">
        <v>1451</v>
      </c>
      <c r="W244" s="17" t="s">
        <v>240</v>
      </c>
      <c r="X244" s="17" t="s">
        <v>1452</v>
      </c>
      <c r="Y244" s="17" t="s">
        <v>242</v>
      </c>
      <c r="Z244" s="19"/>
      <c r="AA244" s="19"/>
      <c r="AB244" s="17"/>
      <c r="AC244" s="19"/>
    </row>
    <row r="245" customFormat="false" ht="22.35" hidden="false" customHeight="false" outlineLevel="0" collapsed="false">
      <c r="A245" s="10" t="s">
        <v>1453</v>
      </c>
      <c r="B245" s="17" t="s">
        <v>65</v>
      </c>
      <c r="C245" s="18" t="s">
        <v>66</v>
      </c>
      <c r="D245" s="17" t="s">
        <v>19</v>
      </c>
      <c r="E245" s="17" t="s">
        <v>75</v>
      </c>
      <c r="F245" s="17" t="s">
        <v>1036</v>
      </c>
      <c r="G245" s="17" t="s">
        <v>1274</v>
      </c>
      <c r="H245" s="17" t="s">
        <v>29</v>
      </c>
      <c r="I245" s="17" t="s">
        <v>450</v>
      </c>
      <c r="J245" s="17" t="s">
        <v>233</v>
      </c>
      <c r="K245" s="19"/>
      <c r="L245" s="19"/>
      <c r="M245" s="19"/>
      <c r="N245" s="19"/>
      <c r="O245" s="17" t="n">
        <v>1</v>
      </c>
      <c r="P245" s="18" t="s">
        <v>1446</v>
      </c>
      <c r="Q245" s="18" t="s">
        <v>1447</v>
      </c>
      <c r="R245" s="18" t="s">
        <v>1454</v>
      </c>
      <c r="S245" s="17" t="s">
        <v>1445</v>
      </c>
      <c r="T245" s="18" t="s">
        <v>1455</v>
      </c>
      <c r="U245" s="19"/>
      <c r="V245" s="18" t="s">
        <v>1456</v>
      </c>
      <c r="W245" s="17" t="s">
        <v>240</v>
      </c>
      <c r="X245" s="17" t="s">
        <v>1457</v>
      </c>
      <c r="Y245" s="17" t="s">
        <v>242</v>
      </c>
      <c r="Z245" s="19"/>
      <c r="AA245" s="19"/>
      <c r="AB245" s="17"/>
      <c r="AC245" s="19"/>
    </row>
    <row r="246" customFormat="false" ht="22.35" hidden="false" customHeight="false" outlineLevel="0" collapsed="false">
      <c r="A246" s="10" t="s">
        <v>1458</v>
      </c>
      <c r="B246" s="17" t="s">
        <v>65</v>
      </c>
      <c r="C246" s="18" t="s">
        <v>66</v>
      </c>
      <c r="D246" s="17" t="s">
        <v>19</v>
      </c>
      <c r="E246" s="17" t="s">
        <v>75</v>
      </c>
      <c r="F246" s="17" t="s">
        <v>1036</v>
      </c>
      <c r="G246" s="17" t="s">
        <v>1274</v>
      </c>
      <c r="H246" s="17" t="s">
        <v>29</v>
      </c>
      <c r="I246" s="17" t="s">
        <v>450</v>
      </c>
      <c r="J246" s="17" t="s">
        <v>233</v>
      </c>
      <c r="K246" s="19"/>
      <c r="L246" s="19"/>
      <c r="M246" s="19"/>
      <c r="N246" s="19"/>
      <c r="O246" s="17" t="n">
        <v>1</v>
      </c>
      <c r="P246" s="18" t="s">
        <v>1446</v>
      </c>
      <c r="Q246" s="18" t="s">
        <v>1447</v>
      </c>
      <c r="R246" s="18" t="s">
        <v>1459</v>
      </c>
      <c r="S246" s="17" t="s">
        <v>1445</v>
      </c>
      <c r="T246" s="18" t="s">
        <v>1460</v>
      </c>
      <c r="U246" s="19"/>
      <c r="V246" s="18" t="s">
        <v>1461</v>
      </c>
      <c r="W246" s="17" t="s">
        <v>240</v>
      </c>
      <c r="X246" s="17" t="s">
        <v>1462</v>
      </c>
      <c r="Y246" s="17" t="s">
        <v>242</v>
      </c>
      <c r="Z246" s="19"/>
      <c r="AA246" s="19"/>
      <c r="AB246" s="17"/>
      <c r="AC246" s="19"/>
    </row>
    <row r="247" customFormat="false" ht="22.35" hidden="false" customHeight="false" outlineLevel="0" collapsed="false">
      <c r="A247" s="10" t="s">
        <v>1463</v>
      </c>
      <c r="B247" s="17" t="s">
        <v>65</v>
      </c>
      <c r="C247" s="18" t="s">
        <v>66</v>
      </c>
      <c r="D247" s="17" t="s">
        <v>19</v>
      </c>
      <c r="E247" s="17" t="s">
        <v>75</v>
      </c>
      <c r="F247" s="17" t="s">
        <v>1036</v>
      </c>
      <c r="G247" s="17" t="s">
        <v>1274</v>
      </c>
      <c r="H247" s="17" t="s">
        <v>29</v>
      </c>
      <c r="I247" s="17" t="s">
        <v>333</v>
      </c>
      <c r="J247" s="17" t="s">
        <v>233</v>
      </c>
      <c r="K247" s="19"/>
      <c r="L247" s="19"/>
      <c r="M247" s="19"/>
      <c r="N247" s="19"/>
      <c r="O247" s="17" t="n">
        <v>1</v>
      </c>
      <c r="P247" s="18" t="s">
        <v>1446</v>
      </c>
      <c r="Q247" s="18" t="s">
        <v>342</v>
      </c>
      <c r="R247" s="18" t="s">
        <v>1464</v>
      </c>
      <c r="S247" s="17" t="s">
        <v>1365</v>
      </c>
      <c r="T247" s="18" t="s">
        <v>1465</v>
      </c>
      <c r="U247" s="19"/>
      <c r="V247" s="18" t="s">
        <v>1466</v>
      </c>
      <c r="W247" s="17" t="s">
        <v>240</v>
      </c>
      <c r="X247" s="17" t="s">
        <v>1467</v>
      </c>
      <c r="Y247" s="17" t="s">
        <v>242</v>
      </c>
      <c r="Z247" s="19"/>
      <c r="AA247" s="19"/>
      <c r="AB247" s="17"/>
      <c r="AC247" s="19"/>
    </row>
    <row r="248" customFormat="false" ht="22.35" hidden="false" customHeight="false" outlineLevel="0" collapsed="false">
      <c r="A248" s="10" t="s">
        <v>1468</v>
      </c>
      <c r="B248" s="17" t="s">
        <v>65</v>
      </c>
      <c r="C248" s="18" t="s">
        <v>66</v>
      </c>
      <c r="D248" s="17" t="s">
        <v>19</v>
      </c>
      <c r="E248" s="17" t="s">
        <v>75</v>
      </c>
      <c r="F248" s="17" t="s">
        <v>1036</v>
      </c>
      <c r="G248" s="17" t="s">
        <v>1274</v>
      </c>
      <c r="H248" s="17" t="s">
        <v>29</v>
      </c>
      <c r="I248" s="17" t="s">
        <v>333</v>
      </c>
      <c r="J248" s="17" t="s">
        <v>233</v>
      </c>
      <c r="K248" s="19"/>
      <c r="L248" s="19"/>
      <c r="M248" s="19"/>
      <c r="N248" s="19"/>
      <c r="O248" s="17" t="n">
        <v>1</v>
      </c>
      <c r="P248" s="18" t="s">
        <v>1446</v>
      </c>
      <c r="Q248" s="18" t="s">
        <v>342</v>
      </c>
      <c r="R248" s="18" t="s">
        <v>1469</v>
      </c>
      <c r="S248" s="17" t="s">
        <v>1365</v>
      </c>
      <c r="T248" s="18" t="s">
        <v>1470</v>
      </c>
      <c r="U248" s="19"/>
      <c r="V248" s="18" t="s">
        <v>1471</v>
      </c>
      <c r="W248" s="17" t="s">
        <v>240</v>
      </c>
      <c r="X248" s="17" t="s">
        <v>1472</v>
      </c>
      <c r="Y248" s="17" t="s">
        <v>242</v>
      </c>
      <c r="Z248" s="19"/>
      <c r="AA248" s="19"/>
      <c r="AB248" s="17"/>
      <c r="AC248" s="19"/>
    </row>
    <row r="249" customFormat="false" ht="22.35" hidden="false" customHeight="false" outlineLevel="0" collapsed="false">
      <c r="A249" s="10" t="s">
        <v>1473</v>
      </c>
      <c r="B249" s="17" t="s">
        <v>65</v>
      </c>
      <c r="C249" s="18" t="s">
        <v>66</v>
      </c>
      <c r="D249" s="17" t="s">
        <v>19</v>
      </c>
      <c r="E249" s="17" t="s">
        <v>229</v>
      </c>
      <c r="F249" s="17" t="s">
        <v>1036</v>
      </c>
      <c r="G249" s="17" t="s">
        <v>1274</v>
      </c>
      <c r="H249" s="17" t="s">
        <v>29</v>
      </c>
      <c r="I249" s="17" t="s">
        <v>333</v>
      </c>
      <c r="J249" s="17" t="s">
        <v>233</v>
      </c>
      <c r="K249" s="19"/>
      <c r="L249" s="19"/>
      <c r="M249" s="19"/>
      <c r="N249" s="19"/>
      <c r="O249" s="17" t="n">
        <v>1</v>
      </c>
      <c r="P249" s="18" t="s">
        <v>1446</v>
      </c>
      <c r="Q249" s="18" t="s">
        <v>342</v>
      </c>
      <c r="R249" s="18" t="s">
        <v>1474</v>
      </c>
      <c r="S249" s="17" t="s">
        <v>1445</v>
      </c>
      <c r="T249" s="18" t="s">
        <v>1475</v>
      </c>
      <c r="U249" s="19"/>
      <c r="V249" s="18" t="s">
        <v>1476</v>
      </c>
      <c r="W249" s="17" t="s">
        <v>240</v>
      </c>
      <c r="X249" s="17" t="s">
        <v>1477</v>
      </c>
      <c r="Y249" s="17" t="s">
        <v>242</v>
      </c>
      <c r="Z249" s="19"/>
      <c r="AA249" s="19"/>
      <c r="AB249" s="17"/>
      <c r="AC249" s="19"/>
    </row>
    <row r="250" customFormat="false" ht="22.35" hidden="false" customHeight="false" outlineLevel="0" collapsed="false">
      <c r="A250" s="10" t="s">
        <v>1478</v>
      </c>
      <c r="B250" s="17" t="s">
        <v>65</v>
      </c>
      <c r="C250" s="18" t="s">
        <v>66</v>
      </c>
      <c r="D250" s="17" t="s">
        <v>19</v>
      </c>
      <c r="E250" s="17" t="s">
        <v>75</v>
      </c>
      <c r="F250" s="17" t="s">
        <v>1036</v>
      </c>
      <c r="G250" s="17" t="s">
        <v>1274</v>
      </c>
      <c r="H250" s="17" t="s">
        <v>29</v>
      </c>
      <c r="I250" s="17" t="s">
        <v>289</v>
      </c>
      <c r="J250" s="17" t="s">
        <v>233</v>
      </c>
      <c r="K250" s="19"/>
      <c r="L250" s="19"/>
      <c r="M250" s="19"/>
      <c r="N250" s="19"/>
      <c r="O250" s="17" t="n">
        <v>1</v>
      </c>
      <c r="P250" s="18" t="s">
        <v>1446</v>
      </c>
      <c r="Q250" s="18" t="s">
        <v>358</v>
      </c>
      <c r="R250" s="18" t="s">
        <v>1479</v>
      </c>
      <c r="S250" s="17" t="s">
        <v>1377</v>
      </c>
      <c r="T250" s="18" t="s">
        <v>1480</v>
      </c>
      <c r="U250" s="19"/>
      <c r="V250" s="18" t="s">
        <v>1481</v>
      </c>
      <c r="W250" s="17" t="s">
        <v>240</v>
      </c>
      <c r="X250" s="17" t="s">
        <v>1482</v>
      </c>
      <c r="Y250" s="17" t="s">
        <v>242</v>
      </c>
      <c r="Z250" s="19"/>
      <c r="AA250" s="19"/>
      <c r="AB250" s="17"/>
      <c r="AC250" s="19"/>
    </row>
    <row r="251" customFormat="false" ht="22.35" hidden="false" customHeight="false" outlineLevel="0" collapsed="false">
      <c r="A251" s="10" t="s">
        <v>1483</v>
      </c>
      <c r="B251" s="17" t="s">
        <v>65</v>
      </c>
      <c r="C251" s="18" t="s">
        <v>66</v>
      </c>
      <c r="D251" s="17" t="s">
        <v>19</v>
      </c>
      <c r="E251" s="17" t="s">
        <v>75</v>
      </c>
      <c r="F251" s="17" t="s">
        <v>1036</v>
      </c>
      <c r="G251" s="17" t="s">
        <v>1274</v>
      </c>
      <c r="H251" s="17" t="s">
        <v>29</v>
      </c>
      <c r="I251" s="17" t="s">
        <v>369</v>
      </c>
      <c r="J251" s="17" t="s">
        <v>233</v>
      </c>
      <c r="K251" s="19"/>
      <c r="L251" s="19"/>
      <c r="M251" s="19"/>
      <c r="N251" s="19"/>
      <c r="O251" s="17" t="n">
        <v>1</v>
      </c>
      <c r="P251" s="18" t="s">
        <v>1446</v>
      </c>
      <c r="Q251" s="18" t="s">
        <v>358</v>
      </c>
      <c r="R251" s="18" t="s">
        <v>1484</v>
      </c>
      <c r="S251" s="17" t="s">
        <v>1478</v>
      </c>
      <c r="T251" s="18" t="s">
        <v>1240</v>
      </c>
      <c r="U251" s="19"/>
      <c r="V251" s="18" t="s">
        <v>1485</v>
      </c>
      <c r="W251" s="17" t="s">
        <v>240</v>
      </c>
      <c r="X251" s="17" t="s">
        <v>1486</v>
      </c>
      <c r="Y251" s="17" t="s">
        <v>242</v>
      </c>
      <c r="Z251" s="19"/>
      <c r="AA251" s="19"/>
      <c r="AB251" s="17"/>
      <c r="AC251" s="19"/>
    </row>
    <row r="252" customFormat="false" ht="22.35" hidden="false" customHeight="false" outlineLevel="0" collapsed="false">
      <c r="A252" s="10" t="s">
        <v>1487</v>
      </c>
      <c r="B252" s="17" t="s">
        <v>65</v>
      </c>
      <c r="C252" s="18" t="s">
        <v>66</v>
      </c>
      <c r="D252" s="17" t="s">
        <v>19</v>
      </c>
      <c r="E252" s="17" t="s">
        <v>229</v>
      </c>
      <c r="F252" s="17" t="s">
        <v>1036</v>
      </c>
      <c r="G252" s="17" t="s">
        <v>1274</v>
      </c>
      <c r="H252" s="17" t="s">
        <v>29</v>
      </c>
      <c r="I252" s="17" t="s">
        <v>289</v>
      </c>
      <c r="J252" s="17" t="s">
        <v>233</v>
      </c>
      <c r="K252" s="19"/>
      <c r="L252" s="19"/>
      <c r="M252" s="19"/>
      <c r="N252" s="19"/>
      <c r="O252" s="17" t="n">
        <v>1</v>
      </c>
      <c r="P252" s="18" t="s">
        <v>1446</v>
      </c>
      <c r="Q252" s="18" t="s">
        <v>374</v>
      </c>
      <c r="R252" s="18" t="s">
        <v>1488</v>
      </c>
      <c r="S252" s="17" t="s">
        <v>1273</v>
      </c>
      <c r="T252" s="18" t="s">
        <v>1489</v>
      </c>
      <c r="U252" s="19"/>
      <c r="V252" s="18" t="s">
        <v>1490</v>
      </c>
      <c r="W252" s="17" t="s">
        <v>240</v>
      </c>
      <c r="X252" s="17" t="s">
        <v>378</v>
      </c>
      <c r="Y252" s="17" t="s">
        <v>242</v>
      </c>
      <c r="Z252" s="19"/>
      <c r="AA252" s="19"/>
      <c r="AB252" s="17"/>
      <c r="AC252" s="19"/>
    </row>
    <row r="253" customFormat="false" ht="22.35" hidden="false" customHeight="false" outlineLevel="0" collapsed="false">
      <c r="A253" s="10" t="s">
        <v>1491</v>
      </c>
      <c r="B253" s="17" t="s">
        <v>65</v>
      </c>
      <c r="C253" s="18" t="s">
        <v>66</v>
      </c>
      <c r="D253" s="17" t="s">
        <v>19</v>
      </c>
      <c r="E253" s="17" t="s">
        <v>229</v>
      </c>
      <c r="F253" s="17" t="s">
        <v>1036</v>
      </c>
      <c r="G253" s="17" t="s">
        <v>1274</v>
      </c>
      <c r="H253" s="17" t="s">
        <v>29</v>
      </c>
      <c r="I253" s="17" t="s">
        <v>289</v>
      </c>
      <c r="J253" s="17" t="s">
        <v>233</v>
      </c>
      <c r="K253" s="19"/>
      <c r="L253" s="19"/>
      <c r="M253" s="19"/>
      <c r="N253" s="19"/>
      <c r="O253" s="17" t="n">
        <v>1</v>
      </c>
      <c r="P253" s="18" t="s">
        <v>1446</v>
      </c>
      <c r="Q253" s="18" t="s">
        <v>374</v>
      </c>
      <c r="R253" s="18" t="s">
        <v>1492</v>
      </c>
      <c r="S253" s="17" t="s">
        <v>1487</v>
      </c>
      <c r="T253" s="18" t="s">
        <v>1493</v>
      </c>
      <c r="U253" s="19"/>
      <c r="V253" s="18" t="s">
        <v>1494</v>
      </c>
      <c r="W253" s="17" t="s">
        <v>383</v>
      </c>
      <c r="X253" s="17" t="s">
        <v>1495</v>
      </c>
      <c r="Y253" s="17" t="s">
        <v>242</v>
      </c>
      <c r="Z253" s="19"/>
      <c r="AA253" s="19"/>
      <c r="AB253" s="17"/>
      <c r="AC253" s="19"/>
    </row>
    <row r="254" customFormat="false" ht="22.35" hidden="false" customHeight="false" outlineLevel="0" collapsed="false">
      <c r="A254" s="10" t="s">
        <v>1496</v>
      </c>
      <c r="B254" s="17" t="s">
        <v>65</v>
      </c>
      <c r="C254" s="18" t="s">
        <v>66</v>
      </c>
      <c r="D254" s="17" t="s">
        <v>19</v>
      </c>
      <c r="E254" s="17" t="s">
        <v>75</v>
      </c>
      <c r="F254" s="17" t="s">
        <v>1036</v>
      </c>
      <c r="G254" s="17" t="s">
        <v>1274</v>
      </c>
      <c r="H254" s="17" t="s">
        <v>29</v>
      </c>
      <c r="I254" s="17" t="s">
        <v>289</v>
      </c>
      <c r="J254" s="17" t="s">
        <v>233</v>
      </c>
      <c r="K254" s="19"/>
      <c r="L254" s="19"/>
      <c r="M254" s="19"/>
      <c r="N254" s="19"/>
      <c r="O254" s="17" t="n">
        <v>1</v>
      </c>
      <c r="P254" s="18" t="s">
        <v>1446</v>
      </c>
      <c r="Q254" s="18" t="s">
        <v>374</v>
      </c>
      <c r="R254" s="18" t="s">
        <v>1497</v>
      </c>
      <c r="S254" s="17" t="s">
        <v>1487</v>
      </c>
      <c r="T254" s="18" t="s">
        <v>1257</v>
      </c>
      <c r="U254" s="19"/>
      <c r="V254" s="18" t="s">
        <v>1498</v>
      </c>
      <c r="W254" s="17" t="s">
        <v>240</v>
      </c>
      <c r="X254" s="17" t="s">
        <v>1259</v>
      </c>
      <c r="Y254" s="17" t="s">
        <v>242</v>
      </c>
      <c r="Z254" s="19"/>
      <c r="AA254" s="19"/>
      <c r="AB254" s="17"/>
      <c r="AC254" s="19"/>
    </row>
    <row r="255" customFormat="false" ht="22.35" hidden="false" customHeight="false" outlineLevel="0" collapsed="false">
      <c r="A255" s="10" t="s">
        <v>1499</v>
      </c>
      <c r="B255" s="17" t="s">
        <v>65</v>
      </c>
      <c r="C255" s="18" t="s">
        <v>66</v>
      </c>
      <c r="D255" s="17" t="s">
        <v>19</v>
      </c>
      <c r="E255" s="17" t="s">
        <v>75</v>
      </c>
      <c r="F255" s="17" t="s">
        <v>1036</v>
      </c>
      <c r="G255" s="17" t="s">
        <v>1274</v>
      </c>
      <c r="H255" s="17" t="s">
        <v>29</v>
      </c>
      <c r="I255" s="17" t="s">
        <v>369</v>
      </c>
      <c r="J255" s="17" t="s">
        <v>233</v>
      </c>
      <c r="K255" s="19"/>
      <c r="L255" s="19"/>
      <c r="M255" s="19"/>
      <c r="N255" s="19"/>
      <c r="O255" s="17" t="n">
        <v>2</v>
      </c>
      <c r="P255" s="18" t="s">
        <v>1446</v>
      </c>
      <c r="Q255" s="18" t="s">
        <v>374</v>
      </c>
      <c r="R255" s="18" t="s">
        <v>1500</v>
      </c>
      <c r="S255" s="17" t="s">
        <v>1501</v>
      </c>
      <c r="T255" s="18" t="s">
        <v>1502</v>
      </c>
      <c r="U255" s="19"/>
      <c r="V255" s="18" t="s">
        <v>1503</v>
      </c>
      <c r="W255" s="17" t="s">
        <v>240</v>
      </c>
      <c r="X255" s="17" t="s">
        <v>1270</v>
      </c>
      <c r="Y255" s="17" t="s">
        <v>242</v>
      </c>
      <c r="Z255" s="19"/>
      <c r="AA255" s="19"/>
      <c r="AB255" s="17"/>
      <c r="AC255" s="19"/>
    </row>
    <row r="256" customFormat="false" ht="22.35" hidden="false" customHeight="false" outlineLevel="0" collapsed="false">
      <c r="A256" s="10" t="s">
        <v>1504</v>
      </c>
      <c r="B256" s="17" t="s">
        <v>65</v>
      </c>
      <c r="C256" s="18" t="s">
        <v>66</v>
      </c>
      <c r="D256" s="17" t="s">
        <v>19</v>
      </c>
      <c r="E256" s="17" t="s">
        <v>75</v>
      </c>
      <c r="F256" s="17" t="s">
        <v>1036</v>
      </c>
      <c r="G256" s="17" t="s">
        <v>1274</v>
      </c>
      <c r="H256" s="17" t="s">
        <v>29</v>
      </c>
      <c r="I256" s="17" t="s">
        <v>283</v>
      </c>
      <c r="J256" s="17" t="s">
        <v>233</v>
      </c>
      <c r="K256" s="19"/>
      <c r="L256" s="19"/>
      <c r="M256" s="19"/>
      <c r="N256" s="19"/>
      <c r="O256" s="17" t="n">
        <v>2</v>
      </c>
      <c r="P256" s="18" t="s">
        <v>1446</v>
      </c>
      <c r="Q256" s="18" t="s">
        <v>374</v>
      </c>
      <c r="R256" s="18" t="s">
        <v>1505</v>
      </c>
      <c r="S256" s="17" t="s">
        <v>237</v>
      </c>
      <c r="T256" s="18" t="s">
        <v>1082</v>
      </c>
      <c r="U256" s="19"/>
      <c r="V256" s="18" t="s">
        <v>1083</v>
      </c>
      <c r="W256" s="17" t="s">
        <v>240</v>
      </c>
      <c r="X256" s="17" t="s">
        <v>1084</v>
      </c>
      <c r="Y256" s="17" t="s">
        <v>242</v>
      </c>
      <c r="Z256" s="19"/>
      <c r="AA256" s="19"/>
      <c r="AB256" s="17"/>
      <c r="AC256" s="19"/>
    </row>
    <row r="257" customFormat="false" ht="32.8" hidden="false" customHeight="false" outlineLevel="0" collapsed="false">
      <c r="A257" s="10" t="s">
        <v>1506</v>
      </c>
      <c r="B257" s="17" t="s">
        <v>100</v>
      </c>
      <c r="C257" s="18" t="s">
        <v>101</v>
      </c>
      <c r="D257" s="17" t="s">
        <v>19</v>
      </c>
      <c r="E257" s="17" t="s">
        <v>229</v>
      </c>
      <c r="F257" s="17" t="s">
        <v>1036</v>
      </c>
      <c r="G257" s="17" t="s">
        <v>1507</v>
      </c>
      <c r="H257" s="17" t="s">
        <v>29</v>
      </c>
      <c r="I257" s="17" t="s">
        <v>232</v>
      </c>
      <c r="J257" s="17" t="s">
        <v>233</v>
      </c>
      <c r="K257" s="19"/>
      <c r="L257" s="19"/>
      <c r="M257" s="19"/>
      <c r="N257" s="19"/>
      <c r="O257" s="17" t="n">
        <v>0</v>
      </c>
      <c r="P257" s="18" t="s">
        <v>1508</v>
      </c>
      <c r="Q257" s="18" t="s">
        <v>1509</v>
      </c>
      <c r="R257" s="18" t="s">
        <v>1510</v>
      </c>
      <c r="S257" s="17" t="s">
        <v>443</v>
      </c>
      <c r="T257" s="18" t="s">
        <v>1511</v>
      </c>
      <c r="U257" s="19"/>
      <c r="V257" s="18" t="s">
        <v>1512</v>
      </c>
      <c r="W257" s="17" t="s">
        <v>240</v>
      </c>
      <c r="X257" s="17" t="s">
        <v>1513</v>
      </c>
      <c r="Y257" s="17" t="s">
        <v>242</v>
      </c>
      <c r="Z257" s="19"/>
      <c r="AA257" s="19"/>
      <c r="AB257" s="17"/>
      <c r="AC257" s="19"/>
    </row>
    <row r="258" customFormat="false" ht="22.35" hidden="false" customHeight="false" outlineLevel="0" collapsed="false">
      <c r="A258" s="10" t="s">
        <v>1514</v>
      </c>
      <c r="B258" s="17" t="s">
        <v>100</v>
      </c>
      <c r="C258" s="18" t="s">
        <v>101</v>
      </c>
      <c r="D258" s="17" t="s">
        <v>19</v>
      </c>
      <c r="E258" s="17" t="s">
        <v>229</v>
      </c>
      <c r="F258" s="17" t="s">
        <v>1036</v>
      </c>
      <c r="G258" s="17" t="s">
        <v>1507</v>
      </c>
      <c r="H258" s="17" t="s">
        <v>29</v>
      </c>
      <c r="I258" s="17" t="s">
        <v>232</v>
      </c>
      <c r="J258" s="17" t="s">
        <v>233</v>
      </c>
      <c r="K258" s="19"/>
      <c r="L258" s="19"/>
      <c r="M258" s="19"/>
      <c r="N258" s="19"/>
      <c r="O258" s="17" t="n">
        <v>0</v>
      </c>
      <c r="P258" s="18" t="s">
        <v>1508</v>
      </c>
      <c r="Q258" s="18" t="s">
        <v>1509</v>
      </c>
      <c r="R258" s="18" t="s">
        <v>1515</v>
      </c>
      <c r="S258" s="17" t="s">
        <v>1506</v>
      </c>
      <c r="T258" s="18" t="s">
        <v>1516</v>
      </c>
      <c r="U258" s="19"/>
      <c r="V258" s="18" t="s">
        <v>1517</v>
      </c>
      <c r="W258" s="17" t="s">
        <v>240</v>
      </c>
      <c r="X258" s="17" t="s">
        <v>1518</v>
      </c>
      <c r="Y258" s="17" t="s">
        <v>242</v>
      </c>
      <c r="Z258" s="19"/>
      <c r="AA258" s="19"/>
      <c r="AB258" s="17"/>
      <c r="AC258" s="19"/>
    </row>
    <row r="259" customFormat="false" ht="22.35" hidden="false" customHeight="false" outlineLevel="0" collapsed="false">
      <c r="A259" s="10" t="s">
        <v>1519</v>
      </c>
      <c r="B259" s="17" t="s">
        <v>100</v>
      </c>
      <c r="C259" s="18" t="s">
        <v>101</v>
      </c>
      <c r="D259" s="17" t="s">
        <v>19</v>
      </c>
      <c r="E259" s="17" t="s">
        <v>229</v>
      </c>
      <c r="F259" s="17" t="s">
        <v>1036</v>
      </c>
      <c r="G259" s="17" t="s">
        <v>1507</v>
      </c>
      <c r="H259" s="17" t="s">
        <v>29</v>
      </c>
      <c r="I259" s="17" t="s">
        <v>232</v>
      </c>
      <c r="J259" s="17" t="s">
        <v>233</v>
      </c>
      <c r="K259" s="19"/>
      <c r="L259" s="19"/>
      <c r="M259" s="19"/>
      <c r="N259" s="19"/>
      <c r="O259" s="17" t="n">
        <v>0</v>
      </c>
      <c r="P259" s="18" t="s">
        <v>1508</v>
      </c>
      <c r="Q259" s="18" t="s">
        <v>1509</v>
      </c>
      <c r="R259" s="18" t="s">
        <v>1520</v>
      </c>
      <c r="S259" s="17" t="s">
        <v>443</v>
      </c>
      <c r="T259" s="18" t="s">
        <v>1521</v>
      </c>
      <c r="U259" s="19"/>
      <c r="V259" s="18" t="s">
        <v>1522</v>
      </c>
      <c r="W259" s="17" t="s">
        <v>240</v>
      </c>
      <c r="X259" s="17" t="s">
        <v>1523</v>
      </c>
      <c r="Y259" s="17" t="s">
        <v>242</v>
      </c>
      <c r="Z259" s="19"/>
      <c r="AA259" s="19"/>
      <c r="AB259" s="17"/>
      <c r="AC259" s="19"/>
    </row>
    <row r="260" customFormat="false" ht="22.35" hidden="false" customHeight="false" outlineLevel="0" collapsed="false">
      <c r="A260" s="10" t="s">
        <v>1524</v>
      </c>
      <c r="B260" s="17" t="s">
        <v>100</v>
      </c>
      <c r="C260" s="18" t="s">
        <v>101</v>
      </c>
      <c r="D260" s="17" t="s">
        <v>19</v>
      </c>
      <c r="E260" s="17" t="s">
        <v>229</v>
      </c>
      <c r="F260" s="17" t="s">
        <v>1036</v>
      </c>
      <c r="G260" s="17" t="s">
        <v>1507</v>
      </c>
      <c r="H260" s="17" t="s">
        <v>29</v>
      </c>
      <c r="I260" s="17" t="s">
        <v>232</v>
      </c>
      <c r="J260" s="17" t="s">
        <v>233</v>
      </c>
      <c r="K260" s="19"/>
      <c r="L260" s="19"/>
      <c r="M260" s="19"/>
      <c r="N260" s="19"/>
      <c r="O260" s="17" t="n">
        <v>0</v>
      </c>
      <c r="P260" s="18" t="s">
        <v>1508</v>
      </c>
      <c r="Q260" s="18" t="s">
        <v>1509</v>
      </c>
      <c r="R260" s="18" t="s">
        <v>1525</v>
      </c>
      <c r="S260" s="17" t="s">
        <v>237</v>
      </c>
      <c r="T260" s="18" t="s">
        <v>1526</v>
      </c>
      <c r="U260" s="19"/>
      <c r="V260" s="18" t="s">
        <v>1527</v>
      </c>
      <c r="W260" s="17" t="s">
        <v>240</v>
      </c>
      <c r="X260" s="17" t="s">
        <v>1528</v>
      </c>
      <c r="Y260" s="17" t="s">
        <v>242</v>
      </c>
      <c r="Z260" s="19"/>
      <c r="AA260" s="19"/>
      <c r="AB260" s="17"/>
      <c r="AC260" s="19"/>
    </row>
    <row r="261" customFormat="false" ht="22.35" hidden="false" customHeight="false" outlineLevel="0" collapsed="false">
      <c r="A261" s="10" t="s">
        <v>1529</v>
      </c>
      <c r="B261" s="17" t="s">
        <v>100</v>
      </c>
      <c r="C261" s="18" t="s">
        <v>101</v>
      </c>
      <c r="D261" s="17" t="s">
        <v>19</v>
      </c>
      <c r="E261" s="17" t="s">
        <v>229</v>
      </c>
      <c r="F261" s="17" t="s">
        <v>1036</v>
      </c>
      <c r="G261" s="17" t="s">
        <v>1507</v>
      </c>
      <c r="H261" s="17" t="s">
        <v>29</v>
      </c>
      <c r="I261" s="17" t="s">
        <v>232</v>
      </c>
      <c r="J261" s="17" t="s">
        <v>233</v>
      </c>
      <c r="K261" s="19"/>
      <c r="L261" s="19"/>
      <c r="M261" s="19"/>
      <c r="N261" s="19"/>
      <c r="O261" s="17" t="n">
        <v>0</v>
      </c>
      <c r="P261" s="18" t="s">
        <v>1508</v>
      </c>
      <c r="Q261" s="18" t="s">
        <v>1530</v>
      </c>
      <c r="R261" s="18" t="s">
        <v>1531</v>
      </c>
      <c r="S261" s="17" t="s">
        <v>237</v>
      </c>
      <c r="T261" s="18" t="s">
        <v>1532</v>
      </c>
      <c r="U261" s="19"/>
      <c r="V261" s="18" t="s">
        <v>1533</v>
      </c>
      <c r="W261" s="17" t="s">
        <v>240</v>
      </c>
      <c r="X261" s="17" t="s">
        <v>1534</v>
      </c>
      <c r="Y261" s="17" t="s">
        <v>242</v>
      </c>
      <c r="Z261" s="19"/>
      <c r="AA261" s="19"/>
      <c r="AB261" s="17"/>
      <c r="AC261" s="19"/>
    </row>
    <row r="262" customFormat="false" ht="22.35" hidden="false" customHeight="false" outlineLevel="0" collapsed="false">
      <c r="A262" s="10" t="s">
        <v>1535</v>
      </c>
      <c r="B262" s="17" t="s">
        <v>100</v>
      </c>
      <c r="C262" s="18" t="s">
        <v>101</v>
      </c>
      <c r="D262" s="17" t="s">
        <v>19</v>
      </c>
      <c r="E262" s="17" t="s">
        <v>229</v>
      </c>
      <c r="F262" s="17" t="s">
        <v>1036</v>
      </c>
      <c r="G262" s="17" t="s">
        <v>1507</v>
      </c>
      <c r="H262" s="17" t="s">
        <v>29</v>
      </c>
      <c r="I262" s="17" t="s">
        <v>232</v>
      </c>
      <c r="J262" s="17" t="s">
        <v>233</v>
      </c>
      <c r="K262" s="19"/>
      <c r="L262" s="19"/>
      <c r="M262" s="19"/>
      <c r="N262" s="19"/>
      <c r="O262" s="17" t="n">
        <v>0</v>
      </c>
      <c r="P262" s="18" t="s">
        <v>1508</v>
      </c>
      <c r="Q262" s="18" t="s">
        <v>1530</v>
      </c>
      <c r="R262" s="18" t="s">
        <v>1536</v>
      </c>
      <c r="S262" s="17" t="s">
        <v>237</v>
      </c>
      <c r="T262" s="18" t="s">
        <v>1537</v>
      </c>
      <c r="U262" s="19"/>
      <c r="V262" s="18" t="s">
        <v>1538</v>
      </c>
      <c r="W262" s="17" t="s">
        <v>240</v>
      </c>
      <c r="X262" s="17" t="s">
        <v>1539</v>
      </c>
      <c r="Y262" s="17" t="s">
        <v>242</v>
      </c>
      <c r="Z262" s="19"/>
      <c r="AA262" s="19"/>
      <c r="AB262" s="17"/>
      <c r="AC262" s="19"/>
    </row>
    <row r="263" customFormat="false" ht="22.35" hidden="false" customHeight="false" outlineLevel="0" collapsed="false">
      <c r="A263" s="10" t="s">
        <v>1540</v>
      </c>
      <c r="B263" s="17" t="s">
        <v>100</v>
      </c>
      <c r="C263" s="18" t="s">
        <v>101</v>
      </c>
      <c r="D263" s="17" t="s">
        <v>19</v>
      </c>
      <c r="E263" s="17" t="s">
        <v>229</v>
      </c>
      <c r="F263" s="17" t="s">
        <v>1036</v>
      </c>
      <c r="G263" s="17" t="s">
        <v>1507</v>
      </c>
      <c r="H263" s="17" t="s">
        <v>29</v>
      </c>
      <c r="I263" s="17" t="s">
        <v>1346</v>
      </c>
      <c r="J263" s="17" t="s">
        <v>233</v>
      </c>
      <c r="K263" s="19"/>
      <c r="L263" s="19"/>
      <c r="M263" s="19"/>
      <c r="N263" s="19"/>
      <c r="O263" s="17" t="n">
        <v>0</v>
      </c>
      <c r="P263" s="18" t="s">
        <v>1508</v>
      </c>
      <c r="Q263" s="18" t="s">
        <v>1530</v>
      </c>
      <c r="R263" s="18" t="s">
        <v>1541</v>
      </c>
      <c r="S263" s="17" t="s">
        <v>1535</v>
      </c>
      <c r="T263" s="18" t="s">
        <v>1542</v>
      </c>
      <c r="U263" s="19"/>
      <c r="V263" s="18" t="s">
        <v>1543</v>
      </c>
      <c r="W263" s="17" t="s">
        <v>240</v>
      </c>
      <c r="X263" s="17" t="s">
        <v>1544</v>
      </c>
      <c r="Y263" s="17" t="s">
        <v>242</v>
      </c>
      <c r="Z263" s="19"/>
      <c r="AA263" s="19"/>
      <c r="AB263" s="17"/>
      <c r="AC263" s="19"/>
    </row>
    <row r="264" customFormat="false" ht="22.35" hidden="false" customHeight="false" outlineLevel="0" collapsed="false">
      <c r="A264" s="10" t="s">
        <v>1545</v>
      </c>
      <c r="B264" s="17" t="s">
        <v>100</v>
      </c>
      <c r="C264" s="18" t="s">
        <v>101</v>
      </c>
      <c r="D264" s="17" t="s">
        <v>19</v>
      </c>
      <c r="E264" s="17" t="s">
        <v>229</v>
      </c>
      <c r="F264" s="17" t="s">
        <v>1036</v>
      </c>
      <c r="G264" s="17" t="s">
        <v>1507</v>
      </c>
      <c r="H264" s="17" t="s">
        <v>29</v>
      </c>
      <c r="I264" s="17" t="s">
        <v>283</v>
      </c>
      <c r="J264" s="17" t="s">
        <v>233</v>
      </c>
      <c r="K264" s="19"/>
      <c r="L264" s="19"/>
      <c r="M264" s="19"/>
      <c r="N264" s="19"/>
      <c r="O264" s="17" t="n">
        <v>0</v>
      </c>
      <c r="P264" s="18" t="s">
        <v>1508</v>
      </c>
      <c r="Q264" s="18" t="s">
        <v>1530</v>
      </c>
      <c r="R264" s="18" t="s">
        <v>1546</v>
      </c>
      <c r="S264" s="17" t="s">
        <v>237</v>
      </c>
      <c r="T264" s="18" t="s">
        <v>1082</v>
      </c>
      <c r="U264" s="19"/>
      <c r="V264" s="18" t="s">
        <v>1083</v>
      </c>
      <c r="W264" s="17" t="s">
        <v>240</v>
      </c>
      <c r="X264" s="17" t="s">
        <v>1084</v>
      </c>
      <c r="Y264" s="17" t="s">
        <v>242</v>
      </c>
      <c r="Z264" s="19"/>
      <c r="AA264" s="19"/>
      <c r="AB264" s="17"/>
      <c r="AC264" s="19"/>
    </row>
    <row r="265" customFormat="false" ht="22.35" hidden="false" customHeight="false" outlineLevel="0" collapsed="false">
      <c r="A265" s="10" t="s">
        <v>1547</v>
      </c>
      <c r="B265" s="17" t="s">
        <v>100</v>
      </c>
      <c r="C265" s="18" t="s">
        <v>101</v>
      </c>
      <c r="D265" s="17" t="s">
        <v>19</v>
      </c>
      <c r="E265" s="17" t="s">
        <v>75</v>
      </c>
      <c r="F265" s="17" t="s">
        <v>1036</v>
      </c>
      <c r="G265" s="17" t="s">
        <v>1507</v>
      </c>
      <c r="H265" s="17" t="s">
        <v>29</v>
      </c>
      <c r="I265" s="17" t="s">
        <v>316</v>
      </c>
      <c r="J265" s="17" t="s">
        <v>233</v>
      </c>
      <c r="K265" s="19"/>
      <c r="L265" s="19"/>
      <c r="M265" s="19"/>
      <c r="N265" s="19"/>
      <c r="O265" s="17" t="n">
        <v>2</v>
      </c>
      <c r="P265" s="18" t="s">
        <v>1548</v>
      </c>
      <c r="Q265" s="18" t="s">
        <v>1549</v>
      </c>
      <c r="R265" s="18" t="s">
        <v>1550</v>
      </c>
      <c r="S265" s="17" t="s">
        <v>1524</v>
      </c>
      <c r="T265" s="18" t="s">
        <v>1551</v>
      </c>
      <c r="U265" s="19"/>
      <c r="V265" s="18" t="s">
        <v>1552</v>
      </c>
      <c r="W265" s="17" t="s">
        <v>240</v>
      </c>
      <c r="X265" s="17" t="s">
        <v>1553</v>
      </c>
      <c r="Y265" s="17" t="s">
        <v>242</v>
      </c>
      <c r="Z265" s="19"/>
      <c r="AA265" s="19"/>
      <c r="AB265" s="17"/>
      <c r="AC265" s="19"/>
    </row>
    <row r="266" customFormat="false" ht="22.35" hidden="false" customHeight="false" outlineLevel="0" collapsed="false">
      <c r="A266" s="10" t="s">
        <v>1554</v>
      </c>
      <c r="B266" s="17" t="s">
        <v>100</v>
      </c>
      <c r="C266" s="18" t="s">
        <v>101</v>
      </c>
      <c r="D266" s="17" t="s">
        <v>19</v>
      </c>
      <c r="E266" s="17" t="s">
        <v>75</v>
      </c>
      <c r="F266" s="17" t="s">
        <v>1036</v>
      </c>
      <c r="G266" s="17" t="s">
        <v>1507</v>
      </c>
      <c r="H266" s="17" t="s">
        <v>29</v>
      </c>
      <c r="I266" s="17" t="s">
        <v>289</v>
      </c>
      <c r="J266" s="17" t="s">
        <v>233</v>
      </c>
      <c r="K266" s="19"/>
      <c r="L266" s="19"/>
      <c r="M266" s="19"/>
      <c r="N266" s="19"/>
      <c r="O266" s="17" t="n">
        <v>2</v>
      </c>
      <c r="P266" s="18" t="s">
        <v>1548</v>
      </c>
      <c r="Q266" s="18" t="s">
        <v>1549</v>
      </c>
      <c r="R266" s="18" t="s">
        <v>1555</v>
      </c>
      <c r="S266" s="17" t="s">
        <v>1547</v>
      </c>
      <c r="T266" s="18" t="s">
        <v>1556</v>
      </c>
      <c r="U266" s="19"/>
      <c r="V266" s="18" t="s">
        <v>1557</v>
      </c>
      <c r="W266" s="17" t="s">
        <v>240</v>
      </c>
      <c r="X266" s="17" t="s">
        <v>1534</v>
      </c>
      <c r="Y266" s="17" t="s">
        <v>242</v>
      </c>
      <c r="Z266" s="19"/>
      <c r="AA266" s="19"/>
      <c r="AB266" s="17"/>
      <c r="AC266" s="19"/>
    </row>
    <row r="267" customFormat="false" ht="22.35" hidden="false" customHeight="false" outlineLevel="0" collapsed="false">
      <c r="A267" s="10" t="s">
        <v>1558</v>
      </c>
      <c r="B267" s="17" t="s">
        <v>100</v>
      </c>
      <c r="C267" s="18" t="s">
        <v>101</v>
      </c>
      <c r="D267" s="17" t="s">
        <v>19</v>
      </c>
      <c r="E267" s="17" t="s">
        <v>75</v>
      </c>
      <c r="F267" s="17" t="s">
        <v>1036</v>
      </c>
      <c r="G267" s="17" t="s">
        <v>1507</v>
      </c>
      <c r="H267" s="17" t="s">
        <v>29</v>
      </c>
      <c r="I267" s="17" t="s">
        <v>333</v>
      </c>
      <c r="J267" s="17" t="s">
        <v>233</v>
      </c>
      <c r="K267" s="19"/>
      <c r="L267" s="19"/>
      <c r="M267" s="19"/>
      <c r="N267" s="19"/>
      <c r="O267" s="17" t="n">
        <v>2</v>
      </c>
      <c r="P267" s="18" t="s">
        <v>1548</v>
      </c>
      <c r="Q267" s="18" t="s">
        <v>1549</v>
      </c>
      <c r="R267" s="18" t="s">
        <v>1559</v>
      </c>
      <c r="S267" s="17" t="s">
        <v>1554</v>
      </c>
      <c r="T267" s="18" t="s">
        <v>1560</v>
      </c>
      <c r="U267" s="19"/>
      <c r="V267" s="18" t="s">
        <v>1561</v>
      </c>
      <c r="W267" s="17" t="s">
        <v>240</v>
      </c>
      <c r="X267" s="17" t="s">
        <v>1562</v>
      </c>
      <c r="Y267" s="17" t="s">
        <v>242</v>
      </c>
      <c r="Z267" s="19"/>
      <c r="AA267" s="19"/>
      <c r="AB267" s="17"/>
      <c r="AC267" s="19"/>
    </row>
    <row r="268" customFormat="false" ht="22.35" hidden="false" customHeight="false" outlineLevel="0" collapsed="false">
      <c r="A268" s="10" t="s">
        <v>1563</v>
      </c>
      <c r="B268" s="17" t="s">
        <v>100</v>
      </c>
      <c r="C268" s="18" t="s">
        <v>101</v>
      </c>
      <c r="D268" s="17" t="s">
        <v>19</v>
      </c>
      <c r="E268" s="17" t="s">
        <v>75</v>
      </c>
      <c r="F268" s="17" t="s">
        <v>1036</v>
      </c>
      <c r="G268" s="17" t="s">
        <v>1507</v>
      </c>
      <c r="H268" s="17" t="s">
        <v>29</v>
      </c>
      <c r="I268" s="17" t="s">
        <v>1564</v>
      </c>
      <c r="J268" s="17" t="s">
        <v>233</v>
      </c>
      <c r="K268" s="19"/>
      <c r="L268" s="19"/>
      <c r="M268" s="19"/>
      <c r="N268" s="19"/>
      <c r="O268" s="17" t="n">
        <v>2</v>
      </c>
      <c r="P268" s="18" t="s">
        <v>1548</v>
      </c>
      <c r="Q268" s="18" t="s">
        <v>1565</v>
      </c>
      <c r="R268" s="18" t="s">
        <v>1566</v>
      </c>
      <c r="S268" s="17" t="s">
        <v>1567</v>
      </c>
      <c r="T268" s="18" t="s">
        <v>1568</v>
      </c>
      <c r="U268" s="19"/>
      <c r="V268" s="18" t="s">
        <v>1569</v>
      </c>
      <c r="W268" s="17" t="s">
        <v>240</v>
      </c>
      <c r="X268" s="17" t="s">
        <v>1570</v>
      </c>
      <c r="Y268" s="17" t="s">
        <v>242</v>
      </c>
      <c r="Z268" s="19"/>
      <c r="AA268" s="19"/>
      <c r="AB268" s="17"/>
      <c r="AC268" s="19"/>
    </row>
    <row r="269" customFormat="false" ht="22.35" hidden="false" customHeight="false" outlineLevel="0" collapsed="false">
      <c r="A269" s="10" t="s">
        <v>1571</v>
      </c>
      <c r="B269" s="17" t="s">
        <v>100</v>
      </c>
      <c r="C269" s="18" t="s">
        <v>101</v>
      </c>
      <c r="D269" s="17" t="s">
        <v>19</v>
      </c>
      <c r="E269" s="17" t="s">
        <v>75</v>
      </c>
      <c r="F269" s="17" t="s">
        <v>1036</v>
      </c>
      <c r="G269" s="17" t="s">
        <v>1507</v>
      </c>
      <c r="H269" s="17" t="s">
        <v>29</v>
      </c>
      <c r="I269" s="17" t="s">
        <v>1564</v>
      </c>
      <c r="J269" s="17" t="s">
        <v>233</v>
      </c>
      <c r="K269" s="19"/>
      <c r="L269" s="19"/>
      <c r="M269" s="19"/>
      <c r="N269" s="19"/>
      <c r="O269" s="17" t="n">
        <v>2</v>
      </c>
      <c r="P269" s="18" t="s">
        <v>1548</v>
      </c>
      <c r="Q269" s="18" t="s">
        <v>1565</v>
      </c>
      <c r="R269" s="18" t="s">
        <v>1572</v>
      </c>
      <c r="S269" s="17" t="s">
        <v>1563</v>
      </c>
      <c r="T269" s="18" t="s">
        <v>1573</v>
      </c>
      <c r="U269" s="19"/>
      <c r="V269" s="18" t="s">
        <v>1574</v>
      </c>
      <c r="W269" s="17" t="s">
        <v>240</v>
      </c>
      <c r="X269" s="17" t="s">
        <v>1575</v>
      </c>
      <c r="Y269" s="17" t="s">
        <v>242</v>
      </c>
      <c r="Z269" s="19"/>
      <c r="AA269" s="19"/>
      <c r="AB269" s="17"/>
      <c r="AC269" s="19"/>
    </row>
    <row r="270" customFormat="false" ht="22.35" hidden="false" customHeight="false" outlineLevel="0" collapsed="false">
      <c r="A270" s="10" t="s">
        <v>1576</v>
      </c>
      <c r="B270" s="17" t="s">
        <v>100</v>
      </c>
      <c r="C270" s="18" t="s">
        <v>101</v>
      </c>
      <c r="D270" s="17" t="s">
        <v>19</v>
      </c>
      <c r="E270" s="17" t="s">
        <v>75</v>
      </c>
      <c r="F270" s="17" t="s">
        <v>1036</v>
      </c>
      <c r="G270" s="17" t="s">
        <v>1507</v>
      </c>
      <c r="H270" s="17" t="s">
        <v>29</v>
      </c>
      <c r="I270" s="17" t="s">
        <v>1564</v>
      </c>
      <c r="J270" s="17" t="s">
        <v>233</v>
      </c>
      <c r="K270" s="19"/>
      <c r="L270" s="19"/>
      <c r="M270" s="19"/>
      <c r="N270" s="19"/>
      <c r="O270" s="17" t="n">
        <v>2</v>
      </c>
      <c r="P270" s="18" t="s">
        <v>1548</v>
      </c>
      <c r="Q270" s="18" t="s">
        <v>1565</v>
      </c>
      <c r="R270" s="18" t="s">
        <v>1577</v>
      </c>
      <c r="S270" s="17" t="s">
        <v>1578</v>
      </c>
      <c r="T270" s="18" t="s">
        <v>1579</v>
      </c>
      <c r="U270" s="19"/>
      <c r="V270" s="18" t="s">
        <v>1580</v>
      </c>
      <c r="W270" s="17" t="s">
        <v>240</v>
      </c>
      <c r="X270" s="17" t="s">
        <v>1581</v>
      </c>
      <c r="Y270" s="17" t="s">
        <v>242</v>
      </c>
      <c r="Z270" s="19"/>
      <c r="AA270" s="19"/>
      <c r="AB270" s="17"/>
      <c r="AC270" s="19"/>
    </row>
    <row r="271" customFormat="false" ht="22.35" hidden="false" customHeight="false" outlineLevel="0" collapsed="false">
      <c r="A271" s="10" t="s">
        <v>1582</v>
      </c>
      <c r="B271" s="17" t="s">
        <v>100</v>
      </c>
      <c r="C271" s="18" t="s">
        <v>101</v>
      </c>
      <c r="D271" s="17" t="s">
        <v>19</v>
      </c>
      <c r="E271" s="17" t="s">
        <v>75</v>
      </c>
      <c r="F271" s="17" t="s">
        <v>1036</v>
      </c>
      <c r="G271" s="17" t="s">
        <v>1507</v>
      </c>
      <c r="H271" s="17" t="s">
        <v>29</v>
      </c>
      <c r="I271" s="17" t="s">
        <v>1564</v>
      </c>
      <c r="J271" s="17" t="s">
        <v>233</v>
      </c>
      <c r="K271" s="19"/>
      <c r="L271" s="19"/>
      <c r="M271" s="19"/>
      <c r="N271" s="19"/>
      <c r="O271" s="17" t="n">
        <v>2</v>
      </c>
      <c r="P271" s="18" t="s">
        <v>1548</v>
      </c>
      <c r="Q271" s="18" t="s">
        <v>1565</v>
      </c>
      <c r="R271" s="18" t="s">
        <v>1583</v>
      </c>
      <c r="S271" s="17" t="s">
        <v>1576</v>
      </c>
      <c r="T271" s="18" t="s">
        <v>1584</v>
      </c>
      <c r="U271" s="19"/>
      <c r="V271" s="18" t="s">
        <v>1585</v>
      </c>
      <c r="W271" s="17" t="s">
        <v>240</v>
      </c>
      <c r="X271" s="17" t="s">
        <v>1534</v>
      </c>
      <c r="Y271" s="17" t="s">
        <v>242</v>
      </c>
      <c r="Z271" s="19"/>
      <c r="AA271" s="19"/>
      <c r="AB271" s="17"/>
      <c r="AC271" s="19"/>
    </row>
    <row r="272" customFormat="false" ht="32.8" hidden="false" customHeight="false" outlineLevel="0" collapsed="false">
      <c r="A272" s="10" t="s">
        <v>1586</v>
      </c>
      <c r="B272" s="17" t="s">
        <v>100</v>
      </c>
      <c r="C272" s="18" t="s">
        <v>101</v>
      </c>
      <c r="D272" s="17" t="s">
        <v>19</v>
      </c>
      <c r="E272" s="17" t="s">
        <v>75</v>
      </c>
      <c r="F272" s="17" t="s">
        <v>1036</v>
      </c>
      <c r="G272" s="17" t="s">
        <v>1507</v>
      </c>
      <c r="H272" s="17" t="s">
        <v>29</v>
      </c>
      <c r="I272" s="17" t="s">
        <v>277</v>
      </c>
      <c r="J272" s="17" t="s">
        <v>233</v>
      </c>
      <c r="K272" s="19"/>
      <c r="L272" s="19"/>
      <c r="M272" s="19"/>
      <c r="N272" s="19"/>
      <c r="O272" s="17" t="n">
        <v>2</v>
      </c>
      <c r="P272" s="18" t="s">
        <v>1548</v>
      </c>
      <c r="Q272" s="18" t="s">
        <v>1565</v>
      </c>
      <c r="R272" s="18" t="s">
        <v>1587</v>
      </c>
      <c r="S272" s="17" t="s">
        <v>1582</v>
      </c>
      <c r="T272" s="18" t="s">
        <v>1588</v>
      </c>
      <c r="U272" s="19"/>
      <c r="V272" s="18" t="s">
        <v>1589</v>
      </c>
      <c r="W272" s="17" t="s">
        <v>240</v>
      </c>
      <c r="X272" s="17" t="s">
        <v>1590</v>
      </c>
      <c r="Y272" s="17" t="s">
        <v>242</v>
      </c>
      <c r="Z272" s="19"/>
      <c r="AA272" s="19"/>
      <c r="AB272" s="17"/>
      <c r="AC272" s="19"/>
    </row>
    <row r="273" customFormat="false" ht="22.35" hidden="false" customHeight="false" outlineLevel="0" collapsed="false">
      <c r="A273" s="10" t="s">
        <v>1591</v>
      </c>
      <c r="B273" s="17" t="s">
        <v>100</v>
      </c>
      <c r="C273" s="18" t="s">
        <v>101</v>
      </c>
      <c r="D273" s="17" t="s">
        <v>19</v>
      </c>
      <c r="E273" s="17" t="s">
        <v>75</v>
      </c>
      <c r="F273" s="17" t="s">
        <v>1036</v>
      </c>
      <c r="G273" s="17" t="s">
        <v>1507</v>
      </c>
      <c r="H273" s="17" t="s">
        <v>29</v>
      </c>
      <c r="I273" s="17" t="s">
        <v>283</v>
      </c>
      <c r="J273" s="17" t="s">
        <v>233</v>
      </c>
      <c r="K273" s="19"/>
      <c r="L273" s="19"/>
      <c r="M273" s="19"/>
      <c r="N273" s="19"/>
      <c r="O273" s="17" t="n">
        <v>2</v>
      </c>
      <c r="P273" s="18" t="s">
        <v>1548</v>
      </c>
      <c r="Q273" s="18" t="s">
        <v>1565</v>
      </c>
      <c r="R273" s="18" t="s">
        <v>1592</v>
      </c>
      <c r="S273" s="17" t="s">
        <v>237</v>
      </c>
      <c r="T273" s="18" t="s">
        <v>1082</v>
      </c>
      <c r="U273" s="19"/>
      <c r="V273" s="18" t="s">
        <v>1083</v>
      </c>
      <c r="W273" s="17" t="s">
        <v>240</v>
      </c>
      <c r="X273" s="17" t="s">
        <v>1084</v>
      </c>
      <c r="Y273" s="17" t="s">
        <v>242</v>
      </c>
      <c r="Z273" s="19"/>
      <c r="AA273" s="19"/>
      <c r="AB273" s="17"/>
      <c r="AC273" s="19"/>
    </row>
    <row r="274" customFormat="false" ht="22.35" hidden="false" customHeight="false" outlineLevel="0" collapsed="false">
      <c r="A274" s="10" t="s">
        <v>1593</v>
      </c>
      <c r="B274" s="17" t="s">
        <v>100</v>
      </c>
      <c r="C274" s="18" t="s">
        <v>101</v>
      </c>
      <c r="D274" s="17" t="s">
        <v>19</v>
      </c>
      <c r="E274" s="17" t="s">
        <v>75</v>
      </c>
      <c r="F274" s="17" t="s">
        <v>1036</v>
      </c>
      <c r="G274" s="17" t="s">
        <v>1507</v>
      </c>
      <c r="H274" s="17" t="s">
        <v>29</v>
      </c>
      <c r="I274" s="17" t="s">
        <v>893</v>
      </c>
      <c r="J274" s="17" t="s">
        <v>233</v>
      </c>
      <c r="K274" s="19"/>
      <c r="L274" s="19"/>
      <c r="M274" s="19"/>
      <c r="N274" s="19"/>
      <c r="O274" s="17" t="n">
        <v>2</v>
      </c>
      <c r="P274" s="18" t="s">
        <v>1594</v>
      </c>
      <c r="Q274" s="18" t="s">
        <v>1595</v>
      </c>
      <c r="R274" s="18" t="s">
        <v>1596</v>
      </c>
      <c r="S274" s="17" t="s">
        <v>1597</v>
      </c>
      <c r="T274" s="18" t="s">
        <v>1598</v>
      </c>
      <c r="U274" s="19"/>
      <c r="V274" s="18" t="s">
        <v>1599</v>
      </c>
      <c r="W274" s="17" t="s">
        <v>240</v>
      </c>
      <c r="X274" s="17" t="s">
        <v>1600</v>
      </c>
      <c r="Y274" s="17" t="s">
        <v>242</v>
      </c>
      <c r="Z274" s="19"/>
      <c r="AA274" s="19"/>
      <c r="AB274" s="17"/>
      <c r="AC274" s="19"/>
    </row>
    <row r="275" customFormat="false" ht="22.35" hidden="false" customHeight="false" outlineLevel="0" collapsed="false">
      <c r="A275" s="10" t="s">
        <v>1601</v>
      </c>
      <c r="B275" s="17" t="s">
        <v>100</v>
      </c>
      <c r="C275" s="18" t="s">
        <v>101</v>
      </c>
      <c r="D275" s="17" t="s">
        <v>19</v>
      </c>
      <c r="E275" s="17" t="s">
        <v>75</v>
      </c>
      <c r="F275" s="17" t="s">
        <v>1036</v>
      </c>
      <c r="G275" s="17" t="s">
        <v>1507</v>
      </c>
      <c r="H275" s="17" t="s">
        <v>29</v>
      </c>
      <c r="I275" s="17" t="s">
        <v>316</v>
      </c>
      <c r="J275" s="17" t="s">
        <v>233</v>
      </c>
      <c r="K275" s="19"/>
      <c r="L275" s="19"/>
      <c r="M275" s="19"/>
      <c r="N275" s="19"/>
      <c r="O275" s="17" t="n">
        <v>2</v>
      </c>
      <c r="P275" s="18" t="s">
        <v>1594</v>
      </c>
      <c r="Q275" s="18" t="s">
        <v>1595</v>
      </c>
      <c r="R275" s="18" t="s">
        <v>1602</v>
      </c>
      <c r="S275" s="17" t="s">
        <v>1603</v>
      </c>
      <c r="T275" s="18" t="s">
        <v>1604</v>
      </c>
      <c r="U275" s="19"/>
      <c r="V275" s="18" t="s">
        <v>1605</v>
      </c>
      <c r="W275" s="17" t="s">
        <v>240</v>
      </c>
      <c r="X275" s="17" t="s">
        <v>1606</v>
      </c>
      <c r="Y275" s="17" t="s">
        <v>242</v>
      </c>
      <c r="Z275" s="19"/>
      <c r="AA275" s="19"/>
      <c r="AB275" s="17"/>
      <c r="AC275" s="19"/>
    </row>
    <row r="276" customFormat="false" ht="22.35" hidden="false" customHeight="false" outlineLevel="0" collapsed="false">
      <c r="A276" s="10" t="s">
        <v>1607</v>
      </c>
      <c r="B276" s="17" t="s">
        <v>100</v>
      </c>
      <c r="C276" s="18" t="s">
        <v>101</v>
      </c>
      <c r="D276" s="17" t="s">
        <v>19</v>
      </c>
      <c r="E276" s="17" t="s">
        <v>75</v>
      </c>
      <c r="F276" s="17" t="s">
        <v>1036</v>
      </c>
      <c r="G276" s="17" t="s">
        <v>1507</v>
      </c>
      <c r="H276" s="17" t="s">
        <v>29</v>
      </c>
      <c r="I276" s="17" t="s">
        <v>1346</v>
      </c>
      <c r="J276" s="17" t="s">
        <v>233</v>
      </c>
      <c r="K276" s="19"/>
      <c r="L276" s="19"/>
      <c r="M276" s="19"/>
      <c r="N276" s="19"/>
      <c r="O276" s="17" t="n">
        <v>2</v>
      </c>
      <c r="P276" s="18" t="s">
        <v>1594</v>
      </c>
      <c r="Q276" s="18" t="s">
        <v>1595</v>
      </c>
      <c r="R276" s="18" t="s">
        <v>1608</v>
      </c>
      <c r="S276" s="17" t="s">
        <v>1593</v>
      </c>
      <c r="T276" s="18" t="s">
        <v>1609</v>
      </c>
      <c r="U276" s="19"/>
      <c r="V276" s="18" t="s">
        <v>1610</v>
      </c>
      <c r="W276" s="17" t="s">
        <v>240</v>
      </c>
      <c r="X276" s="17" t="s">
        <v>1611</v>
      </c>
      <c r="Y276" s="17" t="s">
        <v>242</v>
      </c>
      <c r="Z276" s="19"/>
      <c r="AA276" s="19"/>
      <c r="AB276" s="17"/>
      <c r="AC276" s="19"/>
    </row>
    <row r="277" customFormat="false" ht="22.35" hidden="false" customHeight="false" outlineLevel="0" collapsed="false">
      <c r="A277" s="10" t="s">
        <v>1612</v>
      </c>
      <c r="B277" s="17" t="s">
        <v>100</v>
      </c>
      <c r="C277" s="18" t="s">
        <v>101</v>
      </c>
      <c r="D277" s="17" t="s">
        <v>19</v>
      </c>
      <c r="E277" s="17" t="s">
        <v>75</v>
      </c>
      <c r="F277" s="17" t="s">
        <v>1036</v>
      </c>
      <c r="G277" s="17" t="s">
        <v>1507</v>
      </c>
      <c r="H277" s="17" t="s">
        <v>29</v>
      </c>
      <c r="I277" s="17" t="s">
        <v>893</v>
      </c>
      <c r="J277" s="17" t="s">
        <v>233</v>
      </c>
      <c r="K277" s="19"/>
      <c r="L277" s="19"/>
      <c r="M277" s="19"/>
      <c r="N277" s="19"/>
      <c r="O277" s="17" t="n">
        <v>2</v>
      </c>
      <c r="P277" s="18" t="s">
        <v>1594</v>
      </c>
      <c r="Q277" s="18" t="s">
        <v>1613</v>
      </c>
      <c r="R277" s="18" t="s">
        <v>1614</v>
      </c>
      <c r="S277" s="17" t="s">
        <v>1615</v>
      </c>
      <c r="T277" s="18" t="s">
        <v>1616</v>
      </c>
      <c r="U277" s="19"/>
      <c r="V277" s="18" t="s">
        <v>1617</v>
      </c>
      <c r="W277" s="17" t="s">
        <v>240</v>
      </c>
      <c r="X277" s="17" t="s">
        <v>1581</v>
      </c>
      <c r="Y277" s="17" t="s">
        <v>242</v>
      </c>
      <c r="Z277" s="19"/>
      <c r="AA277" s="19"/>
      <c r="AB277" s="17"/>
      <c r="AC277" s="19"/>
    </row>
    <row r="278" customFormat="false" ht="22.35" hidden="false" customHeight="false" outlineLevel="0" collapsed="false">
      <c r="A278" s="10" t="s">
        <v>1618</v>
      </c>
      <c r="B278" s="17" t="s">
        <v>100</v>
      </c>
      <c r="C278" s="18" t="s">
        <v>101</v>
      </c>
      <c r="D278" s="17" t="s">
        <v>19</v>
      </c>
      <c r="E278" s="17" t="s">
        <v>229</v>
      </c>
      <c r="F278" s="17" t="s">
        <v>1036</v>
      </c>
      <c r="G278" s="17" t="s">
        <v>1507</v>
      </c>
      <c r="H278" s="17" t="s">
        <v>29</v>
      </c>
      <c r="I278" s="17" t="s">
        <v>893</v>
      </c>
      <c r="J278" s="17" t="s">
        <v>233</v>
      </c>
      <c r="K278" s="19"/>
      <c r="L278" s="19"/>
      <c r="M278" s="19"/>
      <c r="N278" s="19"/>
      <c r="O278" s="17" t="n">
        <v>2</v>
      </c>
      <c r="P278" s="18" t="s">
        <v>1594</v>
      </c>
      <c r="Q278" s="18" t="s">
        <v>1613</v>
      </c>
      <c r="R278" s="18" t="s">
        <v>1619</v>
      </c>
      <c r="S278" s="17" t="s">
        <v>1612</v>
      </c>
      <c r="T278" s="18" t="s">
        <v>1620</v>
      </c>
      <c r="U278" s="19"/>
      <c r="V278" s="18" t="s">
        <v>1621</v>
      </c>
      <c r="W278" s="17" t="s">
        <v>240</v>
      </c>
      <c r="X278" s="17" t="s">
        <v>1622</v>
      </c>
      <c r="Y278" s="17" t="s">
        <v>242</v>
      </c>
      <c r="Z278" s="19"/>
      <c r="AA278" s="19"/>
      <c r="AB278" s="17"/>
      <c r="AC278" s="19"/>
    </row>
    <row r="279" customFormat="false" ht="22.35" hidden="false" customHeight="false" outlineLevel="0" collapsed="false">
      <c r="A279" s="10" t="s">
        <v>1623</v>
      </c>
      <c r="B279" s="17" t="s">
        <v>100</v>
      </c>
      <c r="C279" s="18" t="s">
        <v>101</v>
      </c>
      <c r="D279" s="17" t="s">
        <v>19</v>
      </c>
      <c r="E279" s="17" t="s">
        <v>75</v>
      </c>
      <c r="F279" s="17" t="s">
        <v>1036</v>
      </c>
      <c r="G279" s="17" t="s">
        <v>1507</v>
      </c>
      <c r="H279" s="17" t="s">
        <v>29</v>
      </c>
      <c r="I279" s="17" t="s">
        <v>277</v>
      </c>
      <c r="J279" s="17" t="s">
        <v>233</v>
      </c>
      <c r="K279" s="19"/>
      <c r="L279" s="19"/>
      <c r="M279" s="19"/>
      <c r="N279" s="19"/>
      <c r="O279" s="17" t="n">
        <v>2</v>
      </c>
      <c r="P279" s="18" t="s">
        <v>1594</v>
      </c>
      <c r="Q279" s="18" t="s">
        <v>1613</v>
      </c>
      <c r="R279" s="18" t="s">
        <v>1624</v>
      </c>
      <c r="S279" s="17" t="s">
        <v>1625</v>
      </c>
      <c r="T279" s="18" t="s">
        <v>665</v>
      </c>
      <c r="U279" s="19"/>
      <c r="V279" s="18" t="s">
        <v>1626</v>
      </c>
      <c r="W279" s="17" t="s">
        <v>240</v>
      </c>
      <c r="X279" s="17" t="s">
        <v>1627</v>
      </c>
      <c r="Y279" s="17" t="s">
        <v>242</v>
      </c>
      <c r="Z279" s="19"/>
      <c r="AA279" s="19"/>
      <c r="AB279" s="17"/>
      <c r="AC279" s="19"/>
    </row>
    <row r="280" customFormat="false" ht="22.35" hidden="false" customHeight="false" outlineLevel="0" collapsed="false">
      <c r="A280" s="10" t="s">
        <v>1628</v>
      </c>
      <c r="B280" s="17" t="s">
        <v>100</v>
      </c>
      <c r="C280" s="18" t="s">
        <v>101</v>
      </c>
      <c r="D280" s="17" t="s">
        <v>19</v>
      </c>
      <c r="E280" s="17" t="s">
        <v>75</v>
      </c>
      <c r="F280" s="17" t="s">
        <v>1036</v>
      </c>
      <c r="G280" s="17" t="s">
        <v>1507</v>
      </c>
      <c r="H280" s="17" t="s">
        <v>29</v>
      </c>
      <c r="I280" s="17" t="s">
        <v>283</v>
      </c>
      <c r="J280" s="17" t="s">
        <v>233</v>
      </c>
      <c r="K280" s="19"/>
      <c r="L280" s="19"/>
      <c r="M280" s="19"/>
      <c r="N280" s="19"/>
      <c r="O280" s="17" t="n">
        <v>2</v>
      </c>
      <c r="P280" s="18" t="s">
        <v>1594</v>
      </c>
      <c r="Q280" s="18" t="s">
        <v>1613</v>
      </c>
      <c r="R280" s="18" t="s">
        <v>1629</v>
      </c>
      <c r="S280" s="17" t="s">
        <v>237</v>
      </c>
      <c r="T280" s="18" t="s">
        <v>1082</v>
      </c>
      <c r="U280" s="19"/>
      <c r="V280" s="18" t="s">
        <v>1083</v>
      </c>
      <c r="W280" s="17" t="s">
        <v>240</v>
      </c>
      <c r="X280" s="17" t="s">
        <v>1084</v>
      </c>
      <c r="Y280" s="17" t="s">
        <v>242</v>
      </c>
      <c r="Z280" s="19"/>
      <c r="AA280" s="19"/>
      <c r="AB280" s="17"/>
      <c r="AC280" s="19"/>
    </row>
    <row r="281" customFormat="false" ht="22.35" hidden="false" customHeight="false" outlineLevel="0" collapsed="false">
      <c r="A281" s="10" t="s">
        <v>1630</v>
      </c>
      <c r="B281" s="17" t="s">
        <v>100</v>
      </c>
      <c r="C281" s="18" t="s">
        <v>101</v>
      </c>
      <c r="D281" s="17" t="s">
        <v>19</v>
      </c>
      <c r="E281" s="17" t="s">
        <v>229</v>
      </c>
      <c r="F281" s="17" t="s">
        <v>1036</v>
      </c>
      <c r="G281" s="17" t="s">
        <v>1507</v>
      </c>
      <c r="H281" s="17" t="s">
        <v>29</v>
      </c>
      <c r="I281" s="17" t="s">
        <v>450</v>
      </c>
      <c r="J281" s="17" t="s">
        <v>233</v>
      </c>
      <c r="K281" s="19"/>
      <c r="L281" s="19"/>
      <c r="M281" s="19"/>
      <c r="N281" s="19"/>
      <c r="O281" s="17" t="n">
        <v>2</v>
      </c>
      <c r="P281" s="18" t="s">
        <v>1631</v>
      </c>
      <c r="Q281" s="18" t="s">
        <v>1632</v>
      </c>
      <c r="R281" s="18" t="s">
        <v>1633</v>
      </c>
      <c r="S281" s="17" t="s">
        <v>1519</v>
      </c>
      <c r="T281" s="18" t="s">
        <v>1634</v>
      </c>
      <c r="U281" s="19"/>
      <c r="V281" s="18" t="s">
        <v>1635</v>
      </c>
      <c r="W281" s="17" t="s">
        <v>240</v>
      </c>
      <c r="X281" s="17" t="s">
        <v>1636</v>
      </c>
      <c r="Y281" s="17" t="s">
        <v>242</v>
      </c>
      <c r="Z281" s="19"/>
      <c r="AA281" s="19"/>
      <c r="AB281" s="17"/>
      <c r="AC281" s="19"/>
    </row>
    <row r="282" customFormat="false" ht="22.35" hidden="false" customHeight="false" outlineLevel="0" collapsed="false">
      <c r="A282" s="10" t="s">
        <v>1637</v>
      </c>
      <c r="B282" s="17" t="s">
        <v>100</v>
      </c>
      <c r="C282" s="18" t="s">
        <v>101</v>
      </c>
      <c r="D282" s="17" t="s">
        <v>19</v>
      </c>
      <c r="E282" s="17" t="s">
        <v>75</v>
      </c>
      <c r="F282" s="17" t="s">
        <v>1036</v>
      </c>
      <c r="G282" s="17" t="s">
        <v>1507</v>
      </c>
      <c r="H282" s="17" t="s">
        <v>29</v>
      </c>
      <c r="I282" s="17" t="s">
        <v>450</v>
      </c>
      <c r="J282" s="17" t="s">
        <v>233</v>
      </c>
      <c r="K282" s="19"/>
      <c r="L282" s="19"/>
      <c r="M282" s="19"/>
      <c r="N282" s="19"/>
      <c r="O282" s="17" t="n">
        <v>2</v>
      </c>
      <c r="P282" s="18" t="s">
        <v>1631</v>
      </c>
      <c r="Q282" s="18" t="s">
        <v>1632</v>
      </c>
      <c r="R282" s="18" t="s">
        <v>1638</v>
      </c>
      <c r="S282" s="17" t="s">
        <v>1524</v>
      </c>
      <c r="T282" s="18" t="s">
        <v>1639</v>
      </c>
      <c r="U282" s="19"/>
      <c r="V282" s="18" t="s">
        <v>1640</v>
      </c>
      <c r="W282" s="17" t="s">
        <v>240</v>
      </c>
      <c r="X282" s="17" t="s">
        <v>1534</v>
      </c>
      <c r="Y282" s="17" t="s">
        <v>242</v>
      </c>
      <c r="Z282" s="19"/>
      <c r="AA282" s="19"/>
      <c r="AB282" s="17"/>
      <c r="AC282" s="19"/>
    </row>
    <row r="283" customFormat="false" ht="22.35" hidden="false" customHeight="false" outlineLevel="0" collapsed="false">
      <c r="A283" s="10" t="s">
        <v>1641</v>
      </c>
      <c r="B283" s="17" t="s">
        <v>100</v>
      </c>
      <c r="C283" s="18" t="s">
        <v>101</v>
      </c>
      <c r="D283" s="17" t="s">
        <v>19</v>
      </c>
      <c r="E283" s="17" t="s">
        <v>229</v>
      </c>
      <c r="F283" s="17" t="s">
        <v>1036</v>
      </c>
      <c r="G283" s="17" t="s">
        <v>1507</v>
      </c>
      <c r="H283" s="17" t="s">
        <v>29</v>
      </c>
      <c r="I283" s="17" t="s">
        <v>333</v>
      </c>
      <c r="J283" s="17" t="s">
        <v>233</v>
      </c>
      <c r="K283" s="19"/>
      <c r="L283" s="19"/>
      <c r="M283" s="19"/>
      <c r="N283" s="19"/>
      <c r="O283" s="17" t="n">
        <v>2</v>
      </c>
      <c r="P283" s="18" t="s">
        <v>1631</v>
      </c>
      <c r="Q283" s="18" t="s">
        <v>1632</v>
      </c>
      <c r="R283" s="18" t="s">
        <v>1642</v>
      </c>
      <c r="S283" s="17" t="s">
        <v>1637</v>
      </c>
      <c r="T283" s="18" t="s">
        <v>1643</v>
      </c>
      <c r="U283" s="19"/>
      <c r="V283" s="18" t="s">
        <v>1644</v>
      </c>
      <c r="W283" s="17" t="s">
        <v>240</v>
      </c>
      <c r="X283" s="17" t="s">
        <v>1645</v>
      </c>
      <c r="Y283" s="17" t="s">
        <v>242</v>
      </c>
      <c r="Z283" s="19"/>
      <c r="AA283" s="19"/>
      <c r="AB283" s="17"/>
      <c r="AC283" s="19"/>
    </row>
    <row r="284" customFormat="false" ht="22.35" hidden="false" customHeight="false" outlineLevel="0" collapsed="false">
      <c r="A284" s="10" t="s">
        <v>1646</v>
      </c>
      <c r="B284" s="17" t="s">
        <v>100</v>
      </c>
      <c r="C284" s="18" t="s">
        <v>101</v>
      </c>
      <c r="D284" s="17" t="s">
        <v>19</v>
      </c>
      <c r="E284" s="17" t="s">
        <v>75</v>
      </c>
      <c r="F284" s="17" t="s">
        <v>1036</v>
      </c>
      <c r="G284" s="17" t="s">
        <v>1507</v>
      </c>
      <c r="H284" s="17" t="s">
        <v>29</v>
      </c>
      <c r="I284" s="17" t="s">
        <v>289</v>
      </c>
      <c r="J284" s="17" t="s">
        <v>233</v>
      </c>
      <c r="K284" s="19"/>
      <c r="L284" s="19"/>
      <c r="M284" s="19"/>
      <c r="N284" s="19"/>
      <c r="O284" s="17" t="n">
        <v>2</v>
      </c>
      <c r="P284" s="18" t="s">
        <v>1631</v>
      </c>
      <c r="Q284" s="18" t="s">
        <v>522</v>
      </c>
      <c r="R284" s="18" t="s">
        <v>1647</v>
      </c>
      <c r="S284" s="17" t="s">
        <v>1582</v>
      </c>
      <c r="T284" s="18" t="s">
        <v>1480</v>
      </c>
      <c r="U284" s="19"/>
      <c r="V284" s="18" t="s">
        <v>1648</v>
      </c>
      <c r="W284" s="17" t="s">
        <v>240</v>
      </c>
      <c r="X284" s="17" t="s">
        <v>1649</v>
      </c>
      <c r="Y284" s="17" t="s">
        <v>242</v>
      </c>
      <c r="Z284" s="19"/>
      <c r="AA284" s="19"/>
      <c r="AB284" s="17"/>
      <c r="AC284" s="19"/>
    </row>
    <row r="285" customFormat="false" ht="22.35" hidden="false" customHeight="false" outlineLevel="0" collapsed="false">
      <c r="A285" s="10" t="s">
        <v>1650</v>
      </c>
      <c r="B285" s="17" t="s">
        <v>100</v>
      </c>
      <c r="C285" s="18" t="s">
        <v>101</v>
      </c>
      <c r="D285" s="17" t="s">
        <v>19</v>
      </c>
      <c r="E285" s="17" t="s">
        <v>75</v>
      </c>
      <c r="F285" s="17" t="s">
        <v>1036</v>
      </c>
      <c r="G285" s="17" t="s">
        <v>1507</v>
      </c>
      <c r="H285" s="17" t="s">
        <v>29</v>
      </c>
      <c r="I285" s="17" t="s">
        <v>369</v>
      </c>
      <c r="J285" s="17" t="s">
        <v>233</v>
      </c>
      <c r="K285" s="19"/>
      <c r="L285" s="19"/>
      <c r="M285" s="19"/>
      <c r="N285" s="19"/>
      <c r="O285" s="17" t="n">
        <v>2</v>
      </c>
      <c r="P285" s="18" t="s">
        <v>1631</v>
      </c>
      <c r="Q285" s="18" t="s">
        <v>522</v>
      </c>
      <c r="R285" s="18" t="s">
        <v>1651</v>
      </c>
      <c r="S285" s="17" t="s">
        <v>1646</v>
      </c>
      <c r="T285" s="18" t="s">
        <v>1240</v>
      </c>
      <c r="U285" s="19"/>
      <c r="V285" s="18" t="s">
        <v>1652</v>
      </c>
      <c r="W285" s="17" t="s">
        <v>240</v>
      </c>
      <c r="X285" s="17" t="s">
        <v>1486</v>
      </c>
      <c r="Y285" s="17" t="s">
        <v>242</v>
      </c>
      <c r="Z285" s="19"/>
      <c r="AA285" s="19"/>
      <c r="AB285" s="17"/>
      <c r="AC285" s="19"/>
    </row>
    <row r="286" customFormat="false" ht="22.35" hidden="false" customHeight="false" outlineLevel="0" collapsed="false">
      <c r="A286" s="10" t="s">
        <v>1653</v>
      </c>
      <c r="B286" s="17" t="s">
        <v>100</v>
      </c>
      <c r="C286" s="18" t="s">
        <v>101</v>
      </c>
      <c r="D286" s="17" t="s">
        <v>19</v>
      </c>
      <c r="E286" s="17" t="s">
        <v>229</v>
      </c>
      <c r="F286" s="17" t="s">
        <v>1036</v>
      </c>
      <c r="G286" s="17" t="s">
        <v>1507</v>
      </c>
      <c r="H286" s="17" t="s">
        <v>29</v>
      </c>
      <c r="I286" s="17" t="s">
        <v>289</v>
      </c>
      <c r="J286" s="17" t="s">
        <v>233</v>
      </c>
      <c r="K286" s="19"/>
      <c r="L286" s="19"/>
      <c r="M286" s="19"/>
      <c r="N286" s="19"/>
      <c r="O286" s="17" t="n">
        <v>2</v>
      </c>
      <c r="P286" s="18" t="s">
        <v>1631</v>
      </c>
      <c r="Q286" s="18" t="s">
        <v>522</v>
      </c>
      <c r="R286" s="18" t="s">
        <v>1654</v>
      </c>
      <c r="S286" s="17" t="s">
        <v>1593</v>
      </c>
      <c r="T286" s="18" t="s">
        <v>1489</v>
      </c>
      <c r="U286" s="19"/>
      <c r="V286" s="18" t="s">
        <v>1655</v>
      </c>
      <c r="W286" s="17" t="s">
        <v>240</v>
      </c>
      <c r="X286" s="17" t="s">
        <v>384</v>
      </c>
      <c r="Y286" s="17" t="s">
        <v>242</v>
      </c>
      <c r="Z286" s="19"/>
      <c r="AA286" s="19"/>
      <c r="AB286" s="17"/>
      <c r="AC286" s="19"/>
    </row>
    <row r="287" customFormat="false" ht="22.35" hidden="false" customHeight="false" outlineLevel="0" collapsed="false">
      <c r="A287" s="10" t="s">
        <v>1656</v>
      </c>
      <c r="B287" s="17" t="s">
        <v>100</v>
      </c>
      <c r="C287" s="18" t="s">
        <v>101</v>
      </c>
      <c r="D287" s="17" t="s">
        <v>19</v>
      </c>
      <c r="E287" s="17" t="s">
        <v>229</v>
      </c>
      <c r="F287" s="17" t="s">
        <v>1036</v>
      </c>
      <c r="G287" s="17" t="s">
        <v>1507</v>
      </c>
      <c r="H287" s="17" t="s">
        <v>29</v>
      </c>
      <c r="I287" s="17" t="s">
        <v>289</v>
      </c>
      <c r="J287" s="17" t="s">
        <v>233</v>
      </c>
      <c r="K287" s="19"/>
      <c r="L287" s="19"/>
      <c r="M287" s="19"/>
      <c r="N287" s="19"/>
      <c r="O287" s="17" t="n">
        <v>2</v>
      </c>
      <c r="P287" s="18" t="s">
        <v>1631</v>
      </c>
      <c r="Q287" s="18" t="s">
        <v>522</v>
      </c>
      <c r="R287" s="18" t="s">
        <v>1657</v>
      </c>
      <c r="S287" s="17" t="s">
        <v>1653</v>
      </c>
      <c r="T287" s="18" t="s">
        <v>1658</v>
      </c>
      <c r="U287" s="19"/>
      <c r="V287" s="18" t="s">
        <v>1659</v>
      </c>
      <c r="W287" s="17" t="s">
        <v>383</v>
      </c>
      <c r="X287" s="17" t="s">
        <v>1660</v>
      </c>
      <c r="Y287" s="17" t="s">
        <v>242</v>
      </c>
      <c r="Z287" s="19"/>
      <c r="AA287" s="19"/>
      <c r="AB287" s="17"/>
      <c r="AC287" s="19"/>
    </row>
    <row r="288" customFormat="false" ht="22.35" hidden="false" customHeight="false" outlineLevel="0" collapsed="false">
      <c r="A288" s="10" t="s">
        <v>1661</v>
      </c>
      <c r="B288" s="17" t="s">
        <v>100</v>
      </c>
      <c r="C288" s="18" t="s">
        <v>101</v>
      </c>
      <c r="D288" s="17" t="s">
        <v>19</v>
      </c>
      <c r="E288" s="17" t="s">
        <v>75</v>
      </c>
      <c r="F288" s="17" t="s">
        <v>1036</v>
      </c>
      <c r="G288" s="17" t="s">
        <v>1507</v>
      </c>
      <c r="H288" s="17" t="s">
        <v>29</v>
      </c>
      <c r="I288" s="17" t="s">
        <v>289</v>
      </c>
      <c r="J288" s="17" t="s">
        <v>233</v>
      </c>
      <c r="K288" s="19"/>
      <c r="L288" s="19"/>
      <c r="M288" s="19"/>
      <c r="N288" s="19"/>
      <c r="O288" s="17" t="n">
        <v>2</v>
      </c>
      <c r="P288" s="18" t="s">
        <v>1631</v>
      </c>
      <c r="Q288" s="18" t="s">
        <v>522</v>
      </c>
      <c r="R288" s="18" t="s">
        <v>1662</v>
      </c>
      <c r="S288" s="17" t="s">
        <v>1653</v>
      </c>
      <c r="T288" s="18" t="s">
        <v>1257</v>
      </c>
      <c r="U288" s="19"/>
      <c r="V288" s="18" t="s">
        <v>1663</v>
      </c>
      <c r="W288" s="17" t="s">
        <v>240</v>
      </c>
      <c r="X288" s="17" t="s">
        <v>1259</v>
      </c>
      <c r="Y288" s="17" t="s">
        <v>242</v>
      </c>
      <c r="Z288" s="19"/>
      <c r="AA288" s="19"/>
      <c r="AB288" s="17"/>
      <c r="AC288" s="19"/>
    </row>
    <row r="289" customFormat="false" ht="22.35" hidden="false" customHeight="false" outlineLevel="0" collapsed="false">
      <c r="A289" s="10" t="s">
        <v>1664</v>
      </c>
      <c r="B289" s="17" t="s">
        <v>100</v>
      </c>
      <c r="C289" s="18" t="s">
        <v>101</v>
      </c>
      <c r="D289" s="17" t="s">
        <v>19</v>
      </c>
      <c r="E289" s="17" t="s">
        <v>75</v>
      </c>
      <c r="F289" s="17" t="s">
        <v>1036</v>
      </c>
      <c r="G289" s="17" t="s">
        <v>1507</v>
      </c>
      <c r="H289" s="17" t="s">
        <v>29</v>
      </c>
      <c r="I289" s="17" t="s">
        <v>369</v>
      </c>
      <c r="J289" s="17" t="s">
        <v>233</v>
      </c>
      <c r="K289" s="19"/>
      <c r="L289" s="19"/>
      <c r="M289" s="19"/>
      <c r="N289" s="19"/>
      <c r="O289" s="17" t="n">
        <v>2</v>
      </c>
      <c r="P289" s="18" t="s">
        <v>1631</v>
      </c>
      <c r="Q289" s="18" t="s">
        <v>1665</v>
      </c>
      <c r="R289" s="18" t="s">
        <v>1666</v>
      </c>
      <c r="S289" s="17" t="s">
        <v>1582</v>
      </c>
      <c r="T289" s="18" t="s">
        <v>1667</v>
      </c>
      <c r="U289" s="19"/>
      <c r="V289" s="18" t="s">
        <v>1668</v>
      </c>
      <c r="W289" s="17" t="s">
        <v>240</v>
      </c>
      <c r="X289" s="17" t="s">
        <v>1270</v>
      </c>
      <c r="Y289" s="17" t="s">
        <v>242</v>
      </c>
      <c r="Z289" s="19"/>
      <c r="AA289" s="19"/>
      <c r="AB289" s="17"/>
      <c r="AC289" s="19"/>
    </row>
    <row r="290" customFormat="false" ht="22.35" hidden="false" customHeight="false" outlineLevel="0" collapsed="false">
      <c r="A290" s="10" t="s">
        <v>1669</v>
      </c>
      <c r="B290" s="17" t="s">
        <v>100</v>
      </c>
      <c r="C290" s="18" t="s">
        <v>101</v>
      </c>
      <c r="D290" s="17" t="s">
        <v>19</v>
      </c>
      <c r="E290" s="17" t="s">
        <v>75</v>
      </c>
      <c r="F290" s="17" t="s">
        <v>1036</v>
      </c>
      <c r="G290" s="17" t="s">
        <v>1507</v>
      </c>
      <c r="H290" s="17" t="s">
        <v>29</v>
      </c>
      <c r="I290" s="17" t="s">
        <v>283</v>
      </c>
      <c r="J290" s="17" t="s">
        <v>233</v>
      </c>
      <c r="K290" s="19"/>
      <c r="L290" s="19"/>
      <c r="M290" s="19"/>
      <c r="N290" s="19"/>
      <c r="O290" s="17" t="n">
        <v>2</v>
      </c>
      <c r="P290" s="18" t="s">
        <v>1631</v>
      </c>
      <c r="Q290" s="18" t="s">
        <v>1665</v>
      </c>
      <c r="R290" s="18" t="s">
        <v>1670</v>
      </c>
      <c r="S290" s="17" t="s">
        <v>237</v>
      </c>
      <c r="T290" s="18" t="s">
        <v>1082</v>
      </c>
      <c r="U290" s="19"/>
      <c r="V290" s="18" t="s">
        <v>1083</v>
      </c>
      <c r="W290" s="17" t="s">
        <v>240</v>
      </c>
      <c r="X290" s="17" t="s">
        <v>1084</v>
      </c>
      <c r="Y290" s="17" t="s">
        <v>242</v>
      </c>
      <c r="Z290" s="19"/>
      <c r="AA290" s="19"/>
      <c r="AB290" s="17"/>
      <c r="AC290" s="19"/>
    </row>
    <row r="291" customFormat="false" ht="32.8" hidden="false" customHeight="false" outlineLevel="0" collapsed="false">
      <c r="A291" s="10" t="s">
        <v>1671</v>
      </c>
      <c r="B291" s="17" t="s">
        <v>121</v>
      </c>
      <c r="C291" s="18" t="s">
        <v>122</v>
      </c>
      <c r="D291" s="17" t="s">
        <v>19</v>
      </c>
      <c r="E291" s="17" t="s">
        <v>229</v>
      </c>
      <c r="F291" s="17" t="s">
        <v>1672</v>
      </c>
      <c r="G291" s="17" t="s">
        <v>1673</v>
      </c>
      <c r="H291" s="17" t="s">
        <v>29</v>
      </c>
      <c r="I291" s="17" t="s">
        <v>232</v>
      </c>
      <c r="J291" s="17" t="s">
        <v>233</v>
      </c>
      <c r="K291" s="19"/>
      <c r="L291" s="19"/>
      <c r="M291" s="19"/>
      <c r="N291" s="19"/>
      <c r="O291" s="17" t="n">
        <v>0</v>
      </c>
      <c r="P291" s="18" t="s">
        <v>1674</v>
      </c>
      <c r="Q291" s="18" t="s">
        <v>1675</v>
      </c>
      <c r="R291" s="18" t="s">
        <v>1676</v>
      </c>
      <c r="S291" s="17" t="s">
        <v>1677</v>
      </c>
      <c r="T291" s="18" t="s">
        <v>1678</v>
      </c>
      <c r="U291" s="19"/>
      <c r="V291" s="18" t="s">
        <v>1679</v>
      </c>
      <c r="W291" s="17" t="s">
        <v>240</v>
      </c>
      <c r="X291" s="17" t="s">
        <v>1680</v>
      </c>
      <c r="Y291" s="17" t="s">
        <v>242</v>
      </c>
      <c r="Z291" s="19"/>
      <c r="AA291" s="19"/>
      <c r="AB291" s="17" t="s">
        <v>1681</v>
      </c>
      <c r="AC291" s="19"/>
    </row>
    <row r="292" customFormat="false" ht="32.8" hidden="false" customHeight="false" outlineLevel="0" collapsed="false">
      <c r="A292" s="10" t="s">
        <v>1682</v>
      </c>
      <c r="B292" s="17" t="s">
        <v>121</v>
      </c>
      <c r="C292" s="18" t="s">
        <v>122</v>
      </c>
      <c r="D292" s="17" t="s">
        <v>19</v>
      </c>
      <c r="E292" s="17" t="s">
        <v>229</v>
      </c>
      <c r="F292" s="17" t="s">
        <v>1672</v>
      </c>
      <c r="G292" s="17" t="s">
        <v>1673</v>
      </c>
      <c r="H292" s="17" t="s">
        <v>29</v>
      </c>
      <c r="I292" s="17" t="s">
        <v>232</v>
      </c>
      <c r="J292" s="17" t="s">
        <v>233</v>
      </c>
      <c r="K292" s="19"/>
      <c r="L292" s="19"/>
      <c r="M292" s="19"/>
      <c r="N292" s="19"/>
      <c r="O292" s="17" t="n">
        <v>0</v>
      </c>
      <c r="P292" s="18" t="s">
        <v>1674</v>
      </c>
      <c r="Q292" s="18" t="s">
        <v>1675</v>
      </c>
      <c r="R292" s="18" t="s">
        <v>1683</v>
      </c>
      <c r="S292" s="17" t="s">
        <v>1671</v>
      </c>
      <c r="T292" s="18" t="s">
        <v>1684</v>
      </c>
      <c r="U292" s="19"/>
      <c r="V292" s="18" t="s">
        <v>1685</v>
      </c>
      <c r="W292" s="17" t="s">
        <v>240</v>
      </c>
      <c r="X292" s="17" t="s">
        <v>1686</v>
      </c>
      <c r="Y292" s="17" t="s">
        <v>242</v>
      </c>
      <c r="Z292" s="19"/>
      <c r="AA292" s="19"/>
      <c r="AB292" s="17"/>
      <c r="AC292" s="19"/>
    </row>
    <row r="293" customFormat="false" ht="32.8" hidden="false" customHeight="false" outlineLevel="0" collapsed="false">
      <c r="A293" s="10" t="s">
        <v>1687</v>
      </c>
      <c r="B293" s="17" t="s">
        <v>121</v>
      </c>
      <c r="C293" s="18" t="s">
        <v>122</v>
      </c>
      <c r="D293" s="17" t="s">
        <v>19</v>
      </c>
      <c r="E293" s="17" t="s">
        <v>229</v>
      </c>
      <c r="F293" s="17" t="s">
        <v>1672</v>
      </c>
      <c r="G293" s="17" t="s">
        <v>1673</v>
      </c>
      <c r="H293" s="17" t="s">
        <v>29</v>
      </c>
      <c r="I293" s="17" t="s">
        <v>232</v>
      </c>
      <c r="J293" s="17" t="s">
        <v>233</v>
      </c>
      <c r="K293" s="19"/>
      <c r="L293" s="19"/>
      <c r="M293" s="19"/>
      <c r="N293" s="19"/>
      <c r="O293" s="17" t="n">
        <v>0</v>
      </c>
      <c r="P293" s="18" t="s">
        <v>1674</v>
      </c>
      <c r="Q293" s="18" t="s">
        <v>1675</v>
      </c>
      <c r="R293" s="18" t="s">
        <v>1688</v>
      </c>
      <c r="S293" s="17" t="s">
        <v>1671</v>
      </c>
      <c r="T293" s="18" t="s">
        <v>1689</v>
      </c>
      <c r="U293" s="19"/>
      <c r="V293" s="18" t="s">
        <v>1690</v>
      </c>
      <c r="W293" s="17" t="s">
        <v>240</v>
      </c>
      <c r="X293" s="17" t="s">
        <v>1691</v>
      </c>
      <c r="Y293" s="17" t="s">
        <v>242</v>
      </c>
      <c r="Z293" s="19"/>
      <c r="AA293" s="19"/>
      <c r="AB293" s="17"/>
      <c r="AC293" s="19"/>
    </row>
    <row r="294" customFormat="false" ht="22.35" hidden="false" customHeight="false" outlineLevel="0" collapsed="false">
      <c r="A294" s="10" t="s">
        <v>1692</v>
      </c>
      <c r="B294" s="17" t="s">
        <v>121</v>
      </c>
      <c r="C294" s="18" t="s">
        <v>122</v>
      </c>
      <c r="D294" s="17" t="s">
        <v>19</v>
      </c>
      <c r="E294" s="17" t="s">
        <v>75</v>
      </c>
      <c r="F294" s="17" t="s">
        <v>1672</v>
      </c>
      <c r="G294" s="17" t="s">
        <v>1673</v>
      </c>
      <c r="H294" s="17" t="s">
        <v>29</v>
      </c>
      <c r="I294" s="17" t="s">
        <v>893</v>
      </c>
      <c r="J294" s="17" t="s">
        <v>233</v>
      </c>
      <c r="K294" s="19"/>
      <c r="L294" s="19"/>
      <c r="M294" s="19"/>
      <c r="N294" s="19"/>
      <c r="O294" s="17" t="n">
        <v>2</v>
      </c>
      <c r="P294" s="18" t="s">
        <v>1674</v>
      </c>
      <c r="Q294" s="18" t="s">
        <v>1693</v>
      </c>
      <c r="R294" s="18" t="s">
        <v>1694</v>
      </c>
      <c r="S294" s="17" t="s">
        <v>1695</v>
      </c>
      <c r="T294" s="18" t="s">
        <v>1696</v>
      </c>
      <c r="U294" s="19"/>
      <c r="V294" s="18" t="s">
        <v>1697</v>
      </c>
      <c r="W294" s="17" t="s">
        <v>240</v>
      </c>
      <c r="X294" s="17" t="s">
        <v>1698</v>
      </c>
      <c r="Y294" s="17" t="s">
        <v>242</v>
      </c>
      <c r="Z294" s="19"/>
      <c r="AA294" s="19"/>
      <c r="AB294" s="17"/>
      <c r="AC294" s="19"/>
    </row>
    <row r="295" customFormat="false" ht="22.35" hidden="false" customHeight="false" outlineLevel="0" collapsed="false">
      <c r="A295" s="10" t="s">
        <v>1699</v>
      </c>
      <c r="B295" s="17" t="s">
        <v>121</v>
      </c>
      <c r="C295" s="18" t="s">
        <v>122</v>
      </c>
      <c r="D295" s="17" t="s">
        <v>19</v>
      </c>
      <c r="E295" s="17" t="s">
        <v>229</v>
      </c>
      <c r="F295" s="17" t="s">
        <v>1672</v>
      </c>
      <c r="G295" s="17" t="s">
        <v>1673</v>
      </c>
      <c r="H295" s="17" t="s">
        <v>29</v>
      </c>
      <c r="I295" s="17" t="s">
        <v>893</v>
      </c>
      <c r="J295" s="17" t="s">
        <v>233</v>
      </c>
      <c r="K295" s="19"/>
      <c r="L295" s="19"/>
      <c r="M295" s="19"/>
      <c r="N295" s="19"/>
      <c r="O295" s="17" t="n">
        <v>2</v>
      </c>
      <c r="P295" s="18" t="s">
        <v>1674</v>
      </c>
      <c r="Q295" s="18" t="s">
        <v>1693</v>
      </c>
      <c r="R295" s="18" t="s">
        <v>1700</v>
      </c>
      <c r="S295" s="17" t="s">
        <v>1701</v>
      </c>
      <c r="T295" s="18" t="s">
        <v>1702</v>
      </c>
      <c r="U295" s="19"/>
      <c r="V295" s="18" t="s">
        <v>1703</v>
      </c>
      <c r="W295" s="17" t="s">
        <v>240</v>
      </c>
      <c r="X295" s="17" t="s">
        <v>1704</v>
      </c>
      <c r="Y295" s="17" t="s">
        <v>242</v>
      </c>
      <c r="Z295" s="19"/>
      <c r="AA295" s="19"/>
      <c r="AB295" s="17"/>
      <c r="AC295" s="19"/>
    </row>
    <row r="296" customFormat="false" ht="22.35" hidden="false" customHeight="false" outlineLevel="0" collapsed="false">
      <c r="A296" s="10" t="s">
        <v>1705</v>
      </c>
      <c r="B296" s="17" t="s">
        <v>121</v>
      </c>
      <c r="C296" s="18" t="s">
        <v>122</v>
      </c>
      <c r="D296" s="17" t="s">
        <v>19</v>
      </c>
      <c r="E296" s="17" t="s">
        <v>229</v>
      </c>
      <c r="F296" s="17" t="s">
        <v>1672</v>
      </c>
      <c r="G296" s="17" t="s">
        <v>1673</v>
      </c>
      <c r="H296" s="17" t="s">
        <v>29</v>
      </c>
      <c r="I296" s="17" t="s">
        <v>893</v>
      </c>
      <c r="J296" s="17" t="s">
        <v>233</v>
      </c>
      <c r="K296" s="19"/>
      <c r="L296" s="19"/>
      <c r="M296" s="19"/>
      <c r="N296" s="19"/>
      <c r="O296" s="17" t="n">
        <v>2</v>
      </c>
      <c r="P296" s="18" t="s">
        <v>1674</v>
      </c>
      <c r="Q296" s="18" t="s">
        <v>1693</v>
      </c>
      <c r="R296" s="18" t="s">
        <v>1706</v>
      </c>
      <c r="S296" s="17" t="s">
        <v>1169</v>
      </c>
      <c r="T296" s="18" t="s">
        <v>1707</v>
      </c>
      <c r="U296" s="19"/>
      <c r="V296" s="18" t="s">
        <v>1708</v>
      </c>
      <c r="W296" s="17" t="s">
        <v>240</v>
      </c>
      <c r="X296" s="17" t="s">
        <v>1709</v>
      </c>
      <c r="Y296" s="17" t="s">
        <v>242</v>
      </c>
      <c r="Z296" s="19"/>
      <c r="AA296" s="19"/>
      <c r="AB296" s="17"/>
      <c r="AC296" s="19"/>
    </row>
    <row r="297" customFormat="false" ht="22.35" hidden="false" customHeight="false" outlineLevel="0" collapsed="false">
      <c r="A297" s="10" t="s">
        <v>1710</v>
      </c>
      <c r="B297" s="17" t="s">
        <v>121</v>
      </c>
      <c r="C297" s="18" t="s">
        <v>122</v>
      </c>
      <c r="D297" s="17" t="s">
        <v>19</v>
      </c>
      <c r="E297" s="17" t="s">
        <v>75</v>
      </c>
      <c r="F297" s="17" t="s">
        <v>1672</v>
      </c>
      <c r="G297" s="17" t="s">
        <v>1673</v>
      </c>
      <c r="H297" s="17" t="s">
        <v>29</v>
      </c>
      <c r="I297" s="17" t="s">
        <v>893</v>
      </c>
      <c r="J297" s="17" t="s">
        <v>233</v>
      </c>
      <c r="K297" s="19"/>
      <c r="L297" s="19"/>
      <c r="M297" s="19"/>
      <c r="N297" s="19"/>
      <c r="O297" s="17" t="n">
        <v>2</v>
      </c>
      <c r="P297" s="18" t="s">
        <v>1674</v>
      </c>
      <c r="Q297" s="18" t="s">
        <v>1693</v>
      </c>
      <c r="R297" s="18" t="s">
        <v>1711</v>
      </c>
      <c r="S297" s="17" t="s">
        <v>1692</v>
      </c>
      <c r="T297" s="18" t="s">
        <v>1712</v>
      </c>
      <c r="U297" s="19"/>
      <c r="V297" s="18" t="s">
        <v>1713</v>
      </c>
      <c r="W297" s="17" t="s">
        <v>240</v>
      </c>
      <c r="X297" s="17" t="s">
        <v>1714</v>
      </c>
      <c r="Y297" s="17" t="s">
        <v>242</v>
      </c>
      <c r="Z297" s="19"/>
      <c r="AA297" s="19"/>
      <c r="AB297" s="17"/>
      <c r="AC297" s="19"/>
    </row>
    <row r="298" customFormat="false" ht="22.35" hidden="false" customHeight="false" outlineLevel="0" collapsed="false">
      <c r="A298" s="10" t="s">
        <v>1715</v>
      </c>
      <c r="B298" s="17" t="s">
        <v>121</v>
      </c>
      <c r="C298" s="18" t="s">
        <v>122</v>
      </c>
      <c r="D298" s="17" t="s">
        <v>19</v>
      </c>
      <c r="E298" s="17" t="s">
        <v>75</v>
      </c>
      <c r="F298" s="17" t="s">
        <v>1672</v>
      </c>
      <c r="G298" s="17" t="s">
        <v>1673</v>
      </c>
      <c r="H298" s="17" t="s">
        <v>29</v>
      </c>
      <c r="I298" s="17" t="s">
        <v>316</v>
      </c>
      <c r="J298" s="17" t="s">
        <v>233</v>
      </c>
      <c r="K298" s="19"/>
      <c r="L298" s="19"/>
      <c r="M298" s="19"/>
      <c r="N298" s="19"/>
      <c r="O298" s="17" t="n">
        <v>2</v>
      </c>
      <c r="P298" s="18" t="s">
        <v>1674</v>
      </c>
      <c r="Q298" s="18" t="s">
        <v>1716</v>
      </c>
      <c r="R298" s="18" t="s">
        <v>1717</v>
      </c>
      <c r="S298" s="17" t="s">
        <v>1687</v>
      </c>
      <c r="T298" s="18" t="s">
        <v>1718</v>
      </c>
      <c r="U298" s="19"/>
      <c r="V298" s="18" t="s">
        <v>1719</v>
      </c>
      <c r="W298" s="17" t="s">
        <v>240</v>
      </c>
      <c r="X298" s="17" t="s">
        <v>1720</v>
      </c>
      <c r="Y298" s="17" t="s">
        <v>242</v>
      </c>
      <c r="Z298" s="19"/>
      <c r="AA298" s="19"/>
      <c r="AB298" s="17"/>
      <c r="AC298" s="19"/>
    </row>
    <row r="299" customFormat="false" ht="22.35" hidden="false" customHeight="false" outlineLevel="0" collapsed="false">
      <c r="A299" s="10" t="s">
        <v>1721</v>
      </c>
      <c r="B299" s="17" t="s">
        <v>121</v>
      </c>
      <c r="C299" s="18" t="s">
        <v>122</v>
      </c>
      <c r="D299" s="17" t="s">
        <v>19</v>
      </c>
      <c r="E299" s="17" t="s">
        <v>229</v>
      </c>
      <c r="F299" s="17" t="s">
        <v>1672</v>
      </c>
      <c r="G299" s="17" t="s">
        <v>1673</v>
      </c>
      <c r="H299" s="17" t="s">
        <v>29</v>
      </c>
      <c r="I299" s="17" t="s">
        <v>277</v>
      </c>
      <c r="J299" s="17" t="s">
        <v>233</v>
      </c>
      <c r="K299" s="19"/>
      <c r="L299" s="19"/>
      <c r="M299" s="19"/>
      <c r="N299" s="19"/>
      <c r="O299" s="17" t="n">
        <v>2</v>
      </c>
      <c r="P299" s="18" t="s">
        <v>1674</v>
      </c>
      <c r="Q299" s="18" t="s">
        <v>1716</v>
      </c>
      <c r="R299" s="18" t="s">
        <v>1722</v>
      </c>
      <c r="S299" s="17" t="s">
        <v>1715</v>
      </c>
      <c r="T299" s="18" t="s">
        <v>1470</v>
      </c>
      <c r="U299" s="19"/>
      <c r="V299" s="18" t="s">
        <v>1723</v>
      </c>
      <c r="W299" s="17" t="s">
        <v>240</v>
      </c>
      <c r="X299" s="17" t="s">
        <v>1724</v>
      </c>
      <c r="Y299" s="17" t="s">
        <v>242</v>
      </c>
      <c r="Z299" s="19"/>
      <c r="AA299" s="19"/>
      <c r="AB299" s="17"/>
      <c r="AC299" s="19"/>
    </row>
    <row r="300" customFormat="false" ht="32.8" hidden="false" customHeight="false" outlineLevel="0" collapsed="false">
      <c r="A300" s="10" t="s">
        <v>1725</v>
      </c>
      <c r="B300" s="17" t="s">
        <v>121</v>
      </c>
      <c r="C300" s="18" t="s">
        <v>122</v>
      </c>
      <c r="D300" s="17" t="s">
        <v>19</v>
      </c>
      <c r="E300" s="17" t="s">
        <v>75</v>
      </c>
      <c r="F300" s="17" t="s">
        <v>1672</v>
      </c>
      <c r="G300" s="17" t="s">
        <v>1673</v>
      </c>
      <c r="H300" s="17" t="s">
        <v>29</v>
      </c>
      <c r="I300" s="17" t="s">
        <v>316</v>
      </c>
      <c r="J300" s="17" t="s">
        <v>233</v>
      </c>
      <c r="K300" s="19"/>
      <c r="L300" s="19"/>
      <c r="M300" s="19"/>
      <c r="N300" s="19"/>
      <c r="O300" s="17" t="n">
        <v>2</v>
      </c>
      <c r="P300" s="18" t="s">
        <v>1674</v>
      </c>
      <c r="Q300" s="18" t="s">
        <v>1716</v>
      </c>
      <c r="R300" s="18" t="s">
        <v>1726</v>
      </c>
      <c r="S300" s="17" t="s">
        <v>1715</v>
      </c>
      <c r="T300" s="18" t="s">
        <v>660</v>
      </c>
      <c r="U300" s="19"/>
      <c r="V300" s="18" t="s">
        <v>1727</v>
      </c>
      <c r="W300" s="17" t="s">
        <v>240</v>
      </c>
      <c r="X300" s="17" t="s">
        <v>1728</v>
      </c>
      <c r="Y300" s="17" t="s">
        <v>242</v>
      </c>
      <c r="Z300" s="19"/>
      <c r="AA300" s="19"/>
      <c r="AB300" s="17"/>
      <c r="AC300" s="19"/>
    </row>
    <row r="301" customFormat="false" ht="22.35" hidden="false" customHeight="false" outlineLevel="0" collapsed="false">
      <c r="A301" s="10" t="s">
        <v>1729</v>
      </c>
      <c r="B301" s="17" t="s">
        <v>121</v>
      </c>
      <c r="C301" s="18" t="s">
        <v>122</v>
      </c>
      <c r="D301" s="17" t="s">
        <v>19</v>
      </c>
      <c r="E301" s="17" t="s">
        <v>75</v>
      </c>
      <c r="F301" s="17" t="s">
        <v>1672</v>
      </c>
      <c r="G301" s="17" t="s">
        <v>1673</v>
      </c>
      <c r="H301" s="17" t="s">
        <v>29</v>
      </c>
      <c r="I301" s="17" t="s">
        <v>277</v>
      </c>
      <c r="J301" s="17" t="s">
        <v>233</v>
      </c>
      <c r="K301" s="19"/>
      <c r="L301" s="19"/>
      <c r="M301" s="19"/>
      <c r="N301" s="19"/>
      <c r="O301" s="17" t="n">
        <v>2</v>
      </c>
      <c r="P301" s="18" t="s">
        <v>1674</v>
      </c>
      <c r="Q301" s="18" t="s">
        <v>1716</v>
      </c>
      <c r="R301" s="18" t="s">
        <v>1730</v>
      </c>
      <c r="S301" s="17" t="s">
        <v>1731</v>
      </c>
      <c r="T301" s="18" t="s">
        <v>1732</v>
      </c>
      <c r="U301" s="19"/>
      <c r="V301" s="18" t="s">
        <v>1733</v>
      </c>
      <c r="W301" s="17" t="s">
        <v>240</v>
      </c>
      <c r="X301" s="17" t="s">
        <v>1734</v>
      </c>
      <c r="Y301" s="17" t="s">
        <v>242</v>
      </c>
      <c r="Z301" s="19"/>
      <c r="AA301" s="19"/>
      <c r="AB301" s="17"/>
      <c r="AC301" s="19"/>
    </row>
    <row r="302" customFormat="false" ht="22.35" hidden="false" customHeight="false" outlineLevel="0" collapsed="false">
      <c r="A302" s="10" t="s">
        <v>1735</v>
      </c>
      <c r="B302" s="17" t="s">
        <v>121</v>
      </c>
      <c r="C302" s="18" t="s">
        <v>122</v>
      </c>
      <c r="D302" s="17" t="s">
        <v>19</v>
      </c>
      <c r="E302" s="17" t="s">
        <v>75</v>
      </c>
      <c r="F302" s="17" t="s">
        <v>1672</v>
      </c>
      <c r="G302" s="17" t="s">
        <v>1673</v>
      </c>
      <c r="H302" s="17" t="s">
        <v>29</v>
      </c>
      <c r="I302" s="17" t="s">
        <v>289</v>
      </c>
      <c r="J302" s="17" t="s">
        <v>233</v>
      </c>
      <c r="K302" s="19"/>
      <c r="L302" s="19"/>
      <c r="M302" s="19"/>
      <c r="N302" s="19"/>
      <c r="O302" s="17" t="n">
        <v>2</v>
      </c>
      <c r="P302" s="18" t="s">
        <v>1674</v>
      </c>
      <c r="Q302" s="18" t="s">
        <v>1736</v>
      </c>
      <c r="R302" s="18" t="s">
        <v>1737</v>
      </c>
      <c r="S302" s="17" t="s">
        <v>1692</v>
      </c>
      <c r="T302" s="18" t="s">
        <v>1738</v>
      </c>
      <c r="U302" s="19"/>
      <c r="V302" s="18" t="s">
        <v>1739</v>
      </c>
      <c r="W302" s="17" t="s">
        <v>240</v>
      </c>
      <c r="X302" s="17" t="s">
        <v>1740</v>
      </c>
      <c r="Y302" s="17" t="s">
        <v>242</v>
      </c>
      <c r="Z302" s="19"/>
      <c r="AA302" s="19"/>
      <c r="AB302" s="17"/>
      <c r="AC302" s="19"/>
    </row>
    <row r="303" customFormat="false" ht="22.35" hidden="false" customHeight="false" outlineLevel="0" collapsed="false">
      <c r="A303" s="10" t="s">
        <v>1741</v>
      </c>
      <c r="B303" s="17" t="s">
        <v>121</v>
      </c>
      <c r="C303" s="18" t="s">
        <v>122</v>
      </c>
      <c r="D303" s="17" t="s">
        <v>19</v>
      </c>
      <c r="E303" s="17" t="s">
        <v>229</v>
      </c>
      <c r="F303" s="17" t="s">
        <v>1672</v>
      </c>
      <c r="G303" s="17" t="s">
        <v>1673</v>
      </c>
      <c r="H303" s="17" t="s">
        <v>29</v>
      </c>
      <c r="I303" s="17" t="s">
        <v>289</v>
      </c>
      <c r="J303" s="17" t="s">
        <v>233</v>
      </c>
      <c r="K303" s="19"/>
      <c r="L303" s="19"/>
      <c r="M303" s="19"/>
      <c r="N303" s="19"/>
      <c r="O303" s="17" t="n">
        <v>2</v>
      </c>
      <c r="P303" s="18" t="s">
        <v>1674</v>
      </c>
      <c r="Q303" s="18" t="s">
        <v>1736</v>
      </c>
      <c r="R303" s="18" t="s">
        <v>1742</v>
      </c>
      <c r="S303" s="17" t="s">
        <v>1692</v>
      </c>
      <c r="T303" s="18" t="s">
        <v>1658</v>
      </c>
      <c r="U303" s="19"/>
      <c r="V303" s="18" t="s">
        <v>1743</v>
      </c>
      <c r="W303" s="17" t="s">
        <v>383</v>
      </c>
      <c r="X303" s="17" t="s">
        <v>1744</v>
      </c>
      <c r="Y303" s="17" t="s">
        <v>242</v>
      </c>
      <c r="Z303" s="19"/>
      <c r="AA303" s="19"/>
      <c r="AB303" s="17"/>
      <c r="AC303" s="19"/>
    </row>
    <row r="304" customFormat="false" ht="22.35" hidden="false" customHeight="false" outlineLevel="0" collapsed="false">
      <c r="A304" s="10" t="s">
        <v>1745</v>
      </c>
      <c r="B304" s="17" t="s">
        <v>121</v>
      </c>
      <c r="C304" s="18" t="s">
        <v>122</v>
      </c>
      <c r="D304" s="17" t="s">
        <v>19</v>
      </c>
      <c r="E304" s="17" t="s">
        <v>75</v>
      </c>
      <c r="F304" s="17" t="s">
        <v>1672</v>
      </c>
      <c r="G304" s="17" t="s">
        <v>1673</v>
      </c>
      <c r="H304" s="17" t="s">
        <v>29</v>
      </c>
      <c r="I304" s="17" t="s">
        <v>369</v>
      </c>
      <c r="J304" s="17" t="s">
        <v>233</v>
      </c>
      <c r="K304" s="19"/>
      <c r="L304" s="19"/>
      <c r="M304" s="19"/>
      <c r="N304" s="19"/>
      <c r="O304" s="17" t="n">
        <v>2</v>
      </c>
      <c r="P304" s="18" t="s">
        <v>1674</v>
      </c>
      <c r="Q304" s="18" t="s">
        <v>1736</v>
      </c>
      <c r="R304" s="18" t="s">
        <v>1746</v>
      </c>
      <c r="S304" s="17" t="s">
        <v>1699</v>
      </c>
      <c r="T304" s="18" t="s">
        <v>1747</v>
      </c>
      <c r="U304" s="19"/>
      <c r="V304" s="18" t="s">
        <v>1748</v>
      </c>
      <c r="W304" s="17" t="s">
        <v>240</v>
      </c>
      <c r="X304" s="17" t="s">
        <v>1270</v>
      </c>
      <c r="Y304" s="17" t="s">
        <v>242</v>
      </c>
      <c r="Z304" s="19"/>
      <c r="AA304" s="19"/>
      <c r="AB304" s="17"/>
      <c r="AC304" s="19"/>
    </row>
    <row r="305" customFormat="false" ht="22.35" hidden="false" customHeight="false" outlineLevel="0" collapsed="false">
      <c r="A305" s="10" t="s">
        <v>1749</v>
      </c>
      <c r="B305" s="17" t="s">
        <v>121</v>
      </c>
      <c r="C305" s="18" t="s">
        <v>122</v>
      </c>
      <c r="D305" s="17" t="s">
        <v>19</v>
      </c>
      <c r="E305" s="17" t="s">
        <v>75</v>
      </c>
      <c r="F305" s="17" t="s">
        <v>1672</v>
      </c>
      <c r="G305" s="17" t="s">
        <v>1673</v>
      </c>
      <c r="H305" s="17" t="s">
        <v>29</v>
      </c>
      <c r="I305" s="17" t="s">
        <v>283</v>
      </c>
      <c r="J305" s="17" t="s">
        <v>233</v>
      </c>
      <c r="K305" s="19"/>
      <c r="L305" s="19"/>
      <c r="M305" s="19"/>
      <c r="N305" s="19"/>
      <c r="O305" s="17" t="n">
        <v>2</v>
      </c>
      <c r="P305" s="18" t="s">
        <v>1674</v>
      </c>
      <c r="Q305" s="18" t="s">
        <v>1736</v>
      </c>
      <c r="R305" s="18" t="s">
        <v>1750</v>
      </c>
      <c r="S305" s="17" t="s">
        <v>237</v>
      </c>
      <c r="T305" s="18" t="s">
        <v>1082</v>
      </c>
      <c r="U305" s="19"/>
      <c r="V305" s="18" t="s">
        <v>1083</v>
      </c>
      <c r="W305" s="17" t="s">
        <v>240</v>
      </c>
      <c r="X305" s="17" t="s">
        <v>1084</v>
      </c>
      <c r="Y305" s="17" t="s">
        <v>242</v>
      </c>
      <c r="Z305" s="19"/>
      <c r="AA305" s="19"/>
      <c r="AB305" s="17"/>
      <c r="AC305" s="19"/>
    </row>
    <row r="306" customFormat="false" ht="32.8" hidden="false" customHeight="false" outlineLevel="0" collapsed="false">
      <c r="A306" s="10" t="s">
        <v>1751</v>
      </c>
      <c r="B306" s="17" t="s">
        <v>106</v>
      </c>
      <c r="C306" s="18" t="s">
        <v>107</v>
      </c>
      <c r="D306" s="17" t="s">
        <v>19</v>
      </c>
      <c r="E306" s="17" t="s">
        <v>229</v>
      </c>
      <c r="F306" s="17" t="s">
        <v>1672</v>
      </c>
      <c r="G306" s="17" t="s">
        <v>1752</v>
      </c>
      <c r="H306" s="17" t="s">
        <v>29</v>
      </c>
      <c r="I306" s="17" t="s">
        <v>232</v>
      </c>
      <c r="J306" s="17" t="s">
        <v>233</v>
      </c>
      <c r="K306" s="19"/>
      <c r="L306" s="19"/>
      <c r="M306" s="19"/>
      <c r="N306" s="19"/>
      <c r="O306" s="17" t="n">
        <v>0</v>
      </c>
      <c r="P306" s="18" t="s">
        <v>1753</v>
      </c>
      <c r="Q306" s="18" t="s">
        <v>1754</v>
      </c>
      <c r="R306" s="18" t="s">
        <v>1755</v>
      </c>
      <c r="S306" s="17" t="s">
        <v>443</v>
      </c>
      <c r="T306" s="18" t="s">
        <v>1756</v>
      </c>
      <c r="U306" s="19"/>
      <c r="V306" s="18" t="s">
        <v>1757</v>
      </c>
      <c r="W306" s="17" t="s">
        <v>240</v>
      </c>
      <c r="X306" s="17" t="s">
        <v>1758</v>
      </c>
      <c r="Y306" s="17" t="s">
        <v>242</v>
      </c>
      <c r="Z306" s="19"/>
      <c r="AA306" s="19"/>
      <c r="AB306" s="17"/>
      <c r="AC306" s="19"/>
    </row>
    <row r="307" customFormat="false" ht="32.8" hidden="false" customHeight="false" outlineLevel="0" collapsed="false">
      <c r="A307" s="10" t="s">
        <v>1759</v>
      </c>
      <c r="B307" s="17" t="s">
        <v>106</v>
      </c>
      <c r="C307" s="18" t="s">
        <v>107</v>
      </c>
      <c r="D307" s="17" t="s">
        <v>19</v>
      </c>
      <c r="E307" s="17" t="s">
        <v>229</v>
      </c>
      <c r="F307" s="17" t="s">
        <v>1672</v>
      </c>
      <c r="G307" s="17" t="s">
        <v>1752</v>
      </c>
      <c r="H307" s="17" t="s">
        <v>29</v>
      </c>
      <c r="I307" s="17" t="s">
        <v>232</v>
      </c>
      <c r="J307" s="17" t="s">
        <v>233</v>
      </c>
      <c r="K307" s="19"/>
      <c r="L307" s="19"/>
      <c r="M307" s="19"/>
      <c r="N307" s="19"/>
      <c r="O307" s="17" t="n">
        <v>0</v>
      </c>
      <c r="P307" s="18" t="s">
        <v>1753</v>
      </c>
      <c r="Q307" s="18" t="s">
        <v>1754</v>
      </c>
      <c r="R307" s="18" t="s">
        <v>1760</v>
      </c>
      <c r="S307" s="17" t="s">
        <v>1761</v>
      </c>
      <c r="T307" s="18" t="s">
        <v>1537</v>
      </c>
      <c r="U307" s="19"/>
      <c r="V307" s="18" t="s">
        <v>1762</v>
      </c>
      <c r="W307" s="17" t="s">
        <v>240</v>
      </c>
      <c r="X307" s="17" t="s">
        <v>1763</v>
      </c>
      <c r="Y307" s="17" t="s">
        <v>242</v>
      </c>
      <c r="Z307" s="19"/>
      <c r="AA307" s="19"/>
      <c r="AB307" s="17"/>
      <c r="AC307" s="19"/>
    </row>
    <row r="308" customFormat="false" ht="22.35" hidden="false" customHeight="false" outlineLevel="0" collapsed="false">
      <c r="A308" s="10" t="s">
        <v>1764</v>
      </c>
      <c r="B308" s="17" t="s">
        <v>106</v>
      </c>
      <c r="C308" s="18" t="s">
        <v>107</v>
      </c>
      <c r="D308" s="17" t="s">
        <v>19</v>
      </c>
      <c r="E308" s="17" t="s">
        <v>229</v>
      </c>
      <c r="F308" s="17" t="s">
        <v>1672</v>
      </c>
      <c r="G308" s="17" t="s">
        <v>1752</v>
      </c>
      <c r="H308" s="17" t="s">
        <v>29</v>
      </c>
      <c r="I308" s="17" t="s">
        <v>232</v>
      </c>
      <c r="J308" s="17" t="s">
        <v>233</v>
      </c>
      <c r="K308" s="19"/>
      <c r="L308" s="19"/>
      <c r="M308" s="19"/>
      <c r="N308" s="19"/>
      <c r="O308" s="17" t="n">
        <v>0</v>
      </c>
      <c r="P308" s="18" t="s">
        <v>1753</v>
      </c>
      <c r="Q308" s="18" t="s">
        <v>1754</v>
      </c>
      <c r="R308" s="18" t="s">
        <v>1765</v>
      </c>
      <c r="S308" s="17" t="s">
        <v>1751</v>
      </c>
      <c r="T308" s="18" t="s">
        <v>1766</v>
      </c>
      <c r="U308" s="19"/>
      <c r="V308" s="18" t="s">
        <v>1767</v>
      </c>
      <c r="W308" s="17" t="s">
        <v>240</v>
      </c>
      <c r="X308" s="17" t="s">
        <v>1768</v>
      </c>
      <c r="Y308" s="17" t="s">
        <v>242</v>
      </c>
      <c r="Z308" s="19"/>
      <c r="AA308" s="19"/>
      <c r="AB308" s="17"/>
      <c r="AC308" s="19"/>
    </row>
    <row r="309" customFormat="false" ht="22.35" hidden="false" customHeight="false" outlineLevel="0" collapsed="false">
      <c r="A309" s="10" t="s">
        <v>1769</v>
      </c>
      <c r="B309" s="17" t="s">
        <v>106</v>
      </c>
      <c r="C309" s="18" t="s">
        <v>107</v>
      </c>
      <c r="D309" s="17" t="s">
        <v>19</v>
      </c>
      <c r="E309" s="17" t="s">
        <v>229</v>
      </c>
      <c r="F309" s="17" t="s">
        <v>1672</v>
      </c>
      <c r="G309" s="17" t="s">
        <v>1752</v>
      </c>
      <c r="H309" s="17" t="s">
        <v>29</v>
      </c>
      <c r="I309" s="17" t="s">
        <v>1413</v>
      </c>
      <c r="J309" s="17" t="s">
        <v>233</v>
      </c>
      <c r="K309" s="19"/>
      <c r="L309" s="19"/>
      <c r="M309" s="19"/>
      <c r="N309" s="19"/>
      <c r="O309" s="17" t="n">
        <v>0</v>
      </c>
      <c r="P309" s="18" t="s">
        <v>1753</v>
      </c>
      <c r="Q309" s="18" t="s">
        <v>1770</v>
      </c>
      <c r="R309" s="18" t="s">
        <v>1771</v>
      </c>
      <c r="S309" s="17" t="s">
        <v>237</v>
      </c>
      <c r="T309" s="18" t="s">
        <v>1772</v>
      </c>
      <c r="U309" s="19"/>
      <c r="V309" s="18" t="s">
        <v>1773</v>
      </c>
      <c r="W309" s="17" t="s">
        <v>240</v>
      </c>
      <c r="X309" s="17" t="s">
        <v>1774</v>
      </c>
      <c r="Y309" s="17" t="s">
        <v>242</v>
      </c>
      <c r="Z309" s="19"/>
      <c r="AA309" s="19"/>
      <c r="AB309" s="17"/>
      <c r="AC309" s="19"/>
    </row>
    <row r="310" customFormat="false" ht="22.35" hidden="false" customHeight="false" outlineLevel="0" collapsed="false">
      <c r="A310" s="10" t="s">
        <v>1775</v>
      </c>
      <c r="B310" s="17" t="s">
        <v>106</v>
      </c>
      <c r="C310" s="18" t="s">
        <v>107</v>
      </c>
      <c r="D310" s="17" t="s">
        <v>19</v>
      </c>
      <c r="E310" s="17" t="s">
        <v>229</v>
      </c>
      <c r="F310" s="17" t="s">
        <v>1672</v>
      </c>
      <c r="G310" s="17" t="s">
        <v>1752</v>
      </c>
      <c r="H310" s="17" t="s">
        <v>29</v>
      </c>
      <c r="I310" s="17" t="s">
        <v>1413</v>
      </c>
      <c r="J310" s="17" t="s">
        <v>233</v>
      </c>
      <c r="K310" s="19"/>
      <c r="L310" s="19"/>
      <c r="M310" s="19"/>
      <c r="N310" s="19"/>
      <c r="O310" s="17" t="n">
        <v>0</v>
      </c>
      <c r="P310" s="18" t="s">
        <v>1753</v>
      </c>
      <c r="Q310" s="18" t="s">
        <v>1770</v>
      </c>
      <c r="R310" s="18" t="s">
        <v>1776</v>
      </c>
      <c r="S310" s="17" t="s">
        <v>1769</v>
      </c>
      <c r="T310" s="18" t="s">
        <v>1777</v>
      </c>
      <c r="U310" s="19"/>
      <c r="V310" s="18" t="s">
        <v>1778</v>
      </c>
      <c r="W310" s="17" t="s">
        <v>240</v>
      </c>
      <c r="X310" s="17" t="s">
        <v>1779</v>
      </c>
      <c r="Y310" s="17" t="s">
        <v>242</v>
      </c>
      <c r="Z310" s="19"/>
      <c r="AA310" s="19"/>
      <c r="AB310" s="17"/>
      <c r="AC310" s="19"/>
    </row>
    <row r="311" customFormat="false" ht="22.35" hidden="false" customHeight="false" outlineLevel="0" collapsed="false">
      <c r="A311" s="10" t="s">
        <v>1780</v>
      </c>
      <c r="B311" s="17" t="s">
        <v>106</v>
      </c>
      <c r="C311" s="18" t="s">
        <v>107</v>
      </c>
      <c r="D311" s="17" t="s">
        <v>19</v>
      </c>
      <c r="E311" s="17" t="s">
        <v>229</v>
      </c>
      <c r="F311" s="17" t="s">
        <v>1672</v>
      </c>
      <c r="G311" s="17" t="s">
        <v>1752</v>
      </c>
      <c r="H311" s="17" t="s">
        <v>29</v>
      </c>
      <c r="I311" s="17" t="s">
        <v>1413</v>
      </c>
      <c r="J311" s="17" t="s">
        <v>233</v>
      </c>
      <c r="K311" s="19"/>
      <c r="L311" s="19"/>
      <c r="M311" s="19"/>
      <c r="N311" s="19"/>
      <c r="O311" s="17" t="n">
        <v>0</v>
      </c>
      <c r="P311" s="18" t="s">
        <v>1753</v>
      </c>
      <c r="Q311" s="18" t="s">
        <v>1770</v>
      </c>
      <c r="R311" s="18" t="s">
        <v>1781</v>
      </c>
      <c r="S311" s="17" t="s">
        <v>1769</v>
      </c>
      <c r="T311" s="18" t="s">
        <v>1782</v>
      </c>
      <c r="U311" s="19"/>
      <c r="V311" s="18" t="s">
        <v>1783</v>
      </c>
      <c r="W311" s="17" t="s">
        <v>240</v>
      </c>
      <c r="X311" s="17" t="s">
        <v>1784</v>
      </c>
      <c r="Y311" s="17" t="s">
        <v>242</v>
      </c>
      <c r="Z311" s="19"/>
      <c r="AA311" s="19"/>
      <c r="AB311" s="17"/>
      <c r="AC311" s="19"/>
    </row>
    <row r="312" customFormat="false" ht="22.35" hidden="false" customHeight="false" outlineLevel="0" collapsed="false">
      <c r="A312" s="10" t="s">
        <v>1785</v>
      </c>
      <c r="B312" s="17" t="s">
        <v>106</v>
      </c>
      <c r="C312" s="18" t="s">
        <v>107</v>
      </c>
      <c r="D312" s="17" t="s">
        <v>19</v>
      </c>
      <c r="E312" s="17" t="s">
        <v>229</v>
      </c>
      <c r="F312" s="17" t="s">
        <v>1672</v>
      </c>
      <c r="G312" s="17" t="s">
        <v>1752</v>
      </c>
      <c r="H312" s="17" t="s">
        <v>29</v>
      </c>
      <c r="I312" s="17" t="s">
        <v>1786</v>
      </c>
      <c r="J312" s="17" t="s">
        <v>233</v>
      </c>
      <c r="K312" s="19"/>
      <c r="L312" s="19"/>
      <c r="M312" s="19"/>
      <c r="N312" s="19"/>
      <c r="O312" s="17" t="n">
        <v>0</v>
      </c>
      <c r="P312" s="18" t="s">
        <v>1753</v>
      </c>
      <c r="Q312" s="18" t="s">
        <v>1770</v>
      </c>
      <c r="R312" s="18" t="s">
        <v>1787</v>
      </c>
      <c r="S312" s="17" t="s">
        <v>1769</v>
      </c>
      <c r="T312" s="18" t="s">
        <v>1788</v>
      </c>
      <c r="U312" s="19"/>
      <c r="V312" s="18" t="s">
        <v>1789</v>
      </c>
      <c r="W312" s="17" t="s">
        <v>240</v>
      </c>
      <c r="X312" s="17" t="s">
        <v>1790</v>
      </c>
      <c r="Y312" s="17" t="s">
        <v>242</v>
      </c>
      <c r="Z312" s="19"/>
      <c r="AA312" s="19"/>
      <c r="AB312" s="17"/>
      <c r="AC312" s="19"/>
    </row>
    <row r="313" customFormat="false" ht="22.35" hidden="false" customHeight="false" outlineLevel="0" collapsed="false">
      <c r="A313" s="10" t="s">
        <v>1791</v>
      </c>
      <c r="B313" s="17" t="s">
        <v>106</v>
      </c>
      <c r="C313" s="18" t="s">
        <v>107</v>
      </c>
      <c r="D313" s="17" t="s">
        <v>19</v>
      </c>
      <c r="E313" s="17" t="s">
        <v>229</v>
      </c>
      <c r="F313" s="17" t="s">
        <v>1672</v>
      </c>
      <c r="G313" s="17" t="s">
        <v>1752</v>
      </c>
      <c r="H313" s="17" t="s">
        <v>29</v>
      </c>
      <c r="I313" s="17" t="s">
        <v>283</v>
      </c>
      <c r="J313" s="17" t="s">
        <v>233</v>
      </c>
      <c r="K313" s="19"/>
      <c r="L313" s="19"/>
      <c r="M313" s="19"/>
      <c r="N313" s="19"/>
      <c r="O313" s="17" t="n">
        <v>0</v>
      </c>
      <c r="P313" s="18" t="s">
        <v>1753</v>
      </c>
      <c r="Q313" s="18" t="s">
        <v>1770</v>
      </c>
      <c r="R313" s="18" t="s">
        <v>1792</v>
      </c>
      <c r="S313" s="17" t="s">
        <v>237</v>
      </c>
      <c r="T313" s="18" t="s">
        <v>1082</v>
      </c>
      <c r="U313" s="19"/>
      <c r="V313" s="18" t="s">
        <v>1083</v>
      </c>
      <c r="W313" s="17" t="s">
        <v>240</v>
      </c>
      <c r="X313" s="17" t="s">
        <v>1084</v>
      </c>
      <c r="Y313" s="17" t="s">
        <v>242</v>
      </c>
      <c r="Z313" s="19"/>
      <c r="AA313" s="19"/>
      <c r="AB313" s="17"/>
      <c r="AC313" s="19"/>
    </row>
    <row r="314" customFormat="false" ht="22.35" hidden="false" customHeight="false" outlineLevel="0" collapsed="false">
      <c r="A314" s="10" t="s">
        <v>1793</v>
      </c>
      <c r="B314" s="17" t="s">
        <v>106</v>
      </c>
      <c r="C314" s="18" t="s">
        <v>107</v>
      </c>
      <c r="D314" s="17" t="s">
        <v>19</v>
      </c>
      <c r="E314" s="17" t="s">
        <v>75</v>
      </c>
      <c r="F314" s="17" t="s">
        <v>1672</v>
      </c>
      <c r="G314" s="17" t="s">
        <v>1752</v>
      </c>
      <c r="H314" s="17" t="s">
        <v>29</v>
      </c>
      <c r="I314" s="17" t="s">
        <v>316</v>
      </c>
      <c r="J314" s="17" t="s">
        <v>233</v>
      </c>
      <c r="K314" s="19"/>
      <c r="L314" s="19"/>
      <c r="M314" s="19"/>
      <c r="N314" s="19"/>
      <c r="O314" s="17" t="n">
        <v>2</v>
      </c>
      <c r="P314" s="18" t="s">
        <v>1794</v>
      </c>
      <c r="Q314" s="18" t="s">
        <v>1795</v>
      </c>
      <c r="R314" s="18" t="s">
        <v>1796</v>
      </c>
      <c r="S314" s="17" t="s">
        <v>1797</v>
      </c>
      <c r="T314" s="18" t="s">
        <v>1798</v>
      </c>
      <c r="U314" s="19"/>
      <c r="V314" s="18" t="s">
        <v>1799</v>
      </c>
      <c r="W314" s="17" t="s">
        <v>240</v>
      </c>
      <c r="X314" s="17" t="s">
        <v>1800</v>
      </c>
      <c r="Y314" s="17" t="s">
        <v>242</v>
      </c>
      <c r="Z314" s="19"/>
      <c r="AA314" s="19"/>
      <c r="AB314" s="17"/>
      <c r="AC314" s="19"/>
    </row>
    <row r="315" customFormat="false" ht="32.8" hidden="false" customHeight="false" outlineLevel="0" collapsed="false">
      <c r="A315" s="10" t="s">
        <v>1801</v>
      </c>
      <c r="B315" s="17" t="s">
        <v>106</v>
      </c>
      <c r="C315" s="18" t="s">
        <v>107</v>
      </c>
      <c r="D315" s="17" t="s">
        <v>19</v>
      </c>
      <c r="E315" s="17" t="s">
        <v>229</v>
      </c>
      <c r="F315" s="17" t="s">
        <v>1672</v>
      </c>
      <c r="G315" s="17" t="s">
        <v>1752</v>
      </c>
      <c r="H315" s="17" t="s">
        <v>29</v>
      </c>
      <c r="I315" s="17" t="s">
        <v>316</v>
      </c>
      <c r="J315" s="17" t="s">
        <v>233</v>
      </c>
      <c r="K315" s="19"/>
      <c r="L315" s="19"/>
      <c r="M315" s="19"/>
      <c r="N315" s="19"/>
      <c r="O315" s="17" t="n">
        <v>2</v>
      </c>
      <c r="P315" s="18" t="s">
        <v>1794</v>
      </c>
      <c r="Q315" s="18" t="s">
        <v>1795</v>
      </c>
      <c r="R315" s="18" t="s">
        <v>1802</v>
      </c>
      <c r="S315" s="17" t="s">
        <v>1793</v>
      </c>
      <c r="T315" s="18" t="s">
        <v>1803</v>
      </c>
      <c r="U315" s="19"/>
      <c r="V315" s="18" t="s">
        <v>1804</v>
      </c>
      <c r="W315" s="17" t="s">
        <v>240</v>
      </c>
      <c r="X315" s="17" t="s">
        <v>1805</v>
      </c>
      <c r="Y315" s="17" t="s">
        <v>242</v>
      </c>
      <c r="Z315" s="19"/>
      <c r="AA315" s="19"/>
      <c r="AB315" s="17"/>
      <c r="AC315" s="19"/>
    </row>
    <row r="316" customFormat="false" ht="22.35" hidden="false" customHeight="false" outlineLevel="0" collapsed="false">
      <c r="A316" s="10" t="s">
        <v>1806</v>
      </c>
      <c r="B316" s="17" t="s">
        <v>106</v>
      </c>
      <c r="C316" s="18" t="s">
        <v>107</v>
      </c>
      <c r="D316" s="17" t="s">
        <v>19</v>
      </c>
      <c r="E316" s="17" t="s">
        <v>75</v>
      </c>
      <c r="F316" s="17" t="s">
        <v>1672</v>
      </c>
      <c r="G316" s="17" t="s">
        <v>1752</v>
      </c>
      <c r="H316" s="17" t="s">
        <v>29</v>
      </c>
      <c r="I316" s="17" t="s">
        <v>316</v>
      </c>
      <c r="J316" s="17" t="s">
        <v>233</v>
      </c>
      <c r="K316" s="19"/>
      <c r="L316" s="19"/>
      <c r="M316" s="19"/>
      <c r="N316" s="19"/>
      <c r="O316" s="17" t="n">
        <v>2</v>
      </c>
      <c r="P316" s="18" t="s">
        <v>1794</v>
      </c>
      <c r="Q316" s="18" t="s">
        <v>1795</v>
      </c>
      <c r="R316" s="18" t="s">
        <v>1807</v>
      </c>
      <c r="S316" s="17" t="s">
        <v>1808</v>
      </c>
      <c r="T316" s="18" t="s">
        <v>1809</v>
      </c>
      <c r="U316" s="19"/>
      <c r="V316" s="18" t="s">
        <v>1810</v>
      </c>
      <c r="W316" s="17" t="s">
        <v>240</v>
      </c>
      <c r="X316" s="17" t="s">
        <v>1811</v>
      </c>
      <c r="Y316" s="17" t="s">
        <v>242</v>
      </c>
      <c r="Z316" s="19"/>
      <c r="AA316" s="19"/>
      <c r="AB316" s="17"/>
      <c r="AC316" s="19"/>
    </row>
    <row r="317" customFormat="false" ht="22.35" hidden="false" customHeight="false" outlineLevel="0" collapsed="false">
      <c r="A317" s="10" t="s">
        <v>1812</v>
      </c>
      <c r="B317" s="17" t="s">
        <v>106</v>
      </c>
      <c r="C317" s="18" t="s">
        <v>107</v>
      </c>
      <c r="D317" s="17" t="s">
        <v>19</v>
      </c>
      <c r="E317" s="17" t="s">
        <v>75</v>
      </c>
      <c r="F317" s="17" t="s">
        <v>1672</v>
      </c>
      <c r="G317" s="17" t="s">
        <v>1752</v>
      </c>
      <c r="H317" s="17" t="s">
        <v>29</v>
      </c>
      <c r="I317" s="17" t="s">
        <v>316</v>
      </c>
      <c r="J317" s="17" t="s">
        <v>233</v>
      </c>
      <c r="K317" s="19"/>
      <c r="L317" s="19"/>
      <c r="M317" s="19"/>
      <c r="N317" s="19"/>
      <c r="O317" s="17" t="n">
        <v>2</v>
      </c>
      <c r="P317" s="18" t="s">
        <v>1794</v>
      </c>
      <c r="Q317" s="18" t="s">
        <v>1795</v>
      </c>
      <c r="R317" s="18" t="s">
        <v>1813</v>
      </c>
      <c r="S317" s="17" t="s">
        <v>1806</v>
      </c>
      <c r="T317" s="18" t="s">
        <v>1814</v>
      </c>
      <c r="U317" s="19"/>
      <c r="V317" s="18" t="s">
        <v>1815</v>
      </c>
      <c r="W317" s="17" t="s">
        <v>240</v>
      </c>
      <c r="X317" s="17" t="s">
        <v>1816</v>
      </c>
      <c r="Y317" s="17" t="s">
        <v>242</v>
      </c>
      <c r="Z317" s="19"/>
      <c r="AA317" s="19"/>
      <c r="AB317" s="17"/>
      <c r="AC317" s="19"/>
    </row>
    <row r="318" customFormat="false" ht="22.35" hidden="false" customHeight="false" outlineLevel="0" collapsed="false">
      <c r="A318" s="10" t="s">
        <v>1817</v>
      </c>
      <c r="B318" s="17" t="s">
        <v>106</v>
      </c>
      <c r="C318" s="18" t="s">
        <v>107</v>
      </c>
      <c r="D318" s="17" t="s">
        <v>19</v>
      </c>
      <c r="E318" s="17" t="s">
        <v>75</v>
      </c>
      <c r="F318" s="17" t="s">
        <v>1672</v>
      </c>
      <c r="G318" s="17" t="s">
        <v>1752</v>
      </c>
      <c r="H318" s="17" t="s">
        <v>29</v>
      </c>
      <c r="I318" s="17" t="s">
        <v>316</v>
      </c>
      <c r="J318" s="17" t="s">
        <v>233</v>
      </c>
      <c r="K318" s="19"/>
      <c r="L318" s="19"/>
      <c r="M318" s="19"/>
      <c r="N318" s="19"/>
      <c r="O318" s="17" t="n">
        <v>2</v>
      </c>
      <c r="P318" s="18" t="s">
        <v>1794</v>
      </c>
      <c r="Q318" s="18" t="s">
        <v>1795</v>
      </c>
      <c r="R318" s="18" t="s">
        <v>1818</v>
      </c>
      <c r="S318" s="17" t="s">
        <v>1806</v>
      </c>
      <c r="T318" s="18" t="s">
        <v>1819</v>
      </c>
      <c r="U318" s="19"/>
      <c r="V318" s="18" t="s">
        <v>1820</v>
      </c>
      <c r="W318" s="17" t="s">
        <v>240</v>
      </c>
      <c r="X318" s="17" t="s">
        <v>1821</v>
      </c>
      <c r="Y318" s="17" t="s">
        <v>242</v>
      </c>
      <c r="Z318" s="19"/>
      <c r="AA318" s="19"/>
      <c r="AB318" s="17"/>
      <c r="AC318" s="19"/>
    </row>
    <row r="319" customFormat="false" ht="22.35" hidden="false" customHeight="false" outlineLevel="0" collapsed="false">
      <c r="A319" s="10" t="s">
        <v>1822</v>
      </c>
      <c r="B319" s="17" t="s">
        <v>106</v>
      </c>
      <c r="C319" s="18" t="s">
        <v>107</v>
      </c>
      <c r="D319" s="17" t="s">
        <v>19</v>
      </c>
      <c r="E319" s="17" t="s">
        <v>75</v>
      </c>
      <c r="F319" s="17" t="s">
        <v>1672</v>
      </c>
      <c r="G319" s="17" t="s">
        <v>1752</v>
      </c>
      <c r="H319" s="17" t="s">
        <v>29</v>
      </c>
      <c r="I319" s="17" t="s">
        <v>316</v>
      </c>
      <c r="J319" s="17" t="s">
        <v>233</v>
      </c>
      <c r="K319" s="19"/>
      <c r="L319" s="19"/>
      <c r="M319" s="19"/>
      <c r="N319" s="19"/>
      <c r="O319" s="17" t="n">
        <v>2</v>
      </c>
      <c r="P319" s="18" t="s">
        <v>1794</v>
      </c>
      <c r="Q319" s="18" t="s">
        <v>1795</v>
      </c>
      <c r="R319" s="18" t="s">
        <v>1823</v>
      </c>
      <c r="S319" s="17" t="s">
        <v>1806</v>
      </c>
      <c r="T319" s="18" t="s">
        <v>1824</v>
      </c>
      <c r="U319" s="19"/>
      <c r="V319" s="18" t="s">
        <v>1825</v>
      </c>
      <c r="W319" s="17" t="s">
        <v>240</v>
      </c>
      <c r="X319" s="17" t="s">
        <v>1821</v>
      </c>
      <c r="Y319" s="17" t="s">
        <v>242</v>
      </c>
      <c r="Z319" s="19"/>
      <c r="AA319" s="19"/>
      <c r="AB319" s="17"/>
      <c r="AC319" s="19"/>
    </row>
    <row r="320" customFormat="false" ht="22.35" hidden="false" customHeight="false" outlineLevel="0" collapsed="false">
      <c r="A320" s="10" t="s">
        <v>1826</v>
      </c>
      <c r="B320" s="17" t="s">
        <v>106</v>
      </c>
      <c r="C320" s="18" t="s">
        <v>107</v>
      </c>
      <c r="D320" s="17" t="s">
        <v>19</v>
      </c>
      <c r="E320" s="17" t="s">
        <v>75</v>
      </c>
      <c r="F320" s="17" t="s">
        <v>1672</v>
      </c>
      <c r="G320" s="17" t="s">
        <v>1752</v>
      </c>
      <c r="H320" s="17" t="s">
        <v>29</v>
      </c>
      <c r="I320" s="17" t="s">
        <v>316</v>
      </c>
      <c r="J320" s="17" t="s">
        <v>233</v>
      </c>
      <c r="K320" s="19"/>
      <c r="L320" s="19"/>
      <c r="M320" s="19"/>
      <c r="N320" s="19"/>
      <c r="O320" s="17" t="n">
        <v>2</v>
      </c>
      <c r="P320" s="18" t="s">
        <v>1794</v>
      </c>
      <c r="Q320" s="18" t="s">
        <v>1827</v>
      </c>
      <c r="R320" s="18" t="s">
        <v>1828</v>
      </c>
      <c r="S320" s="17" t="s">
        <v>1806</v>
      </c>
      <c r="T320" s="18" t="s">
        <v>1829</v>
      </c>
      <c r="U320" s="19"/>
      <c r="V320" s="18" t="s">
        <v>1830</v>
      </c>
      <c r="W320" s="17" t="s">
        <v>240</v>
      </c>
      <c r="X320" s="17" t="s">
        <v>1831</v>
      </c>
      <c r="Y320" s="17" t="s">
        <v>242</v>
      </c>
      <c r="Z320" s="19"/>
      <c r="AA320" s="19"/>
      <c r="AB320" s="17"/>
      <c r="AC320" s="19"/>
    </row>
    <row r="321" customFormat="false" ht="22.35" hidden="false" customHeight="false" outlineLevel="0" collapsed="false">
      <c r="A321" s="10" t="s">
        <v>1832</v>
      </c>
      <c r="B321" s="17" t="s">
        <v>106</v>
      </c>
      <c r="C321" s="18" t="s">
        <v>107</v>
      </c>
      <c r="D321" s="17" t="s">
        <v>19</v>
      </c>
      <c r="E321" s="17" t="s">
        <v>229</v>
      </c>
      <c r="F321" s="17" t="s">
        <v>1672</v>
      </c>
      <c r="G321" s="17" t="s">
        <v>1752</v>
      </c>
      <c r="H321" s="17" t="s">
        <v>29</v>
      </c>
      <c r="I321" s="17" t="s">
        <v>316</v>
      </c>
      <c r="J321" s="17" t="s">
        <v>233</v>
      </c>
      <c r="K321" s="19"/>
      <c r="L321" s="19"/>
      <c r="M321" s="19"/>
      <c r="N321" s="19"/>
      <c r="O321" s="17" t="n">
        <v>2</v>
      </c>
      <c r="P321" s="18" t="s">
        <v>1794</v>
      </c>
      <c r="Q321" s="18" t="s">
        <v>1827</v>
      </c>
      <c r="R321" s="18" t="s">
        <v>1833</v>
      </c>
      <c r="S321" s="17" t="s">
        <v>1834</v>
      </c>
      <c r="T321" s="18" t="s">
        <v>1835</v>
      </c>
      <c r="U321" s="19"/>
      <c r="V321" s="18" t="s">
        <v>1836</v>
      </c>
      <c r="W321" s="17" t="s">
        <v>240</v>
      </c>
      <c r="X321" s="17" t="s">
        <v>1837</v>
      </c>
      <c r="Y321" s="17" t="s">
        <v>242</v>
      </c>
      <c r="Z321" s="19"/>
      <c r="AA321" s="19"/>
      <c r="AB321" s="17"/>
      <c r="AC321" s="19"/>
    </row>
    <row r="322" customFormat="false" ht="32.8" hidden="false" customHeight="false" outlineLevel="0" collapsed="false">
      <c r="A322" s="10" t="s">
        <v>1838</v>
      </c>
      <c r="B322" s="17" t="s">
        <v>106</v>
      </c>
      <c r="C322" s="18" t="s">
        <v>107</v>
      </c>
      <c r="D322" s="17" t="s">
        <v>19</v>
      </c>
      <c r="E322" s="17" t="s">
        <v>229</v>
      </c>
      <c r="F322" s="17" t="s">
        <v>1672</v>
      </c>
      <c r="G322" s="17" t="s">
        <v>1752</v>
      </c>
      <c r="H322" s="17" t="s">
        <v>29</v>
      </c>
      <c r="I322" s="17" t="s">
        <v>316</v>
      </c>
      <c r="J322" s="17" t="s">
        <v>233</v>
      </c>
      <c r="K322" s="19"/>
      <c r="L322" s="19"/>
      <c r="M322" s="19"/>
      <c r="N322" s="19"/>
      <c r="O322" s="17" t="n">
        <v>2</v>
      </c>
      <c r="P322" s="18" t="s">
        <v>1794</v>
      </c>
      <c r="Q322" s="18" t="s">
        <v>1827</v>
      </c>
      <c r="R322" s="18" t="s">
        <v>1839</v>
      </c>
      <c r="S322" s="17" t="s">
        <v>1840</v>
      </c>
      <c r="T322" s="18" t="s">
        <v>1841</v>
      </c>
      <c r="U322" s="19"/>
      <c r="V322" s="18" t="s">
        <v>1842</v>
      </c>
      <c r="W322" s="17" t="s">
        <v>240</v>
      </c>
      <c r="X322" s="17" t="s">
        <v>1768</v>
      </c>
      <c r="Y322" s="17" t="s">
        <v>242</v>
      </c>
      <c r="Z322" s="19"/>
      <c r="AA322" s="19"/>
      <c r="AB322" s="17"/>
      <c r="AC322" s="19"/>
    </row>
    <row r="323" customFormat="false" ht="22.35" hidden="false" customHeight="false" outlineLevel="0" collapsed="false">
      <c r="A323" s="10" t="s">
        <v>1843</v>
      </c>
      <c r="B323" s="17" t="s">
        <v>106</v>
      </c>
      <c r="C323" s="18" t="s">
        <v>107</v>
      </c>
      <c r="D323" s="17" t="s">
        <v>19</v>
      </c>
      <c r="E323" s="17" t="s">
        <v>75</v>
      </c>
      <c r="F323" s="17" t="s">
        <v>1672</v>
      </c>
      <c r="G323" s="17" t="s">
        <v>1752</v>
      </c>
      <c r="H323" s="17" t="s">
        <v>29</v>
      </c>
      <c r="I323" s="17" t="s">
        <v>316</v>
      </c>
      <c r="J323" s="17" t="s">
        <v>233</v>
      </c>
      <c r="K323" s="19"/>
      <c r="L323" s="19"/>
      <c r="M323" s="19"/>
      <c r="N323" s="19"/>
      <c r="O323" s="17" t="n">
        <v>2</v>
      </c>
      <c r="P323" s="18" t="s">
        <v>1794</v>
      </c>
      <c r="Q323" s="18" t="s">
        <v>1827</v>
      </c>
      <c r="R323" s="18" t="s">
        <v>1844</v>
      </c>
      <c r="S323" s="17" t="s">
        <v>1845</v>
      </c>
      <c r="T323" s="18" t="s">
        <v>1846</v>
      </c>
      <c r="U323" s="19"/>
      <c r="V323" s="18" t="s">
        <v>1847</v>
      </c>
      <c r="W323" s="17" t="s">
        <v>240</v>
      </c>
      <c r="X323" s="17" t="s">
        <v>1848</v>
      </c>
      <c r="Y323" s="17" t="s">
        <v>242</v>
      </c>
      <c r="Z323" s="19"/>
      <c r="AA323" s="19"/>
      <c r="AB323" s="17"/>
      <c r="AC323" s="19"/>
    </row>
    <row r="324" customFormat="false" ht="32.8" hidden="false" customHeight="false" outlineLevel="0" collapsed="false">
      <c r="A324" s="10" t="s">
        <v>1849</v>
      </c>
      <c r="B324" s="17" t="s">
        <v>106</v>
      </c>
      <c r="C324" s="18" t="s">
        <v>107</v>
      </c>
      <c r="D324" s="17" t="s">
        <v>19</v>
      </c>
      <c r="E324" s="17" t="s">
        <v>229</v>
      </c>
      <c r="F324" s="17" t="s">
        <v>1672</v>
      </c>
      <c r="G324" s="17" t="s">
        <v>1752</v>
      </c>
      <c r="H324" s="17" t="s">
        <v>29</v>
      </c>
      <c r="I324" s="17" t="s">
        <v>277</v>
      </c>
      <c r="J324" s="17" t="s">
        <v>233</v>
      </c>
      <c r="K324" s="19"/>
      <c r="L324" s="19"/>
      <c r="M324" s="19"/>
      <c r="N324" s="19"/>
      <c r="O324" s="17" t="n">
        <v>2</v>
      </c>
      <c r="P324" s="18" t="s">
        <v>1794</v>
      </c>
      <c r="Q324" s="18" t="s">
        <v>1850</v>
      </c>
      <c r="R324" s="18" t="s">
        <v>1851</v>
      </c>
      <c r="S324" s="17" t="s">
        <v>1852</v>
      </c>
      <c r="T324" s="18" t="s">
        <v>1853</v>
      </c>
      <c r="U324" s="19"/>
      <c r="V324" s="18" t="s">
        <v>1854</v>
      </c>
      <c r="W324" s="17" t="s">
        <v>240</v>
      </c>
      <c r="X324" s="17" t="s">
        <v>1855</v>
      </c>
      <c r="Y324" s="17" t="s">
        <v>242</v>
      </c>
      <c r="Z324" s="19"/>
      <c r="AA324" s="19"/>
      <c r="AB324" s="17"/>
      <c r="AC324" s="19"/>
    </row>
    <row r="325" customFormat="false" ht="22.35" hidden="false" customHeight="false" outlineLevel="0" collapsed="false">
      <c r="A325" s="10" t="s">
        <v>1856</v>
      </c>
      <c r="B325" s="17" t="s">
        <v>106</v>
      </c>
      <c r="C325" s="18" t="s">
        <v>107</v>
      </c>
      <c r="D325" s="17" t="s">
        <v>19</v>
      </c>
      <c r="E325" s="17" t="s">
        <v>75</v>
      </c>
      <c r="F325" s="17" t="s">
        <v>1672</v>
      </c>
      <c r="G325" s="17" t="s">
        <v>1752</v>
      </c>
      <c r="H325" s="17" t="s">
        <v>29</v>
      </c>
      <c r="I325" s="17" t="s">
        <v>1413</v>
      </c>
      <c r="J325" s="17" t="s">
        <v>233</v>
      </c>
      <c r="K325" s="19"/>
      <c r="L325" s="19"/>
      <c r="M325" s="19"/>
      <c r="N325" s="19"/>
      <c r="O325" s="17" t="n">
        <v>4</v>
      </c>
      <c r="P325" s="18" t="s">
        <v>1794</v>
      </c>
      <c r="Q325" s="18" t="s">
        <v>1850</v>
      </c>
      <c r="R325" s="18" t="s">
        <v>1857</v>
      </c>
      <c r="S325" s="17" t="s">
        <v>1858</v>
      </c>
      <c r="T325" s="18" t="s">
        <v>1859</v>
      </c>
      <c r="U325" s="19"/>
      <c r="V325" s="18" t="s">
        <v>1860</v>
      </c>
      <c r="W325" s="17" t="s">
        <v>240</v>
      </c>
      <c r="X325" s="17" t="s">
        <v>1861</v>
      </c>
      <c r="Y325" s="17" t="s">
        <v>242</v>
      </c>
      <c r="Z325" s="19"/>
      <c r="AA325" s="19"/>
      <c r="AB325" s="17"/>
      <c r="AC325" s="19"/>
    </row>
    <row r="326" customFormat="false" ht="22.35" hidden="false" customHeight="false" outlineLevel="0" collapsed="false">
      <c r="A326" s="10" t="s">
        <v>1862</v>
      </c>
      <c r="B326" s="17" t="s">
        <v>106</v>
      </c>
      <c r="C326" s="18" t="s">
        <v>107</v>
      </c>
      <c r="D326" s="17" t="s">
        <v>19</v>
      </c>
      <c r="E326" s="17" t="s">
        <v>75</v>
      </c>
      <c r="F326" s="17" t="s">
        <v>1672</v>
      </c>
      <c r="G326" s="17" t="s">
        <v>1752</v>
      </c>
      <c r="H326" s="17" t="s">
        <v>29</v>
      </c>
      <c r="I326" s="17" t="s">
        <v>1413</v>
      </c>
      <c r="J326" s="17" t="s">
        <v>233</v>
      </c>
      <c r="K326" s="19"/>
      <c r="L326" s="19"/>
      <c r="M326" s="19"/>
      <c r="N326" s="19"/>
      <c r="O326" s="17" t="n">
        <v>4</v>
      </c>
      <c r="P326" s="18" t="s">
        <v>1794</v>
      </c>
      <c r="Q326" s="18" t="s">
        <v>1850</v>
      </c>
      <c r="R326" s="18" t="s">
        <v>1863</v>
      </c>
      <c r="S326" s="17" t="s">
        <v>1864</v>
      </c>
      <c r="T326" s="18" t="s">
        <v>1865</v>
      </c>
      <c r="U326" s="19"/>
      <c r="V326" s="18" t="s">
        <v>1866</v>
      </c>
      <c r="W326" s="17" t="s">
        <v>240</v>
      </c>
      <c r="X326" s="17" t="s">
        <v>1867</v>
      </c>
      <c r="Y326" s="17" t="s">
        <v>242</v>
      </c>
      <c r="Z326" s="19"/>
      <c r="AA326" s="19"/>
      <c r="AB326" s="17"/>
      <c r="AC326" s="19"/>
    </row>
    <row r="327" customFormat="false" ht="32.8" hidden="false" customHeight="false" outlineLevel="0" collapsed="false">
      <c r="A327" s="10" t="s">
        <v>1868</v>
      </c>
      <c r="B327" s="17" t="s">
        <v>106</v>
      </c>
      <c r="C327" s="18" t="s">
        <v>107</v>
      </c>
      <c r="D327" s="17" t="s">
        <v>19</v>
      </c>
      <c r="E327" s="17" t="s">
        <v>75</v>
      </c>
      <c r="F327" s="17" t="s">
        <v>1672</v>
      </c>
      <c r="G327" s="17" t="s">
        <v>1752</v>
      </c>
      <c r="H327" s="17" t="s">
        <v>29</v>
      </c>
      <c r="I327" s="17" t="s">
        <v>277</v>
      </c>
      <c r="J327" s="17" t="s">
        <v>233</v>
      </c>
      <c r="K327" s="19"/>
      <c r="L327" s="19"/>
      <c r="M327" s="19"/>
      <c r="N327" s="19"/>
      <c r="O327" s="17" t="n">
        <v>2</v>
      </c>
      <c r="P327" s="18" t="s">
        <v>1794</v>
      </c>
      <c r="Q327" s="18" t="s">
        <v>1850</v>
      </c>
      <c r="R327" s="18" t="s">
        <v>1869</v>
      </c>
      <c r="S327" s="17" t="s">
        <v>1832</v>
      </c>
      <c r="T327" s="18" t="s">
        <v>660</v>
      </c>
      <c r="U327" s="19"/>
      <c r="V327" s="18" t="s">
        <v>1870</v>
      </c>
      <c r="W327" s="17" t="s">
        <v>240</v>
      </c>
      <c r="X327" s="17" t="s">
        <v>1871</v>
      </c>
      <c r="Y327" s="17" t="s">
        <v>242</v>
      </c>
      <c r="Z327" s="19"/>
      <c r="AA327" s="19"/>
      <c r="AB327" s="17"/>
      <c r="AC327" s="19"/>
    </row>
    <row r="328" customFormat="false" ht="22.35" hidden="false" customHeight="false" outlineLevel="0" collapsed="false">
      <c r="A328" s="10" t="s">
        <v>1872</v>
      </c>
      <c r="B328" s="17" t="s">
        <v>106</v>
      </c>
      <c r="C328" s="18" t="s">
        <v>107</v>
      </c>
      <c r="D328" s="17" t="s">
        <v>19</v>
      </c>
      <c r="E328" s="17" t="s">
        <v>75</v>
      </c>
      <c r="F328" s="17" t="s">
        <v>1672</v>
      </c>
      <c r="G328" s="17" t="s">
        <v>1752</v>
      </c>
      <c r="H328" s="17" t="s">
        <v>29</v>
      </c>
      <c r="I328" s="17" t="s">
        <v>277</v>
      </c>
      <c r="J328" s="17" t="s">
        <v>233</v>
      </c>
      <c r="K328" s="19"/>
      <c r="L328" s="19"/>
      <c r="M328" s="19"/>
      <c r="N328" s="19"/>
      <c r="O328" s="17" t="n">
        <v>2</v>
      </c>
      <c r="P328" s="18" t="s">
        <v>1794</v>
      </c>
      <c r="Q328" s="18" t="s">
        <v>1850</v>
      </c>
      <c r="R328" s="18" t="s">
        <v>1873</v>
      </c>
      <c r="S328" s="17" t="s">
        <v>1874</v>
      </c>
      <c r="T328" s="18" t="s">
        <v>1875</v>
      </c>
      <c r="U328" s="19"/>
      <c r="V328" s="18" t="s">
        <v>1876</v>
      </c>
      <c r="W328" s="17" t="s">
        <v>240</v>
      </c>
      <c r="X328" s="17" t="s">
        <v>1877</v>
      </c>
      <c r="Y328" s="17" t="s">
        <v>242</v>
      </c>
      <c r="Z328" s="19"/>
      <c r="AA328" s="19"/>
      <c r="AB328" s="17"/>
      <c r="AC328" s="19"/>
    </row>
    <row r="329" customFormat="false" ht="22.35" hidden="false" customHeight="false" outlineLevel="0" collapsed="false">
      <c r="A329" s="10" t="s">
        <v>1878</v>
      </c>
      <c r="B329" s="17" t="s">
        <v>106</v>
      </c>
      <c r="C329" s="18" t="s">
        <v>107</v>
      </c>
      <c r="D329" s="17" t="s">
        <v>19</v>
      </c>
      <c r="E329" s="17" t="s">
        <v>75</v>
      </c>
      <c r="F329" s="17" t="s">
        <v>1672</v>
      </c>
      <c r="G329" s="17" t="s">
        <v>1752</v>
      </c>
      <c r="H329" s="17" t="s">
        <v>29</v>
      </c>
      <c r="I329" s="17" t="s">
        <v>283</v>
      </c>
      <c r="J329" s="17" t="s">
        <v>233</v>
      </c>
      <c r="K329" s="19"/>
      <c r="L329" s="19"/>
      <c r="M329" s="19"/>
      <c r="N329" s="19"/>
      <c r="O329" s="17" t="n">
        <v>4</v>
      </c>
      <c r="P329" s="18" t="s">
        <v>1794</v>
      </c>
      <c r="Q329" s="18" t="s">
        <v>1850</v>
      </c>
      <c r="R329" s="18" t="s">
        <v>1879</v>
      </c>
      <c r="S329" s="17" t="s">
        <v>237</v>
      </c>
      <c r="T329" s="18" t="s">
        <v>1082</v>
      </c>
      <c r="U329" s="19"/>
      <c r="V329" s="18" t="s">
        <v>1083</v>
      </c>
      <c r="W329" s="17" t="s">
        <v>240</v>
      </c>
      <c r="X329" s="17" t="s">
        <v>1084</v>
      </c>
      <c r="Y329" s="17" t="s">
        <v>242</v>
      </c>
      <c r="Z329" s="19"/>
      <c r="AA329" s="19"/>
      <c r="AB329" s="17"/>
      <c r="AC329" s="19"/>
    </row>
    <row r="330" customFormat="false" ht="22.35" hidden="false" customHeight="false" outlineLevel="0" collapsed="false">
      <c r="A330" s="10" t="s">
        <v>1880</v>
      </c>
      <c r="B330" s="17" t="s">
        <v>106</v>
      </c>
      <c r="C330" s="18" t="s">
        <v>107</v>
      </c>
      <c r="D330" s="17" t="s">
        <v>19</v>
      </c>
      <c r="E330" s="17" t="s">
        <v>229</v>
      </c>
      <c r="F330" s="17" t="s">
        <v>1672</v>
      </c>
      <c r="G330" s="17" t="s">
        <v>1752</v>
      </c>
      <c r="H330" s="17" t="s">
        <v>29</v>
      </c>
      <c r="I330" s="17" t="s">
        <v>450</v>
      </c>
      <c r="J330" s="17" t="s">
        <v>233</v>
      </c>
      <c r="K330" s="19"/>
      <c r="L330" s="19"/>
      <c r="M330" s="19"/>
      <c r="N330" s="19"/>
      <c r="O330" s="17" t="n">
        <v>2</v>
      </c>
      <c r="P330" s="18" t="s">
        <v>1881</v>
      </c>
      <c r="Q330" s="18" t="s">
        <v>1882</v>
      </c>
      <c r="R330" s="18" t="s">
        <v>1883</v>
      </c>
      <c r="S330" s="17" t="s">
        <v>1826</v>
      </c>
      <c r="T330" s="18" t="s">
        <v>1884</v>
      </c>
      <c r="U330" s="19"/>
      <c r="V330" s="18" t="s">
        <v>1885</v>
      </c>
      <c r="W330" s="17" t="s">
        <v>240</v>
      </c>
      <c r="X330" s="17" t="s">
        <v>1886</v>
      </c>
      <c r="Y330" s="17" t="s">
        <v>242</v>
      </c>
      <c r="Z330" s="19"/>
      <c r="AA330" s="19"/>
      <c r="AB330" s="17"/>
      <c r="AC330" s="19"/>
    </row>
    <row r="331" customFormat="false" ht="22.35" hidden="false" customHeight="false" outlineLevel="0" collapsed="false">
      <c r="A331" s="10" t="s">
        <v>1887</v>
      </c>
      <c r="B331" s="17" t="s">
        <v>106</v>
      </c>
      <c r="C331" s="18" t="s">
        <v>107</v>
      </c>
      <c r="D331" s="17" t="s">
        <v>19</v>
      </c>
      <c r="E331" s="17" t="s">
        <v>229</v>
      </c>
      <c r="F331" s="17" t="s">
        <v>1672</v>
      </c>
      <c r="G331" s="17" t="s">
        <v>1752</v>
      </c>
      <c r="H331" s="17" t="s">
        <v>29</v>
      </c>
      <c r="I331" s="17" t="s">
        <v>333</v>
      </c>
      <c r="J331" s="17" t="s">
        <v>233</v>
      </c>
      <c r="K331" s="19"/>
      <c r="L331" s="19"/>
      <c r="M331" s="19"/>
      <c r="N331" s="19"/>
      <c r="O331" s="17" t="n">
        <v>2</v>
      </c>
      <c r="P331" s="18" t="s">
        <v>1881</v>
      </c>
      <c r="Q331" s="18" t="s">
        <v>1882</v>
      </c>
      <c r="R331" s="18" t="s">
        <v>1888</v>
      </c>
      <c r="S331" s="17" t="s">
        <v>1843</v>
      </c>
      <c r="T331" s="18" t="s">
        <v>1889</v>
      </c>
      <c r="U331" s="19"/>
      <c r="V331" s="18" t="s">
        <v>1890</v>
      </c>
      <c r="W331" s="17" t="s">
        <v>240</v>
      </c>
      <c r="X331" s="17" t="s">
        <v>1891</v>
      </c>
      <c r="Y331" s="17" t="s">
        <v>242</v>
      </c>
      <c r="Z331" s="19"/>
      <c r="AA331" s="19"/>
      <c r="AB331" s="17"/>
      <c r="AC331" s="19"/>
    </row>
    <row r="332" customFormat="false" ht="32.8" hidden="false" customHeight="false" outlineLevel="0" collapsed="false">
      <c r="A332" s="10" t="s">
        <v>1892</v>
      </c>
      <c r="B332" s="17" t="s">
        <v>106</v>
      </c>
      <c r="C332" s="18" t="s">
        <v>107</v>
      </c>
      <c r="D332" s="17" t="s">
        <v>19</v>
      </c>
      <c r="E332" s="17" t="s">
        <v>75</v>
      </c>
      <c r="F332" s="17" t="s">
        <v>1672</v>
      </c>
      <c r="G332" s="17" t="s">
        <v>1752</v>
      </c>
      <c r="H332" s="17" t="s">
        <v>29</v>
      </c>
      <c r="I332" s="17" t="s">
        <v>232</v>
      </c>
      <c r="J332" s="17" t="s">
        <v>233</v>
      </c>
      <c r="K332" s="19"/>
      <c r="L332" s="19"/>
      <c r="M332" s="19"/>
      <c r="N332" s="19"/>
      <c r="O332" s="17" t="n">
        <v>2</v>
      </c>
      <c r="P332" s="18" t="s">
        <v>1881</v>
      </c>
      <c r="Q332" s="18" t="s">
        <v>1882</v>
      </c>
      <c r="R332" s="18" t="s">
        <v>1893</v>
      </c>
      <c r="S332" s="17" t="s">
        <v>1671</v>
      </c>
      <c r="T332" s="18" t="s">
        <v>1894</v>
      </c>
      <c r="U332" s="19"/>
      <c r="V332" s="18" t="s">
        <v>1895</v>
      </c>
      <c r="W332" s="17" t="s">
        <v>240</v>
      </c>
      <c r="X332" s="17" t="s">
        <v>1896</v>
      </c>
      <c r="Y332" s="17" t="s">
        <v>242</v>
      </c>
      <c r="Z332" s="19"/>
      <c r="AA332" s="19"/>
      <c r="AB332" s="17"/>
      <c r="AC332" s="19"/>
    </row>
    <row r="333" customFormat="false" ht="32.8" hidden="false" customHeight="false" outlineLevel="0" collapsed="false">
      <c r="A333" s="10" t="s">
        <v>1897</v>
      </c>
      <c r="B333" s="17" t="s">
        <v>106</v>
      </c>
      <c r="C333" s="18" t="s">
        <v>107</v>
      </c>
      <c r="D333" s="17" t="s">
        <v>19</v>
      </c>
      <c r="E333" s="17" t="s">
        <v>75</v>
      </c>
      <c r="F333" s="17" t="s">
        <v>1672</v>
      </c>
      <c r="G333" s="17" t="s">
        <v>1752</v>
      </c>
      <c r="H333" s="17" t="s">
        <v>29</v>
      </c>
      <c r="I333" s="17" t="s">
        <v>289</v>
      </c>
      <c r="J333" s="17" t="s">
        <v>233</v>
      </c>
      <c r="K333" s="19"/>
      <c r="L333" s="19"/>
      <c r="M333" s="19"/>
      <c r="N333" s="19"/>
      <c r="O333" s="17" t="n">
        <v>2</v>
      </c>
      <c r="P333" s="18" t="s">
        <v>1881</v>
      </c>
      <c r="Q333" s="18" t="s">
        <v>1736</v>
      </c>
      <c r="R333" s="18" t="s">
        <v>1898</v>
      </c>
      <c r="S333" s="17" t="s">
        <v>1822</v>
      </c>
      <c r="T333" s="18" t="s">
        <v>1899</v>
      </c>
      <c r="U333" s="19"/>
      <c r="V333" s="18" t="s">
        <v>1900</v>
      </c>
      <c r="W333" s="17" t="s">
        <v>240</v>
      </c>
      <c r="X333" s="17" t="s">
        <v>1740</v>
      </c>
      <c r="Y333" s="17" t="s">
        <v>242</v>
      </c>
      <c r="Z333" s="19"/>
      <c r="AA333" s="19"/>
      <c r="AB333" s="17"/>
      <c r="AC333" s="19"/>
    </row>
    <row r="334" customFormat="false" ht="32.8" hidden="false" customHeight="false" outlineLevel="0" collapsed="false">
      <c r="A334" s="10" t="s">
        <v>1901</v>
      </c>
      <c r="B334" s="17" t="s">
        <v>106</v>
      </c>
      <c r="C334" s="18" t="s">
        <v>107</v>
      </c>
      <c r="D334" s="17" t="s">
        <v>19</v>
      </c>
      <c r="E334" s="17" t="s">
        <v>229</v>
      </c>
      <c r="F334" s="17" t="s">
        <v>1672</v>
      </c>
      <c r="G334" s="17" t="s">
        <v>1752</v>
      </c>
      <c r="H334" s="17" t="s">
        <v>29</v>
      </c>
      <c r="I334" s="17" t="s">
        <v>289</v>
      </c>
      <c r="J334" s="17" t="s">
        <v>233</v>
      </c>
      <c r="K334" s="19"/>
      <c r="L334" s="19"/>
      <c r="M334" s="19"/>
      <c r="N334" s="19"/>
      <c r="O334" s="17" t="n">
        <v>2</v>
      </c>
      <c r="P334" s="18" t="s">
        <v>1881</v>
      </c>
      <c r="Q334" s="18" t="s">
        <v>1736</v>
      </c>
      <c r="R334" s="18" t="s">
        <v>1902</v>
      </c>
      <c r="S334" s="17" t="s">
        <v>1806</v>
      </c>
      <c r="T334" s="18" t="s">
        <v>1903</v>
      </c>
      <c r="U334" s="19"/>
      <c r="V334" s="18" t="s">
        <v>1904</v>
      </c>
      <c r="W334" s="17" t="s">
        <v>383</v>
      </c>
      <c r="X334" s="17" t="s">
        <v>1905</v>
      </c>
      <c r="Y334" s="17" t="s">
        <v>242</v>
      </c>
      <c r="Z334" s="19"/>
      <c r="AA334" s="19"/>
      <c r="AB334" s="17"/>
      <c r="AC334" s="19"/>
    </row>
    <row r="335" customFormat="false" ht="22.35" hidden="false" customHeight="false" outlineLevel="0" collapsed="false">
      <c r="A335" s="10" t="s">
        <v>1906</v>
      </c>
      <c r="B335" s="17" t="s">
        <v>106</v>
      </c>
      <c r="C335" s="18" t="s">
        <v>107</v>
      </c>
      <c r="D335" s="17" t="s">
        <v>19</v>
      </c>
      <c r="E335" s="17" t="s">
        <v>75</v>
      </c>
      <c r="F335" s="17" t="s">
        <v>1672</v>
      </c>
      <c r="G335" s="17" t="s">
        <v>1752</v>
      </c>
      <c r="H335" s="17" t="s">
        <v>29</v>
      </c>
      <c r="I335" s="17" t="s">
        <v>289</v>
      </c>
      <c r="J335" s="17" t="s">
        <v>233</v>
      </c>
      <c r="K335" s="19"/>
      <c r="L335" s="19"/>
      <c r="M335" s="19"/>
      <c r="N335" s="19"/>
      <c r="O335" s="17" t="n">
        <v>2</v>
      </c>
      <c r="P335" s="18" t="s">
        <v>1881</v>
      </c>
      <c r="Q335" s="18" t="s">
        <v>1736</v>
      </c>
      <c r="R335" s="18" t="s">
        <v>1907</v>
      </c>
      <c r="S335" s="17" t="s">
        <v>1901</v>
      </c>
      <c r="T335" s="18" t="s">
        <v>1257</v>
      </c>
      <c r="U335" s="19"/>
      <c r="V335" s="18" t="s">
        <v>1908</v>
      </c>
      <c r="W335" s="17" t="s">
        <v>240</v>
      </c>
      <c r="X335" s="17" t="s">
        <v>1259</v>
      </c>
      <c r="Y335" s="17" t="s">
        <v>242</v>
      </c>
      <c r="Z335" s="19"/>
      <c r="AA335" s="19"/>
      <c r="AB335" s="17"/>
      <c r="AC335" s="19"/>
    </row>
    <row r="336" customFormat="false" ht="22.35" hidden="false" customHeight="false" outlineLevel="0" collapsed="false">
      <c r="A336" s="10" t="s">
        <v>1909</v>
      </c>
      <c r="B336" s="17" t="s">
        <v>106</v>
      </c>
      <c r="C336" s="18" t="s">
        <v>107</v>
      </c>
      <c r="D336" s="17" t="s">
        <v>19</v>
      </c>
      <c r="E336" s="17" t="s">
        <v>229</v>
      </c>
      <c r="F336" s="17" t="s">
        <v>1672</v>
      </c>
      <c r="G336" s="17" t="s">
        <v>1752</v>
      </c>
      <c r="H336" s="17" t="s">
        <v>29</v>
      </c>
      <c r="I336" s="17" t="s">
        <v>369</v>
      </c>
      <c r="J336" s="17" t="s">
        <v>233</v>
      </c>
      <c r="K336" s="19"/>
      <c r="L336" s="19"/>
      <c r="M336" s="19"/>
      <c r="N336" s="19"/>
      <c r="O336" s="17" t="n">
        <v>4</v>
      </c>
      <c r="P336" s="18" t="s">
        <v>1881</v>
      </c>
      <c r="Q336" s="18" t="s">
        <v>1736</v>
      </c>
      <c r="R336" s="18" t="s">
        <v>1910</v>
      </c>
      <c r="S336" s="17" t="s">
        <v>1911</v>
      </c>
      <c r="T336" s="18" t="s">
        <v>1912</v>
      </c>
      <c r="U336" s="19"/>
      <c r="V336" s="18" t="s">
        <v>1913</v>
      </c>
      <c r="W336" s="17" t="s">
        <v>240</v>
      </c>
      <c r="X336" s="17" t="s">
        <v>1914</v>
      </c>
      <c r="Y336" s="17" t="s">
        <v>242</v>
      </c>
      <c r="Z336" s="19"/>
      <c r="AA336" s="19"/>
      <c r="AB336" s="17"/>
      <c r="AC336" s="19"/>
    </row>
    <row r="337" customFormat="false" ht="22.35" hidden="false" customHeight="false" outlineLevel="0" collapsed="false">
      <c r="A337" s="10" t="s">
        <v>1915</v>
      </c>
      <c r="B337" s="17" t="s">
        <v>106</v>
      </c>
      <c r="C337" s="18" t="s">
        <v>107</v>
      </c>
      <c r="D337" s="17" t="s">
        <v>19</v>
      </c>
      <c r="E337" s="17" t="s">
        <v>75</v>
      </c>
      <c r="F337" s="17" t="s">
        <v>1672</v>
      </c>
      <c r="G337" s="17" t="s">
        <v>1752</v>
      </c>
      <c r="H337" s="17" t="s">
        <v>29</v>
      </c>
      <c r="I337" s="17" t="s">
        <v>283</v>
      </c>
      <c r="J337" s="17" t="s">
        <v>233</v>
      </c>
      <c r="K337" s="19"/>
      <c r="L337" s="19"/>
      <c r="M337" s="19"/>
      <c r="N337" s="19"/>
      <c r="O337" s="17" t="n">
        <v>4</v>
      </c>
      <c r="P337" s="18" t="s">
        <v>1881</v>
      </c>
      <c r="Q337" s="18" t="s">
        <v>1736</v>
      </c>
      <c r="R337" s="18" t="s">
        <v>1916</v>
      </c>
      <c r="S337" s="17" t="s">
        <v>237</v>
      </c>
      <c r="T337" s="18" t="s">
        <v>1082</v>
      </c>
      <c r="U337" s="19"/>
      <c r="V337" s="18" t="s">
        <v>1083</v>
      </c>
      <c r="W337" s="17" t="s">
        <v>240</v>
      </c>
      <c r="X337" s="17" t="s">
        <v>1084</v>
      </c>
      <c r="Y337" s="17" t="s">
        <v>242</v>
      </c>
      <c r="Z337" s="19"/>
      <c r="AA337" s="19"/>
      <c r="AB337" s="17"/>
      <c r="AC337" s="19"/>
    </row>
    <row r="338" customFormat="false" ht="32.8" hidden="false" customHeight="false" outlineLevel="0" collapsed="false">
      <c r="A338" s="10" t="s">
        <v>1917</v>
      </c>
      <c r="B338" s="17" t="s">
        <v>109</v>
      </c>
      <c r="C338" s="18" t="s">
        <v>110</v>
      </c>
      <c r="D338" s="17" t="s">
        <v>19</v>
      </c>
      <c r="E338" s="17" t="s">
        <v>229</v>
      </c>
      <c r="F338" s="17" t="s">
        <v>1672</v>
      </c>
      <c r="G338" s="17" t="s">
        <v>1918</v>
      </c>
      <c r="H338" s="17" t="s">
        <v>29</v>
      </c>
      <c r="I338" s="17" t="s">
        <v>232</v>
      </c>
      <c r="J338" s="17" t="s">
        <v>233</v>
      </c>
      <c r="K338" s="19"/>
      <c r="L338" s="19"/>
      <c r="M338" s="19"/>
      <c r="N338" s="19"/>
      <c r="O338" s="17" t="n">
        <v>0</v>
      </c>
      <c r="P338" s="18" t="s">
        <v>1919</v>
      </c>
      <c r="Q338" s="18" t="s">
        <v>1920</v>
      </c>
      <c r="R338" s="18" t="s">
        <v>1921</v>
      </c>
      <c r="S338" s="17" t="s">
        <v>1922</v>
      </c>
      <c r="T338" s="18" t="s">
        <v>1923</v>
      </c>
      <c r="U338" s="19"/>
      <c r="V338" s="18" t="s">
        <v>1924</v>
      </c>
      <c r="W338" s="17" t="s">
        <v>240</v>
      </c>
      <c r="X338" s="17" t="s">
        <v>1925</v>
      </c>
      <c r="Y338" s="17" t="s">
        <v>242</v>
      </c>
      <c r="Z338" s="19"/>
      <c r="AA338" s="19"/>
      <c r="AB338" s="17"/>
      <c r="AC338" s="19"/>
    </row>
    <row r="339" customFormat="false" ht="43.25" hidden="false" customHeight="false" outlineLevel="0" collapsed="false">
      <c r="A339" s="10" t="s">
        <v>1926</v>
      </c>
      <c r="B339" s="17" t="s">
        <v>109</v>
      </c>
      <c r="C339" s="18" t="s">
        <v>110</v>
      </c>
      <c r="D339" s="17" t="s">
        <v>19</v>
      </c>
      <c r="E339" s="17" t="s">
        <v>229</v>
      </c>
      <c r="F339" s="17" t="s">
        <v>1672</v>
      </c>
      <c r="G339" s="17" t="s">
        <v>1918</v>
      </c>
      <c r="H339" s="17" t="s">
        <v>29</v>
      </c>
      <c r="I339" s="17" t="s">
        <v>232</v>
      </c>
      <c r="J339" s="17" t="s">
        <v>233</v>
      </c>
      <c r="K339" s="19"/>
      <c r="L339" s="19"/>
      <c r="M339" s="19"/>
      <c r="N339" s="19"/>
      <c r="O339" s="17" t="n">
        <v>0</v>
      </c>
      <c r="P339" s="18" t="s">
        <v>1919</v>
      </c>
      <c r="Q339" s="18" t="s">
        <v>1920</v>
      </c>
      <c r="R339" s="18" t="s">
        <v>1927</v>
      </c>
      <c r="S339" s="17" t="s">
        <v>1917</v>
      </c>
      <c r="T339" s="18" t="s">
        <v>1928</v>
      </c>
      <c r="U339" s="19"/>
      <c r="V339" s="18" t="s">
        <v>1929</v>
      </c>
      <c r="W339" s="17" t="s">
        <v>240</v>
      </c>
      <c r="X339" s="17" t="s">
        <v>1930</v>
      </c>
      <c r="Y339" s="17" t="s">
        <v>242</v>
      </c>
      <c r="Z339" s="19"/>
      <c r="AA339" s="19"/>
      <c r="AB339" s="17"/>
      <c r="AC339" s="19"/>
    </row>
    <row r="340" customFormat="false" ht="32.8" hidden="false" customHeight="false" outlineLevel="0" collapsed="false">
      <c r="A340" s="10" t="s">
        <v>1931</v>
      </c>
      <c r="B340" s="17" t="s">
        <v>109</v>
      </c>
      <c r="C340" s="18" t="s">
        <v>110</v>
      </c>
      <c r="D340" s="17" t="s">
        <v>19</v>
      </c>
      <c r="E340" s="17" t="s">
        <v>229</v>
      </c>
      <c r="F340" s="17" t="s">
        <v>1672</v>
      </c>
      <c r="G340" s="17" t="s">
        <v>1918</v>
      </c>
      <c r="H340" s="17" t="s">
        <v>29</v>
      </c>
      <c r="I340" s="17" t="s">
        <v>232</v>
      </c>
      <c r="J340" s="17" t="s">
        <v>233</v>
      </c>
      <c r="K340" s="19"/>
      <c r="L340" s="19"/>
      <c r="M340" s="19"/>
      <c r="N340" s="19"/>
      <c r="O340" s="17" t="n">
        <v>0</v>
      </c>
      <c r="P340" s="18" t="s">
        <v>1919</v>
      </c>
      <c r="Q340" s="18" t="s">
        <v>1920</v>
      </c>
      <c r="R340" s="18" t="s">
        <v>1932</v>
      </c>
      <c r="S340" s="17" t="s">
        <v>1917</v>
      </c>
      <c r="T340" s="18" t="s">
        <v>1933</v>
      </c>
      <c r="U340" s="19"/>
      <c r="V340" s="18" t="s">
        <v>1934</v>
      </c>
      <c r="W340" s="17" t="s">
        <v>240</v>
      </c>
      <c r="X340" s="17" t="s">
        <v>1935</v>
      </c>
      <c r="Y340" s="17" t="s">
        <v>242</v>
      </c>
      <c r="Z340" s="19"/>
      <c r="AA340" s="19"/>
      <c r="AB340" s="17"/>
      <c r="AC340" s="19"/>
    </row>
    <row r="341" customFormat="false" ht="22.35" hidden="false" customHeight="false" outlineLevel="0" collapsed="false">
      <c r="A341" s="10" t="s">
        <v>1936</v>
      </c>
      <c r="B341" s="17" t="s">
        <v>109</v>
      </c>
      <c r="C341" s="18" t="s">
        <v>110</v>
      </c>
      <c r="D341" s="17" t="s">
        <v>19</v>
      </c>
      <c r="E341" s="17" t="s">
        <v>229</v>
      </c>
      <c r="F341" s="17" t="s">
        <v>1672</v>
      </c>
      <c r="G341" s="17" t="s">
        <v>1918</v>
      </c>
      <c r="H341" s="17" t="s">
        <v>29</v>
      </c>
      <c r="I341" s="17" t="s">
        <v>1786</v>
      </c>
      <c r="J341" s="17" t="s">
        <v>233</v>
      </c>
      <c r="K341" s="19"/>
      <c r="L341" s="19"/>
      <c r="M341" s="19"/>
      <c r="N341" s="19"/>
      <c r="O341" s="17" t="n">
        <v>0</v>
      </c>
      <c r="P341" s="18" t="s">
        <v>1919</v>
      </c>
      <c r="Q341" s="18" t="s">
        <v>1920</v>
      </c>
      <c r="R341" s="18" t="s">
        <v>1937</v>
      </c>
      <c r="S341" s="17" t="s">
        <v>1938</v>
      </c>
      <c r="T341" s="18" t="s">
        <v>1939</v>
      </c>
      <c r="U341" s="19"/>
      <c r="V341" s="18" t="s">
        <v>1940</v>
      </c>
      <c r="W341" s="17" t="s">
        <v>240</v>
      </c>
      <c r="X341" s="17" t="s">
        <v>1941</v>
      </c>
      <c r="Y341" s="17" t="s">
        <v>242</v>
      </c>
      <c r="Z341" s="19"/>
      <c r="AA341" s="19"/>
      <c r="AB341" s="17"/>
      <c r="AC341" s="19"/>
    </row>
    <row r="342" customFormat="false" ht="22.35" hidden="false" customHeight="false" outlineLevel="0" collapsed="false">
      <c r="A342" s="10" t="s">
        <v>1942</v>
      </c>
      <c r="B342" s="17" t="s">
        <v>109</v>
      </c>
      <c r="C342" s="18" t="s">
        <v>110</v>
      </c>
      <c r="D342" s="17" t="s">
        <v>19</v>
      </c>
      <c r="E342" s="17" t="s">
        <v>229</v>
      </c>
      <c r="F342" s="17" t="s">
        <v>1672</v>
      </c>
      <c r="G342" s="17" t="s">
        <v>1918</v>
      </c>
      <c r="H342" s="17" t="s">
        <v>29</v>
      </c>
      <c r="I342" s="17" t="s">
        <v>928</v>
      </c>
      <c r="J342" s="17" t="s">
        <v>233</v>
      </c>
      <c r="K342" s="19"/>
      <c r="L342" s="19"/>
      <c r="M342" s="19"/>
      <c r="N342" s="19"/>
      <c r="O342" s="17" t="n">
        <v>0</v>
      </c>
      <c r="P342" s="18" t="s">
        <v>1919</v>
      </c>
      <c r="Q342" s="18" t="s">
        <v>1943</v>
      </c>
      <c r="R342" s="18" t="s">
        <v>1944</v>
      </c>
      <c r="S342" s="17" t="s">
        <v>1926</v>
      </c>
      <c r="T342" s="18" t="s">
        <v>1945</v>
      </c>
      <c r="U342" s="19"/>
      <c r="V342" s="18" t="s">
        <v>1946</v>
      </c>
      <c r="W342" s="17" t="s">
        <v>240</v>
      </c>
      <c r="X342" s="17" t="s">
        <v>1947</v>
      </c>
      <c r="Y342" s="17" t="s">
        <v>242</v>
      </c>
      <c r="Z342" s="19"/>
      <c r="AA342" s="19"/>
      <c r="AB342" s="17"/>
      <c r="AC342" s="19"/>
    </row>
    <row r="343" customFormat="false" ht="22.35" hidden="false" customHeight="false" outlineLevel="0" collapsed="false">
      <c r="A343" s="10" t="s">
        <v>1948</v>
      </c>
      <c r="B343" s="17" t="s">
        <v>109</v>
      </c>
      <c r="C343" s="18" t="s">
        <v>110</v>
      </c>
      <c r="D343" s="17" t="s">
        <v>19</v>
      </c>
      <c r="E343" s="17" t="s">
        <v>229</v>
      </c>
      <c r="F343" s="17" t="s">
        <v>1672</v>
      </c>
      <c r="G343" s="17" t="s">
        <v>1918</v>
      </c>
      <c r="H343" s="17" t="s">
        <v>29</v>
      </c>
      <c r="I343" s="17" t="s">
        <v>928</v>
      </c>
      <c r="J343" s="17" t="s">
        <v>233</v>
      </c>
      <c r="K343" s="19"/>
      <c r="L343" s="19"/>
      <c r="M343" s="19"/>
      <c r="N343" s="19"/>
      <c r="O343" s="17" t="n">
        <v>0</v>
      </c>
      <c r="P343" s="18" t="s">
        <v>1919</v>
      </c>
      <c r="Q343" s="18" t="s">
        <v>1943</v>
      </c>
      <c r="R343" s="18" t="s">
        <v>1949</v>
      </c>
      <c r="S343" s="17" t="s">
        <v>1950</v>
      </c>
      <c r="T343" s="18" t="s">
        <v>1951</v>
      </c>
      <c r="U343" s="19"/>
      <c r="V343" s="18" t="s">
        <v>1952</v>
      </c>
      <c r="W343" s="17" t="s">
        <v>240</v>
      </c>
      <c r="X343" s="17" t="s">
        <v>1953</v>
      </c>
      <c r="Y343" s="17" t="s">
        <v>242</v>
      </c>
      <c r="Z343" s="19"/>
      <c r="AA343" s="19"/>
      <c r="AB343" s="17"/>
      <c r="AC343" s="19"/>
    </row>
    <row r="344" customFormat="false" ht="22.35" hidden="false" customHeight="false" outlineLevel="0" collapsed="false">
      <c r="A344" s="10" t="s">
        <v>1954</v>
      </c>
      <c r="B344" s="17" t="s">
        <v>109</v>
      </c>
      <c r="C344" s="18" t="s">
        <v>110</v>
      </c>
      <c r="D344" s="17" t="s">
        <v>19</v>
      </c>
      <c r="E344" s="17" t="s">
        <v>229</v>
      </c>
      <c r="F344" s="17" t="s">
        <v>1672</v>
      </c>
      <c r="G344" s="17" t="s">
        <v>1918</v>
      </c>
      <c r="H344" s="17" t="s">
        <v>29</v>
      </c>
      <c r="I344" s="17" t="s">
        <v>283</v>
      </c>
      <c r="J344" s="17" t="s">
        <v>233</v>
      </c>
      <c r="K344" s="19"/>
      <c r="L344" s="19"/>
      <c r="M344" s="19"/>
      <c r="N344" s="19"/>
      <c r="O344" s="17" t="n">
        <v>0</v>
      </c>
      <c r="P344" s="18" t="s">
        <v>1919</v>
      </c>
      <c r="Q344" s="18" t="s">
        <v>1943</v>
      </c>
      <c r="R344" s="18" t="s">
        <v>1955</v>
      </c>
      <c r="S344" s="17" t="s">
        <v>237</v>
      </c>
      <c r="T344" s="18" t="s">
        <v>1082</v>
      </c>
      <c r="U344" s="19"/>
      <c r="V344" s="18" t="s">
        <v>1083</v>
      </c>
      <c r="W344" s="17" t="s">
        <v>240</v>
      </c>
      <c r="X344" s="17" t="s">
        <v>1084</v>
      </c>
      <c r="Y344" s="17" t="s">
        <v>242</v>
      </c>
      <c r="Z344" s="19"/>
      <c r="AA344" s="19"/>
      <c r="AB344" s="17"/>
      <c r="AC344" s="19"/>
    </row>
    <row r="345" customFormat="false" ht="22.35" hidden="false" customHeight="false" outlineLevel="0" collapsed="false">
      <c r="A345" s="10" t="s">
        <v>1956</v>
      </c>
      <c r="B345" s="17" t="s">
        <v>109</v>
      </c>
      <c r="C345" s="18" t="s">
        <v>110</v>
      </c>
      <c r="D345" s="17" t="s">
        <v>19</v>
      </c>
      <c r="E345" s="17" t="s">
        <v>229</v>
      </c>
      <c r="F345" s="17" t="s">
        <v>1672</v>
      </c>
      <c r="G345" s="17" t="s">
        <v>1918</v>
      </c>
      <c r="H345" s="17" t="s">
        <v>29</v>
      </c>
      <c r="I345" s="17" t="s">
        <v>316</v>
      </c>
      <c r="J345" s="17" t="s">
        <v>233</v>
      </c>
      <c r="K345" s="19"/>
      <c r="L345" s="19"/>
      <c r="M345" s="19"/>
      <c r="N345" s="19"/>
      <c r="O345" s="17" t="n">
        <v>2</v>
      </c>
      <c r="P345" s="18" t="s">
        <v>1957</v>
      </c>
      <c r="Q345" s="18" t="s">
        <v>1958</v>
      </c>
      <c r="R345" s="18" t="s">
        <v>1959</v>
      </c>
      <c r="S345" s="17" t="s">
        <v>1960</v>
      </c>
      <c r="T345" s="18" t="s">
        <v>1961</v>
      </c>
      <c r="U345" s="19"/>
      <c r="V345" s="18" t="s">
        <v>1962</v>
      </c>
      <c r="W345" s="17" t="s">
        <v>240</v>
      </c>
      <c r="X345" s="17" t="s">
        <v>1963</v>
      </c>
      <c r="Y345" s="17" t="s">
        <v>242</v>
      </c>
      <c r="Z345" s="19"/>
      <c r="AA345" s="19"/>
      <c r="AB345" s="17"/>
      <c r="AC345" s="19"/>
    </row>
    <row r="346" customFormat="false" ht="22.35" hidden="false" customHeight="false" outlineLevel="0" collapsed="false">
      <c r="A346" s="10" t="s">
        <v>1964</v>
      </c>
      <c r="B346" s="17" t="s">
        <v>109</v>
      </c>
      <c r="C346" s="18" t="s">
        <v>110</v>
      </c>
      <c r="D346" s="17" t="s">
        <v>19</v>
      </c>
      <c r="E346" s="17" t="s">
        <v>75</v>
      </c>
      <c r="F346" s="17" t="s">
        <v>1672</v>
      </c>
      <c r="G346" s="17" t="s">
        <v>1918</v>
      </c>
      <c r="H346" s="17" t="s">
        <v>29</v>
      </c>
      <c r="I346" s="17" t="s">
        <v>316</v>
      </c>
      <c r="J346" s="17" t="s">
        <v>233</v>
      </c>
      <c r="K346" s="19"/>
      <c r="L346" s="19"/>
      <c r="M346" s="19"/>
      <c r="N346" s="19"/>
      <c r="O346" s="17" t="n">
        <v>2</v>
      </c>
      <c r="P346" s="18" t="s">
        <v>1957</v>
      </c>
      <c r="Q346" s="18" t="s">
        <v>1958</v>
      </c>
      <c r="R346" s="18" t="s">
        <v>1965</v>
      </c>
      <c r="S346" s="17" t="s">
        <v>1966</v>
      </c>
      <c r="T346" s="18" t="s">
        <v>1967</v>
      </c>
      <c r="U346" s="19"/>
      <c r="V346" s="18" t="s">
        <v>1968</v>
      </c>
      <c r="W346" s="17" t="s">
        <v>240</v>
      </c>
      <c r="X346" s="17" t="s">
        <v>1969</v>
      </c>
      <c r="Y346" s="17" t="s">
        <v>242</v>
      </c>
      <c r="Z346" s="19"/>
      <c r="AA346" s="19"/>
      <c r="AB346" s="17"/>
      <c r="AC346" s="19"/>
    </row>
    <row r="347" customFormat="false" ht="22.35" hidden="false" customHeight="false" outlineLevel="0" collapsed="false">
      <c r="A347" s="10" t="s">
        <v>1970</v>
      </c>
      <c r="B347" s="17" t="s">
        <v>109</v>
      </c>
      <c r="C347" s="18" t="s">
        <v>110</v>
      </c>
      <c r="D347" s="17" t="s">
        <v>19</v>
      </c>
      <c r="E347" s="17" t="s">
        <v>75</v>
      </c>
      <c r="F347" s="17" t="s">
        <v>1672</v>
      </c>
      <c r="G347" s="17" t="s">
        <v>1918</v>
      </c>
      <c r="H347" s="17" t="s">
        <v>29</v>
      </c>
      <c r="I347" s="17" t="s">
        <v>316</v>
      </c>
      <c r="J347" s="17" t="s">
        <v>233</v>
      </c>
      <c r="K347" s="19"/>
      <c r="L347" s="19"/>
      <c r="M347" s="19"/>
      <c r="N347" s="19"/>
      <c r="O347" s="17" t="n">
        <v>2</v>
      </c>
      <c r="P347" s="18" t="s">
        <v>1957</v>
      </c>
      <c r="Q347" s="18" t="s">
        <v>1958</v>
      </c>
      <c r="R347" s="18" t="s">
        <v>1971</v>
      </c>
      <c r="S347" s="17" t="s">
        <v>1964</v>
      </c>
      <c r="T347" s="18" t="s">
        <v>1972</v>
      </c>
      <c r="U347" s="19"/>
      <c r="V347" s="18" t="s">
        <v>1973</v>
      </c>
      <c r="W347" s="17" t="s">
        <v>240</v>
      </c>
      <c r="X347" s="17" t="s">
        <v>1974</v>
      </c>
      <c r="Y347" s="17" t="s">
        <v>242</v>
      </c>
      <c r="Z347" s="19"/>
      <c r="AA347" s="19"/>
      <c r="AB347" s="17"/>
      <c r="AC347" s="19"/>
    </row>
    <row r="348" customFormat="false" ht="32.8" hidden="false" customHeight="false" outlineLevel="0" collapsed="false">
      <c r="A348" s="10" t="s">
        <v>1975</v>
      </c>
      <c r="B348" s="17" t="s">
        <v>109</v>
      </c>
      <c r="C348" s="18" t="s">
        <v>110</v>
      </c>
      <c r="D348" s="17" t="s">
        <v>19</v>
      </c>
      <c r="E348" s="17" t="s">
        <v>75</v>
      </c>
      <c r="F348" s="17" t="s">
        <v>1672</v>
      </c>
      <c r="G348" s="17" t="s">
        <v>1918</v>
      </c>
      <c r="H348" s="17" t="s">
        <v>29</v>
      </c>
      <c r="I348" s="17" t="s">
        <v>1413</v>
      </c>
      <c r="J348" s="17" t="s">
        <v>233</v>
      </c>
      <c r="K348" s="19"/>
      <c r="L348" s="19"/>
      <c r="M348" s="19"/>
      <c r="N348" s="19"/>
      <c r="O348" s="17" t="n">
        <v>3</v>
      </c>
      <c r="P348" s="18" t="s">
        <v>1957</v>
      </c>
      <c r="Q348" s="18" t="s">
        <v>1958</v>
      </c>
      <c r="R348" s="18" t="s">
        <v>1976</v>
      </c>
      <c r="S348" s="17" t="s">
        <v>1977</v>
      </c>
      <c r="T348" s="18" t="s">
        <v>1978</v>
      </c>
      <c r="U348" s="19"/>
      <c r="V348" s="18" t="s">
        <v>1979</v>
      </c>
      <c r="W348" s="17" t="s">
        <v>240</v>
      </c>
      <c r="X348" s="17" t="s">
        <v>1980</v>
      </c>
      <c r="Y348" s="17" t="s">
        <v>242</v>
      </c>
      <c r="Z348" s="19"/>
      <c r="AA348" s="19"/>
      <c r="AB348" s="17"/>
      <c r="AC348" s="19"/>
    </row>
    <row r="349" customFormat="false" ht="22.35" hidden="false" customHeight="false" outlineLevel="0" collapsed="false">
      <c r="A349" s="10" t="s">
        <v>1981</v>
      </c>
      <c r="B349" s="17" t="s">
        <v>109</v>
      </c>
      <c r="C349" s="18" t="s">
        <v>110</v>
      </c>
      <c r="D349" s="17" t="s">
        <v>19</v>
      </c>
      <c r="E349" s="17" t="s">
        <v>75</v>
      </c>
      <c r="F349" s="17" t="s">
        <v>1672</v>
      </c>
      <c r="G349" s="17" t="s">
        <v>1918</v>
      </c>
      <c r="H349" s="17" t="s">
        <v>29</v>
      </c>
      <c r="I349" s="17" t="s">
        <v>316</v>
      </c>
      <c r="J349" s="17" t="s">
        <v>233</v>
      </c>
      <c r="K349" s="19"/>
      <c r="L349" s="19"/>
      <c r="M349" s="19"/>
      <c r="N349" s="19"/>
      <c r="O349" s="17" t="n">
        <v>2</v>
      </c>
      <c r="P349" s="18" t="s">
        <v>1957</v>
      </c>
      <c r="Q349" s="18" t="s">
        <v>1982</v>
      </c>
      <c r="R349" s="18" t="s">
        <v>1983</v>
      </c>
      <c r="S349" s="17" t="s">
        <v>1984</v>
      </c>
      <c r="T349" s="18" t="s">
        <v>1985</v>
      </c>
      <c r="U349" s="19"/>
      <c r="V349" s="18" t="s">
        <v>1986</v>
      </c>
      <c r="W349" s="17" t="s">
        <v>240</v>
      </c>
      <c r="X349" s="17" t="s">
        <v>1941</v>
      </c>
      <c r="Y349" s="17" t="s">
        <v>242</v>
      </c>
      <c r="Z349" s="19"/>
      <c r="AA349" s="19"/>
      <c r="AB349" s="17"/>
      <c r="AC349" s="19"/>
    </row>
    <row r="350" customFormat="false" ht="22.35" hidden="false" customHeight="false" outlineLevel="0" collapsed="false">
      <c r="A350" s="10" t="s">
        <v>1987</v>
      </c>
      <c r="B350" s="17" t="s">
        <v>109</v>
      </c>
      <c r="C350" s="18" t="s">
        <v>110</v>
      </c>
      <c r="D350" s="17" t="s">
        <v>19</v>
      </c>
      <c r="E350" s="17" t="s">
        <v>229</v>
      </c>
      <c r="F350" s="17" t="s">
        <v>1672</v>
      </c>
      <c r="G350" s="17" t="s">
        <v>1918</v>
      </c>
      <c r="H350" s="17" t="s">
        <v>29</v>
      </c>
      <c r="I350" s="17" t="s">
        <v>316</v>
      </c>
      <c r="J350" s="17" t="s">
        <v>233</v>
      </c>
      <c r="K350" s="19"/>
      <c r="L350" s="19"/>
      <c r="M350" s="19"/>
      <c r="N350" s="19"/>
      <c r="O350" s="17" t="n">
        <v>2</v>
      </c>
      <c r="P350" s="18" t="s">
        <v>1957</v>
      </c>
      <c r="Q350" s="18" t="s">
        <v>1982</v>
      </c>
      <c r="R350" s="18" t="s">
        <v>1988</v>
      </c>
      <c r="S350" s="17" t="s">
        <v>1989</v>
      </c>
      <c r="T350" s="18" t="s">
        <v>1990</v>
      </c>
      <c r="U350" s="19"/>
      <c r="V350" s="18" t="s">
        <v>1991</v>
      </c>
      <c r="W350" s="17" t="s">
        <v>240</v>
      </c>
      <c r="X350" s="17" t="s">
        <v>1992</v>
      </c>
      <c r="Y350" s="17" t="s">
        <v>242</v>
      </c>
      <c r="Z350" s="19"/>
      <c r="AA350" s="19"/>
      <c r="AB350" s="17"/>
      <c r="AC350" s="19"/>
    </row>
    <row r="351" customFormat="false" ht="32.8" hidden="false" customHeight="false" outlineLevel="0" collapsed="false">
      <c r="A351" s="10" t="s">
        <v>1993</v>
      </c>
      <c r="B351" s="17" t="s">
        <v>109</v>
      </c>
      <c r="C351" s="18" t="s">
        <v>110</v>
      </c>
      <c r="D351" s="17" t="s">
        <v>19</v>
      </c>
      <c r="E351" s="17" t="s">
        <v>229</v>
      </c>
      <c r="F351" s="17" t="s">
        <v>1672</v>
      </c>
      <c r="G351" s="17" t="s">
        <v>1918</v>
      </c>
      <c r="H351" s="17" t="s">
        <v>29</v>
      </c>
      <c r="I351" s="17" t="s">
        <v>316</v>
      </c>
      <c r="J351" s="17" t="s">
        <v>233</v>
      </c>
      <c r="K351" s="19"/>
      <c r="L351" s="19"/>
      <c r="M351" s="19"/>
      <c r="N351" s="19"/>
      <c r="O351" s="17" t="n">
        <v>2</v>
      </c>
      <c r="P351" s="18" t="s">
        <v>1957</v>
      </c>
      <c r="Q351" s="18" t="s">
        <v>1982</v>
      </c>
      <c r="R351" s="18" t="s">
        <v>1994</v>
      </c>
      <c r="S351" s="17" t="s">
        <v>1995</v>
      </c>
      <c r="T351" s="18" t="s">
        <v>1996</v>
      </c>
      <c r="U351" s="19"/>
      <c r="V351" s="18" t="s">
        <v>1997</v>
      </c>
      <c r="W351" s="17" t="s">
        <v>240</v>
      </c>
      <c r="X351" s="17" t="s">
        <v>1998</v>
      </c>
      <c r="Y351" s="17" t="s">
        <v>242</v>
      </c>
      <c r="Z351" s="19"/>
      <c r="AA351" s="19"/>
      <c r="AB351" s="17"/>
      <c r="AC351" s="19"/>
    </row>
    <row r="352" customFormat="false" ht="22.35" hidden="false" customHeight="false" outlineLevel="0" collapsed="false">
      <c r="A352" s="10" t="s">
        <v>1999</v>
      </c>
      <c r="B352" s="17" t="s">
        <v>109</v>
      </c>
      <c r="C352" s="18" t="s">
        <v>110</v>
      </c>
      <c r="D352" s="17" t="s">
        <v>19</v>
      </c>
      <c r="E352" s="17" t="s">
        <v>229</v>
      </c>
      <c r="F352" s="17" t="s">
        <v>1672</v>
      </c>
      <c r="G352" s="17" t="s">
        <v>1918</v>
      </c>
      <c r="H352" s="17" t="s">
        <v>29</v>
      </c>
      <c r="I352" s="17" t="s">
        <v>316</v>
      </c>
      <c r="J352" s="17" t="s">
        <v>233</v>
      </c>
      <c r="K352" s="19"/>
      <c r="L352" s="19"/>
      <c r="M352" s="19"/>
      <c r="N352" s="19"/>
      <c r="O352" s="17" t="n">
        <v>2</v>
      </c>
      <c r="P352" s="18" t="s">
        <v>1957</v>
      </c>
      <c r="Q352" s="18" t="s">
        <v>1982</v>
      </c>
      <c r="R352" s="18" t="s">
        <v>2000</v>
      </c>
      <c r="S352" s="17" t="s">
        <v>1987</v>
      </c>
      <c r="T352" s="18" t="s">
        <v>2001</v>
      </c>
      <c r="U352" s="19"/>
      <c r="V352" s="18" t="s">
        <v>2002</v>
      </c>
      <c r="W352" s="17" t="s">
        <v>240</v>
      </c>
      <c r="X352" s="17" t="s">
        <v>2003</v>
      </c>
      <c r="Y352" s="17" t="s">
        <v>242</v>
      </c>
      <c r="Z352" s="19"/>
      <c r="AA352" s="19"/>
      <c r="AB352" s="17"/>
      <c r="AC352" s="19"/>
    </row>
    <row r="353" customFormat="false" ht="22.35" hidden="false" customHeight="false" outlineLevel="0" collapsed="false">
      <c r="A353" s="10" t="s">
        <v>2004</v>
      </c>
      <c r="B353" s="17" t="s">
        <v>109</v>
      </c>
      <c r="C353" s="18" t="s">
        <v>110</v>
      </c>
      <c r="D353" s="17" t="s">
        <v>19</v>
      </c>
      <c r="E353" s="17" t="s">
        <v>229</v>
      </c>
      <c r="F353" s="17" t="s">
        <v>1672</v>
      </c>
      <c r="G353" s="17" t="s">
        <v>1918</v>
      </c>
      <c r="H353" s="17" t="s">
        <v>29</v>
      </c>
      <c r="I353" s="17" t="s">
        <v>450</v>
      </c>
      <c r="J353" s="17" t="s">
        <v>233</v>
      </c>
      <c r="K353" s="19"/>
      <c r="L353" s="19"/>
      <c r="M353" s="19"/>
      <c r="N353" s="19"/>
      <c r="O353" s="17" t="n">
        <v>2</v>
      </c>
      <c r="P353" s="18" t="s">
        <v>1957</v>
      </c>
      <c r="Q353" s="18" t="s">
        <v>1982</v>
      </c>
      <c r="R353" s="18" t="s">
        <v>2005</v>
      </c>
      <c r="S353" s="17" t="s">
        <v>1987</v>
      </c>
      <c r="T353" s="18" t="s">
        <v>2006</v>
      </c>
      <c r="U353" s="19"/>
      <c r="V353" s="18" t="s">
        <v>2007</v>
      </c>
      <c r="W353" s="17" t="s">
        <v>240</v>
      </c>
      <c r="X353" s="17" t="s">
        <v>2008</v>
      </c>
      <c r="Y353" s="17" t="s">
        <v>242</v>
      </c>
      <c r="Z353" s="19"/>
      <c r="AA353" s="19"/>
      <c r="AB353" s="17"/>
      <c r="AC353" s="19"/>
    </row>
    <row r="354" customFormat="false" ht="43.25" hidden="false" customHeight="false" outlineLevel="0" collapsed="false">
      <c r="A354" s="10" t="s">
        <v>2009</v>
      </c>
      <c r="B354" s="17" t="s">
        <v>109</v>
      </c>
      <c r="C354" s="18" t="s">
        <v>110</v>
      </c>
      <c r="D354" s="17" t="s">
        <v>19</v>
      </c>
      <c r="E354" s="17" t="s">
        <v>229</v>
      </c>
      <c r="F354" s="17" t="s">
        <v>1672</v>
      </c>
      <c r="G354" s="17" t="s">
        <v>1918</v>
      </c>
      <c r="H354" s="17" t="s">
        <v>29</v>
      </c>
      <c r="I354" s="17" t="s">
        <v>277</v>
      </c>
      <c r="J354" s="17" t="s">
        <v>233</v>
      </c>
      <c r="K354" s="19"/>
      <c r="L354" s="19"/>
      <c r="M354" s="19"/>
      <c r="N354" s="19"/>
      <c r="O354" s="17" t="n">
        <v>2</v>
      </c>
      <c r="P354" s="18" t="s">
        <v>1957</v>
      </c>
      <c r="Q354" s="18" t="s">
        <v>2010</v>
      </c>
      <c r="R354" s="18" t="s">
        <v>2011</v>
      </c>
      <c r="S354" s="17" t="s">
        <v>2012</v>
      </c>
      <c r="T354" s="18" t="s">
        <v>1398</v>
      </c>
      <c r="U354" s="19"/>
      <c r="V354" s="18" t="s">
        <v>2013</v>
      </c>
      <c r="W354" s="17" t="s">
        <v>240</v>
      </c>
      <c r="X354" s="17" t="s">
        <v>2014</v>
      </c>
      <c r="Y354" s="17" t="s">
        <v>242</v>
      </c>
      <c r="Z354" s="19"/>
      <c r="AA354" s="19"/>
      <c r="AB354" s="17"/>
      <c r="AC354" s="19"/>
    </row>
    <row r="355" customFormat="false" ht="22.35" hidden="false" customHeight="false" outlineLevel="0" collapsed="false">
      <c r="A355" s="10" t="s">
        <v>2015</v>
      </c>
      <c r="B355" s="17" t="s">
        <v>109</v>
      </c>
      <c r="C355" s="18" t="s">
        <v>110</v>
      </c>
      <c r="D355" s="17" t="s">
        <v>19</v>
      </c>
      <c r="E355" s="17" t="s">
        <v>75</v>
      </c>
      <c r="F355" s="17" t="s">
        <v>1672</v>
      </c>
      <c r="G355" s="17" t="s">
        <v>1918</v>
      </c>
      <c r="H355" s="17" t="s">
        <v>29</v>
      </c>
      <c r="I355" s="17" t="s">
        <v>277</v>
      </c>
      <c r="J355" s="17" t="s">
        <v>233</v>
      </c>
      <c r="K355" s="19"/>
      <c r="L355" s="19"/>
      <c r="M355" s="19"/>
      <c r="N355" s="19"/>
      <c r="O355" s="17" t="n">
        <v>2</v>
      </c>
      <c r="P355" s="18" t="s">
        <v>1957</v>
      </c>
      <c r="Q355" s="18" t="s">
        <v>2010</v>
      </c>
      <c r="R355" s="18" t="s">
        <v>2016</v>
      </c>
      <c r="S355" s="17" t="s">
        <v>1993</v>
      </c>
      <c r="T355" s="18" t="s">
        <v>2017</v>
      </c>
      <c r="U355" s="19"/>
      <c r="V355" s="18" t="s">
        <v>2018</v>
      </c>
      <c r="W355" s="17" t="s">
        <v>240</v>
      </c>
      <c r="X355" s="17" t="s">
        <v>2019</v>
      </c>
      <c r="Y355" s="17" t="s">
        <v>242</v>
      </c>
      <c r="Z355" s="19"/>
      <c r="AA355" s="19"/>
      <c r="AB355" s="17"/>
      <c r="AC355" s="19"/>
    </row>
    <row r="356" customFormat="false" ht="32.8" hidden="false" customHeight="false" outlineLevel="0" collapsed="false">
      <c r="A356" s="10" t="s">
        <v>2020</v>
      </c>
      <c r="B356" s="17" t="s">
        <v>109</v>
      </c>
      <c r="C356" s="18" t="s">
        <v>110</v>
      </c>
      <c r="D356" s="17" t="s">
        <v>19</v>
      </c>
      <c r="E356" s="17" t="s">
        <v>75</v>
      </c>
      <c r="F356" s="17" t="s">
        <v>1672</v>
      </c>
      <c r="G356" s="17" t="s">
        <v>1918</v>
      </c>
      <c r="H356" s="17" t="s">
        <v>29</v>
      </c>
      <c r="I356" s="17" t="s">
        <v>277</v>
      </c>
      <c r="J356" s="17" t="s">
        <v>233</v>
      </c>
      <c r="K356" s="19"/>
      <c r="L356" s="19"/>
      <c r="M356" s="19"/>
      <c r="N356" s="19"/>
      <c r="O356" s="17" t="n">
        <v>2</v>
      </c>
      <c r="P356" s="18" t="s">
        <v>1957</v>
      </c>
      <c r="Q356" s="18" t="s">
        <v>2010</v>
      </c>
      <c r="R356" s="18" t="s">
        <v>2021</v>
      </c>
      <c r="S356" s="17" t="s">
        <v>2022</v>
      </c>
      <c r="T356" s="18" t="s">
        <v>2023</v>
      </c>
      <c r="U356" s="19"/>
      <c r="V356" s="18" t="s">
        <v>2024</v>
      </c>
      <c r="W356" s="17" t="s">
        <v>240</v>
      </c>
      <c r="X356" s="17" t="s">
        <v>2025</v>
      </c>
      <c r="Y356" s="17" t="s">
        <v>242</v>
      </c>
      <c r="Z356" s="19"/>
      <c r="AA356" s="19"/>
      <c r="AB356" s="17"/>
      <c r="AC356" s="19"/>
    </row>
    <row r="357" customFormat="false" ht="22.35" hidden="false" customHeight="false" outlineLevel="0" collapsed="false">
      <c r="A357" s="10" t="s">
        <v>2026</v>
      </c>
      <c r="B357" s="17" t="s">
        <v>109</v>
      </c>
      <c r="C357" s="18" t="s">
        <v>110</v>
      </c>
      <c r="D357" s="17" t="s">
        <v>19</v>
      </c>
      <c r="E357" s="17" t="s">
        <v>75</v>
      </c>
      <c r="F357" s="17" t="s">
        <v>1672</v>
      </c>
      <c r="G357" s="17" t="s">
        <v>1918</v>
      </c>
      <c r="H357" s="17" t="s">
        <v>29</v>
      </c>
      <c r="I357" s="17" t="s">
        <v>283</v>
      </c>
      <c r="J357" s="17" t="s">
        <v>233</v>
      </c>
      <c r="K357" s="19"/>
      <c r="L357" s="19"/>
      <c r="M357" s="19"/>
      <c r="N357" s="19"/>
      <c r="O357" s="17" t="n">
        <v>3</v>
      </c>
      <c r="P357" s="18" t="s">
        <v>1957</v>
      </c>
      <c r="Q357" s="18" t="s">
        <v>2010</v>
      </c>
      <c r="R357" s="18" t="s">
        <v>2027</v>
      </c>
      <c r="S357" s="17" t="s">
        <v>237</v>
      </c>
      <c r="T357" s="18" t="s">
        <v>1082</v>
      </c>
      <c r="U357" s="19"/>
      <c r="V357" s="18" t="s">
        <v>1083</v>
      </c>
      <c r="W357" s="17" t="s">
        <v>240</v>
      </c>
      <c r="X357" s="17" t="s">
        <v>1084</v>
      </c>
      <c r="Y357" s="17" t="s">
        <v>242</v>
      </c>
      <c r="Z357" s="19"/>
      <c r="AA357" s="19"/>
      <c r="AB357" s="17"/>
      <c r="AC357" s="19"/>
    </row>
    <row r="358" customFormat="false" ht="22.35" hidden="false" customHeight="false" outlineLevel="0" collapsed="false">
      <c r="A358" s="10" t="s">
        <v>2028</v>
      </c>
      <c r="B358" s="17" t="s">
        <v>109</v>
      </c>
      <c r="C358" s="18" t="s">
        <v>110</v>
      </c>
      <c r="D358" s="17" t="s">
        <v>19</v>
      </c>
      <c r="E358" s="17" t="s">
        <v>229</v>
      </c>
      <c r="F358" s="17" t="s">
        <v>1672</v>
      </c>
      <c r="G358" s="17" t="s">
        <v>1918</v>
      </c>
      <c r="H358" s="17" t="s">
        <v>29</v>
      </c>
      <c r="I358" s="17" t="s">
        <v>450</v>
      </c>
      <c r="J358" s="17" t="s">
        <v>233</v>
      </c>
      <c r="K358" s="19"/>
      <c r="L358" s="19"/>
      <c r="M358" s="19"/>
      <c r="N358" s="19"/>
      <c r="O358" s="17" t="n">
        <v>2</v>
      </c>
      <c r="P358" s="18" t="s">
        <v>2029</v>
      </c>
      <c r="Q358" s="18" t="s">
        <v>1882</v>
      </c>
      <c r="R358" s="18" t="s">
        <v>2030</v>
      </c>
      <c r="S358" s="17" t="s">
        <v>1917</v>
      </c>
      <c r="T358" s="18" t="s">
        <v>2031</v>
      </c>
      <c r="U358" s="19"/>
      <c r="V358" s="18" t="s">
        <v>2032</v>
      </c>
      <c r="W358" s="17" t="s">
        <v>240</v>
      </c>
      <c r="X358" s="17" t="s">
        <v>2033</v>
      </c>
      <c r="Y358" s="17" t="s">
        <v>242</v>
      </c>
      <c r="Z358" s="19"/>
      <c r="AA358" s="19"/>
      <c r="AB358" s="17"/>
      <c r="AC358" s="19"/>
    </row>
    <row r="359" customFormat="false" ht="22.35" hidden="false" customHeight="false" outlineLevel="0" collapsed="false">
      <c r="A359" s="10" t="s">
        <v>2034</v>
      </c>
      <c r="B359" s="17" t="s">
        <v>109</v>
      </c>
      <c r="C359" s="18" t="s">
        <v>110</v>
      </c>
      <c r="D359" s="17" t="s">
        <v>19</v>
      </c>
      <c r="E359" s="17" t="s">
        <v>75</v>
      </c>
      <c r="F359" s="17" t="s">
        <v>1672</v>
      </c>
      <c r="G359" s="17" t="s">
        <v>1918</v>
      </c>
      <c r="H359" s="17" t="s">
        <v>29</v>
      </c>
      <c r="I359" s="17" t="s">
        <v>333</v>
      </c>
      <c r="J359" s="17" t="s">
        <v>233</v>
      </c>
      <c r="K359" s="19"/>
      <c r="L359" s="19"/>
      <c r="M359" s="19"/>
      <c r="N359" s="19"/>
      <c r="O359" s="17" t="n">
        <v>2</v>
      </c>
      <c r="P359" s="18" t="s">
        <v>2029</v>
      </c>
      <c r="Q359" s="18" t="s">
        <v>1882</v>
      </c>
      <c r="R359" s="18" t="s">
        <v>2035</v>
      </c>
      <c r="S359" s="17" t="s">
        <v>1981</v>
      </c>
      <c r="T359" s="18" t="s">
        <v>1889</v>
      </c>
      <c r="U359" s="19"/>
      <c r="V359" s="18" t="s">
        <v>2036</v>
      </c>
      <c r="W359" s="17" t="s">
        <v>240</v>
      </c>
      <c r="X359" s="17" t="s">
        <v>2037</v>
      </c>
      <c r="Y359" s="17" t="s">
        <v>242</v>
      </c>
      <c r="Z359" s="19"/>
      <c r="AA359" s="19"/>
      <c r="AB359" s="17"/>
      <c r="AC359" s="19"/>
    </row>
    <row r="360" customFormat="false" ht="22.35" hidden="false" customHeight="false" outlineLevel="0" collapsed="false">
      <c r="A360" s="10" t="s">
        <v>2038</v>
      </c>
      <c r="B360" s="17" t="s">
        <v>109</v>
      </c>
      <c r="C360" s="18" t="s">
        <v>110</v>
      </c>
      <c r="D360" s="17" t="s">
        <v>19</v>
      </c>
      <c r="E360" s="17" t="s">
        <v>229</v>
      </c>
      <c r="F360" s="17" t="s">
        <v>1672</v>
      </c>
      <c r="G360" s="17" t="s">
        <v>1918</v>
      </c>
      <c r="H360" s="17" t="s">
        <v>29</v>
      </c>
      <c r="I360" s="17" t="s">
        <v>333</v>
      </c>
      <c r="J360" s="17" t="s">
        <v>233</v>
      </c>
      <c r="K360" s="19"/>
      <c r="L360" s="19"/>
      <c r="M360" s="19"/>
      <c r="N360" s="19"/>
      <c r="O360" s="17" t="n">
        <v>2</v>
      </c>
      <c r="P360" s="18" t="s">
        <v>2029</v>
      </c>
      <c r="Q360" s="18" t="s">
        <v>1882</v>
      </c>
      <c r="R360" s="18" t="s">
        <v>2039</v>
      </c>
      <c r="S360" s="17" t="s">
        <v>2040</v>
      </c>
      <c r="T360" s="18" t="s">
        <v>2041</v>
      </c>
      <c r="U360" s="19"/>
      <c r="V360" s="18" t="s">
        <v>2042</v>
      </c>
      <c r="W360" s="17" t="s">
        <v>240</v>
      </c>
      <c r="X360" s="17" t="s">
        <v>2043</v>
      </c>
      <c r="Y360" s="17" t="s">
        <v>242</v>
      </c>
      <c r="Z360" s="19"/>
      <c r="AA360" s="19"/>
      <c r="AB360" s="17"/>
      <c r="AC360" s="19"/>
    </row>
    <row r="361" customFormat="false" ht="32.8" hidden="false" customHeight="false" outlineLevel="0" collapsed="false">
      <c r="A361" s="10" t="s">
        <v>2044</v>
      </c>
      <c r="B361" s="17" t="s">
        <v>109</v>
      </c>
      <c r="C361" s="18" t="s">
        <v>110</v>
      </c>
      <c r="D361" s="17" t="s">
        <v>19</v>
      </c>
      <c r="E361" s="17" t="s">
        <v>75</v>
      </c>
      <c r="F361" s="17" t="s">
        <v>1672</v>
      </c>
      <c r="G361" s="17" t="s">
        <v>1918</v>
      </c>
      <c r="H361" s="17" t="s">
        <v>29</v>
      </c>
      <c r="I361" s="17" t="s">
        <v>289</v>
      </c>
      <c r="J361" s="17" t="s">
        <v>233</v>
      </c>
      <c r="K361" s="19"/>
      <c r="L361" s="19"/>
      <c r="M361" s="19"/>
      <c r="N361" s="19"/>
      <c r="O361" s="17" t="n">
        <v>2</v>
      </c>
      <c r="P361" s="18" t="s">
        <v>2029</v>
      </c>
      <c r="Q361" s="18" t="s">
        <v>1736</v>
      </c>
      <c r="R361" s="18" t="s">
        <v>2045</v>
      </c>
      <c r="S361" s="17" t="s">
        <v>1981</v>
      </c>
      <c r="T361" s="18" t="s">
        <v>1899</v>
      </c>
      <c r="U361" s="19"/>
      <c r="V361" s="18" t="s">
        <v>2046</v>
      </c>
      <c r="W361" s="17" t="s">
        <v>240</v>
      </c>
      <c r="X361" s="17" t="s">
        <v>1740</v>
      </c>
      <c r="Y361" s="17" t="s">
        <v>242</v>
      </c>
      <c r="Z361" s="19"/>
      <c r="AA361" s="19"/>
      <c r="AB361" s="17"/>
      <c r="AC361" s="19"/>
    </row>
    <row r="362" customFormat="false" ht="32.8" hidden="false" customHeight="false" outlineLevel="0" collapsed="false">
      <c r="A362" s="10" t="s">
        <v>2047</v>
      </c>
      <c r="B362" s="17" t="s">
        <v>109</v>
      </c>
      <c r="C362" s="18" t="s">
        <v>110</v>
      </c>
      <c r="D362" s="17" t="s">
        <v>19</v>
      </c>
      <c r="E362" s="17" t="s">
        <v>229</v>
      </c>
      <c r="F362" s="17" t="s">
        <v>1672</v>
      </c>
      <c r="G362" s="17" t="s">
        <v>1918</v>
      </c>
      <c r="H362" s="17" t="s">
        <v>29</v>
      </c>
      <c r="I362" s="17" t="s">
        <v>289</v>
      </c>
      <c r="J362" s="17" t="s">
        <v>233</v>
      </c>
      <c r="K362" s="19"/>
      <c r="L362" s="19"/>
      <c r="M362" s="19"/>
      <c r="N362" s="19"/>
      <c r="O362" s="17" t="n">
        <v>2</v>
      </c>
      <c r="P362" s="18" t="s">
        <v>2029</v>
      </c>
      <c r="Q362" s="18" t="s">
        <v>1736</v>
      </c>
      <c r="R362" s="18" t="s">
        <v>2048</v>
      </c>
      <c r="S362" s="17" t="s">
        <v>1987</v>
      </c>
      <c r="T362" s="18" t="s">
        <v>1903</v>
      </c>
      <c r="U362" s="19"/>
      <c r="V362" s="18" t="s">
        <v>2049</v>
      </c>
      <c r="W362" s="17" t="s">
        <v>383</v>
      </c>
      <c r="X362" s="17" t="s">
        <v>1660</v>
      </c>
      <c r="Y362" s="17" t="s">
        <v>242</v>
      </c>
      <c r="Z362" s="19"/>
      <c r="AA362" s="19"/>
      <c r="AB362" s="17"/>
      <c r="AC362" s="19"/>
    </row>
    <row r="363" customFormat="false" ht="22.35" hidden="false" customHeight="false" outlineLevel="0" collapsed="false">
      <c r="A363" s="10" t="s">
        <v>2050</v>
      </c>
      <c r="B363" s="17" t="s">
        <v>109</v>
      </c>
      <c r="C363" s="18" t="s">
        <v>110</v>
      </c>
      <c r="D363" s="17" t="s">
        <v>19</v>
      </c>
      <c r="E363" s="17" t="s">
        <v>75</v>
      </c>
      <c r="F363" s="17" t="s">
        <v>1672</v>
      </c>
      <c r="G363" s="17" t="s">
        <v>1918</v>
      </c>
      <c r="H363" s="17" t="s">
        <v>29</v>
      </c>
      <c r="I363" s="17" t="s">
        <v>289</v>
      </c>
      <c r="J363" s="17" t="s">
        <v>233</v>
      </c>
      <c r="K363" s="19"/>
      <c r="L363" s="19"/>
      <c r="M363" s="19"/>
      <c r="N363" s="19"/>
      <c r="O363" s="17" t="n">
        <v>2</v>
      </c>
      <c r="P363" s="18" t="s">
        <v>2029</v>
      </c>
      <c r="Q363" s="18" t="s">
        <v>1736</v>
      </c>
      <c r="R363" s="18" t="s">
        <v>2051</v>
      </c>
      <c r="S363" s="17" t="s">
        <v>2047</v>
      </c>
      <c r="T363" s="18" t="s">
        <v>1257</v>
      </c>
      <c r="U363" s="19"/>
      <c r="V363" s="18" t="s">
        <v>2052</v>
      </c>
      <c r="W363" s="17" t="s">
        <v>240</v>
      </c>
      <c r="X363" s="17" t="s">
        <v>1259</v>
      </c>
      <c r="Y363" s="17" t="s">
        <v>242</v>
      </c>
      <c r="Z363" s="19"/>
      <c r="AA363" s="19"/>
      <c r="AB363" s="17"/>
      <c r="AC363" s="19"/>
    </row>
    <row r="364" customFormat="false" ht="22.35" hidden="false" customHeight="false" outlineLevel="0" collapsed="false">
      <c r="A364" s="10" t="s">
        <v>2053</v>
      </c>
      <c r="B364" s="17" t="s">
        <v>109</v>
      </c>
      <c r="C364" s="18" t="s">
        <v>110</v>
      </c>
      <c r="D364" s="17" t="s">
        <v>19</v>
      </c>
      <c r="E364" s="17" t="s">
        <v>75</v>
      </c>
      <c r="F364" s="17" t="s">
        <v>1672</v>
      </c>
      <c r="G364" s="17" t="s">
        <v>1918</v>
      </c>
      <c r="H364" s="17" t="s">
        <v>29</v>
      </c>
      <c r="I364" s="17" t="s">
        <v>369</v>
      </c>
      <c r="J364" s="17" t="s">
        <v>233</v>
      </c>
      <c r="K364" s="19"/>
      <c r="L364" s="19"/>
      <c r="M364" s="19"/>
      <c r="N364" s="19"/>
      <c r="O364" s="17" t="n">
        <v>2</v>
      </c>
      <c r="P364" s="18" t="s">
        <v>2029</v>
      </c>
      <c r="Q364" s="18" t="s">
        <v>1736</v>
      </c>
      <c r="R364" s="18" t="s">
        <v>2054</v>
      </c>
      <c r="S364" s="17" t="s">
        <v>2009</v>
      </c>
      <c r="T364" s="18" t="s">
        <v>2055</v>
      </c>
      <c r="U364" s="19"/>
      <c r="V364" s="18" t="s">
        <v>2056</v>
      </c>
      <c r="W364" s="17" t="s">
        <v>240</v>
      </c>
      <c r="X364" s="17" t="s">
        <v>2057</v>
      </c>
      <c r="Y364" s="17" t="s">
        <v>242</v>
      </c>
      <c r="Z364" s="19"/>
      <c r="AA364" s="19"/>
      <c r="AB364" s="17"/>
      <c r="AC364" s="19"/>
    </row>
    <row r="365" customFormat="false" ht="22.35" hidden="false" customHeight="false" outlineLevel="0" collapsed="false">
      <c r="A365" s="10" t="s">
        <v>2058</v>
      </c>
      <c r="B365" s="17" t="s">
        <v>109</v>
      </c>
      <c r="C365" s="18" t="s">
        <v>110</v>
      </c>
      <c r="D365" s="17" t="s">
        <v>19</v>
      </c>
      <c r="E365" s="17" t="s">
        <v>75</v>
      </c>
      <c r="F365" s="17" t="s">
        <v>1672</v>
      </c>
      <c r="G365" s="17" t="s">
        <v>1918</v>
      </c>
      <c r="H365" s="17" t="s">
        <v>29</v>
      </c>
      <c r="I365" s="17" t="s">
        <v>283</v>
      </c>
      <c r="J365" s="17" t="s">
        <v>233</v>
      </c>
      <c r="K365" s="19"/>
      <c r="L365" s="19"/>
      <c r="M365" s="19"/>
      <c r="N365" s="19"/>
      <c r="O365" s="17" t="n">
        <v>2</v>
      </c>
      <c r="P365" s="18" t="s">
        <v>2029</v>
      </c>
      <c r="Q365" s="18" t="s">
        <v>1736</v>
      </c>
      <c r="R365" s="18" t="s">
        <v>2059</v>
      </c>
      <c r="S365" s="17" t="s">
        <v>237</v>
      </c>
      <c r="T365" s="18" t="s">
        <v>1082</v>
      </c>
      <c r="U365" s="19"/>
      <c r="V365" s="18" t="s">
        <v>1083</v>
      </c>
      <c r="W365" s="17" t="s">
        <v>240</v>
      </c>
      <c r="X365" s="17" t="s">
        <v>1084</v>
      </c>
      <c r="Y365" s="17" t="s">
        <v>242</v>
      </c>
      <c r="Z365" s="19"/>
      <c r="AA365" s="19"/>
      <c r="AB365" s="17"/>
      <c r="AC365" s="19"/>
    </row>
    <row r="366" customFormat="false" ht="32.8" hidden="false" customHeight="false" outlineLevel="0" collapsed="false">
      <c r="A366" s="10" t="s">
        <v>2060</v>
      </c>
      <c r="B366" s="17" t="s">
        <v>106</v>
      </c>
      <c r="C366" s="18" t="s">
        <v>107</v>
      </c>
      <c r="D366" s="17" t="s">
        <v>19</v>
      </c>
      <c r="E366" s="17" t="s">
        <v>229</v>
      </c>
      <c r="F366" s="17" t="s">
        <v>2061</v>
      </c>
      <c r="G366" s="17" t="s">
        <v>2062</v>
      </c>
      <c r="H366" s="17" t="s">
        <v>29</v>
      </c>
      <c r="I366" s="17" t="s">
        <v>232</v>
      </c>
      <c r="J366" s="17" t="s">
        <v>233</v>
      </c>
      <c r="K366" s="19"/>
      <c r="L366" s="19"/>
      <c r="M366" s="19"/>
      <c r="N366" s="19"/>
      <c r="O366" s="17" t="n">
        <v>0</v>
      </c>
      <c r="P366" s="18" t="s">
        <v>2063</v>
      </c>
      <c r="Q366" s="18" t="s">
        <v>2064</v>
      </c>
      <c r="R366" s="18" t="s">
        <v>2065</v>
      </c>
      <c r="S366" s="17" t="s">
        <v>443</v>
      </c>
      <c r="T366" s="18" t="s">
        <v>2066</v>
      </c>
      <c r="U366" s="19"/>
      <c r="V366" s="18" t="s">
        <v>2067</v>
      </c>
      <c r="W366" s="17" t="s">
        <v>240</v>
      </c>
      <c r="X366" s="17" t="s">
        <v>2068</v>
      </c>
      <c r="Y366" s="17" t="s">
        <v>242</v>
      </c>
      <c r="Z366" s="19"/>
      <c r="AA366" s="19"/>
      <c r="AB366" s="17"/>
      <c r="AC366" s="19"/>
    </row>
    <row r="367" customFormat="false" ht="22.35" hidden="false" customHeight="false" outlineLevel="0" collapsed="false">
      <c r="A367" s="10" t="s">
        <v>2069</v>
      </c>
      <c r="B367" s="17" t="s">
        <v>106</v>
      </c>
      <c r="C367" s="18" t="s">
        <v>107</v>
      </c>
      <c r="D367" s="17" t="s">
        <v>19</v>
      </c>
      <c r="E367" s="17" t="s">
        <v>229</v>
      </c>
      <c r="F367" s="17" t="s">
        <v>2061</v>
      </c>
      <c r="G367" s="17" t="s">
        <v>2062</v>
      </c>
      <c r="H367" s="17" t="s">
        <v>29</v>
      </c>
      <c r="I367" s="17" t="s">
        <v>232</v>
      </c>
      <c r="J367" s="17" t="s">
        <v>233</v>
      </c>
      <c r="K367" s="19"/>
      <c r="L367" s="19"/>
      <c r="M367" s="19"/>
      <c r="N367" s="19"/>
      <c r="O367" s="17" t="n">
        <v>0</v>
      </c>
      <c r="P367" s="18" t="s">
        <v>2063</v>
      </c>
      <c r="Q367" s="18" t="s">
        <v>2064</v>
      </c>
      <c r="R367" s="18" t="s">
        <v>2070</v>
      </c>
      <c r="S367" s="17" t="s">
        <v>2060</v>
      </c>
      <c r="T367" s="18" t="s">
        <v>2071</v>
      </c>
      <c r="U367" s="19"/>
      <c r="V367" s="18" t="s">
        <v>2072</v>
      </c>
      <c r="W367" s="17" t="s">
        <v>240</v>
      </c>
      <c r="X367" s="17" t="s">
        <v>2073</v>
      </c>
      <c r="Y367" s="17" t="s">
        <v>242</v>
      </c>
      <c r="Z367" s="19"/>
      <c r="AA367" s="19"/>
      <c r="AB367" s="17"/>
      <c r="AC367" s="19"/>
    </row>
    <row r="368" customFormat="false" ht="22.35" hidden="false" customHeight="false" outlineLevel="0" collapsed="false">
      <c r="A368" s="10" t="s">
        <v>2074</v>
      </c>
      <c r="B368" s="17" t="s">
        <v>106</v>
      </c>
      <c r="C368" s="18" t="s">
        <v>107</v>
      </c>
      <c r="D368" s="17" t="s">
        <v>19</v>
      </c>
      <c r="E368" s="17" t="s">
        <v>229</v>
      </c>
      <c r="F368" s="17" t="s">
        <v>2061</v>
      </c>
      <c r="G368" s="17" t="s">
        <v>2062</v>
      </c>
      <c r="H368" s="17" t="s">
        <v>29</v>
      </c>
      <c r="I368" s="17" t="s">
        <v>232</v>
      </c>
      <c r="J368" s="17" t="s">
        <v>233</v>
      </c>
      <c r="K368" s="19"/>
      <c r="L368" s="19"/>
      <c r="M368" s="19"/>
      <c r="N368" s="19"/>
      <c r="O368" s="17" t="n">
        <v>0</v>
      </c>
      <c r="P368" s="18" t="s">
        <v>2063</v>
      </c>
      <c r="Q368" s="18" t="s">
        <v>2064</v>
      </c>
      <c r="R368" s="18" t="s">
        <v>2075</v>
      </c>
      <c r="S368" s="17" t="s">
        <v>1938</v>
      </c>
      <c r="T368" s="18" t="s">
        <v>2076</v>
      </c>
      <c r="U368" s="19"/>
      <c r="V368" s="18" t="s">
        <v>2077</v>
      </c>
      <c r="W368" s="17" t="s">
        <v>240</v>
      </c>
      <c r="X368" s="17" t="s">
        <v>2078</v>
      </c>
      <c r="Y368" s="17" t="s">
        <v>242</v>
      </c>
      <c r="Z368" s="19"/>
      <c r="AA368" s="19"/>
      <c r="AB368" s="17"/>
      <c r="AC368" s="19"/>
    </row>
    <row r="369" customFormat="false" ht="22.35" hidden="false" customHeight="false" outlineLevel="0" collapsed="false">
      <c r="A369" s="10" t="s">
        <v>2079</v>
      </c>
      <c r="B369" s="17" t="s">
        <v>106</v>
      </c>
      <c r="C369" s="18" t="s">
        <v>107</v>
      </c>
      <c r="D369" s="17" t="s">
        <v>19</v>
      </c>
      <c r="E369" s="17" t="s">
        <v>229</v>
      </c>
      <c r="F369" s="17" t="s">
        <v>2061</v>
      </c>
      <c r="G369" s="17" t="s">
        <v>2062</v>
      </c>
      <c r="H369" s="17" t="s">
        <v>29</v>
      </c>
      <c r="I369" s="17" t="s">
        <v>316</v>
      </c>
      <c r="J369" s="17" t="s">
        <v>233</v>
      </c>
      <c r="K369" s="19"/>
      <c r="L369" s="19"/>
      <c r="M369" s="19"/>
      <c r="N369" s="19"/>
      <c r="O369" s="17" t="n">
        <v>0</v>
      </c>
      <c r="P369" s="18" t="s">
        <v>2063</v>
      </c>
      <c r="Q369" s="18" t="s">
        <v>2064</v>
      </c>
      <c r="R369" s="18" t="s">
        <v>2080</v>
      </c>
      <c r="S369" s="17" t="s">
        <v>237</v>
      </c>
      <c r="T369" s="18" t="s">
        <v>2081</v>
      </c>
      <c r="U369" s="19"/>
      <c r="V369" s="18" t="s">
        <v>2082</v>
      </c>
      <c r="W369" s="17" t="s">
        <v>240</v>
      </c>
      <c r="X369" s="17" t="s">
        <v>2073</v>
      </c>
      <c r="Y369" s="17" t="s">
        <v>242</v>
      </c>
      <c r="Z369" s="19"/>
      <c r="AA369" s="19"/>
      <c r="AB369" s="17"/>
      <c r="AC369" s="19"/>
    </row>
    <row r="370" customFormat="false" ht="22.35" hidden="false" customHeight="false" outlineLevel="0" collapsed="false">
      <c r="A370" s="10" t="s">
        <v>2083</v>
      </c>
      <c r="B370" s="17" t="s">
        <v>106</v>
      </c>
      <c r="C370" s="18" t="s">
        <v>107</v>
      </c>
      <c r="D370" s="17" t="s">
        <v>19</v>
      </c>
      <c r="E370" s="17" t="s">
        <v>229</v>
      </c>
      <c r="F370" s="17" t="s">
        <v>2061</v>
      </c>
      <c r="G370" s="17" t="s">
        <v>2062</v>
      </c>
      <c r="H370" s="17" t="s">
        <v>29</v>
      </c>
      <c r="I370" s="17" t="s">
        <v>232</v>
      </c>
      <c r="J370" s="17" t="s">
        <v>233</v>
      </c>
      <c r="K370" s="19"/>
      <c r="L370" s="19"/>
      <c r="M370" s="19"/>
      <c r="N370" s="19"/>
      <c r="O370" s="17" t="n">
        <v>0</v>
      </c>
      <c r="P370" s="18" t="s">
        <v>2063</v>
      </c>
      <c r="Q370" s="18" t="s">
        <v>2064</v>
      </c>
      <c r="R370" s="18" t="s">
        <v>2084</v>
      </c>
      <c r="S370" s="17" t="s">
        <v>2085</v>
      </c>
      <c r="T370" s="18" t="s">
        <v>2076</v>
      </c>
      <c r="U370" s="19"/>
      <c r="V370" s="18" t="s">
        <v>2086</v>
      </c>
      <c r="W370" s="17" t="s">
        <v>240</v>
      </c>
      <c r="X370" s="17" t="s">
        <v>2087</v>
      </c>
      <c r="Y370" s="17" t="s">
        <v>242</v>
      </c>
      <c r="Z370" s="19"/>
      <c r="AA370" s="19"/>
      <c r="AB370" s="17"/>
      <c r="AC370" s="19"/>
    </row>
    <row r="371" customFormat="false" ht="22.35" hidden="false" customHeight="false" outlineLevel="0" collapsed="false">
      <c r="A371" s="10" t="s">
        <v>2088</v>
      </c>
      <c r="B371" s="17" t="s">
        <v>106</v>
      </c>
      <c r="C371" s="18" t="s">
        <v>107</v>
      </c>
      <c r="D371" s="17" t="s">
        <v>19</v>
      </c>
      <c r="E371" s="17" t="s">
        <v>229</v>
      </c>
      <c r="F371" s="17" t="s">
        <v>2061</v>
      </c>
      <c r="G371" s="17" t="s">
        <v>2062</v>
      </c>
      <c r="H371" s="17" t="s">
        <v>29</v>
      </c>
      <c r="I371" s="17" t="s">
        <v>1028</v>
      </c>
      <c r="J371" s="17" t="s">
        <v>233</v>
      </c>
      <c r="K371" s="19"/>
      <c r="L371" s="19"/>
      <c r="M371" s="19"/>
      <c r="N371" s="19"/>
      <c r="O371" s="17" t="n">
        <v>0</v>
      </c>
      <c r="P371" s="18" t="s">
        <v>2063</v>
      </c>
      <c r="Q371" s="18" t="s">
        <v>2064</v>
      </c>
      <c r="R371" s="18" t="s">
        <v>2089</v>
      </c>
      <c r="S371" s="17" t="s">
        <v>237</v>
      </c>
      <c r="T371" s="18" t="s">
        <v>2090</v>
      </c>
      <c r="U371" s="19"/>
      <c r="V371" s="18" t="s">
        <v>2091</v>
      </c>
      <c r="W371" s="17" t="s">
        <v>240</v>
      </c>
      <c r="X371" s="17" t="s">
        <v>2092</v>
      </c>
      <c r="Y371" s="17" t="s">
        <v>242</v>
      </c>
      <c r="Z371" s="19"/>
      <c r="AA371" s="19"/>
      <c r="AB371" s="17"/>
      <c r="AC371" s="19"/>
    </row>
    <row r="372" customFormat="false" ht="32.8" hidden="false" customHeight="false" outlineLevel="0" collapsed="false">
      <c r="A372" s="10" t="s">
        <v>2093</v>
      </c>
      <c r="B372" s="17" t="s">
        <v>106</v>
      </c>
      <c r="C372" s="18" t="s">
        <v>107</v>
      </c>
      <c r="D372" s="17" t="s">
        <v>19</v>
      </c>
      <c r="E372" s="17" t="s">
        <v>229</v>
      </c>
      <c r="F372" s="17" t="s">
        <v>2061</v>
      </c>
      <c r="G372" s="17" t="s">
        <v>2062</v>
      </c>
      <c r="H372" s="17" t="s">
        <v>29</v>
      </c>
      <c r="I372" s="17" t="s">
        <v>1028</v>
      </c>
      <c r="J372" s="17" t="s">
        <v>233</v>
      </c>
      <c r="K372" s="19"/>
      <c r="L372" s="19"/>
      <c r="M372" s="19"/>
      <c r="N372" s="19"/>
      <c r="O372" s="17" t="n">
        <v>0</v>
      </c>
      <c r="P372" s="18" t="s">
        <v>2063</v>
      </c>
      <c r="Q372" s="18" t="s">
        <v>2064</v>
      </c>
      <c r="R372" s="18" t="s">
        <v>2094</v>
      </c>
      <c r="S372" s="17" t="s">
        <v>237</v>
      </c>
      <c r="T372" s="18" t="s">
        <v>2095</v>
      </c>
      <c r="U372" s="19"/>
      <c r="V372" s="18" t="s">
        <v>2096</v>
      </c>
      <c r="W372" s="17" t="s">
        <v>240</v>
      </c>
      <c r="X372" s="17" t="s">
        <v>2097</v>
      </c>
      <c r="Y372" s="17" t="s">
        <v>242</v>
      </c>
      <c r="Z372" s="19"/>
      <c r="AA372" s="19"/>
      <c r="AB372" s="17"/>
      <c r="AC372" s="19"/>
    </row>
    <row r="373" customFormat="false" ht="22.35" hidden="false" customHeight="false" outlineLevel="0" collapsed="false">
      <c r="A373" s="10" t="s">
        <v>2098</v>
      </c>
      <c r="B373" s="17" t="s">
        <v>106</v>
      </c>
      <c r="C373" s="18" t="s">
        <v>107</v>
      </c>
      <c r="D373" s="17" t="s">
        <v>19</v>
      </c>
      <c r="E373" s="17" t="s">
        <v>229</v>
      </c>
      <c r="F373" s="17" t="s">
        <v>2061</v>
      </c>
      <c r="G373" s="17" t="s">
        <v>2062</v>
      </c>
      <c r="H373" s="17" t="s">
        <v>29</v>
      </c>
      <c r="I373" s="17" t="s">
        <v>277</v>
      </c>
      <c r="J373" s="17" t="s">
        <v>233</v>
      </c>
      <c r="K373" s="19"/>
      <c r="L373" s="19"/>
      <c r="M373" s="19"/>
      <c r="N373" s="19"/>
      <c r="O373" s="17" t="n">
        <v>0</v>
      </c>
      <c r="P373" s="18" t="s">
        <v>2063</v>
      </c>
      <c r="Q373" s="18" t="s">
        <v>2064</v>
      </c>
      <c r="R373" s="18" t="s">
        <v>2099</v>
      </c>
      <c r="S373" s="17" t="s">
        <v>2060</v>
      </c>
      <c r="T373" s="18" t="s">
        <v>2100</v>
      </c>
      <c r="U373" s="19"/>
      <c r="V373" s="18" t="s">
        <v>2101</v>
      </c>
      <c r="W373" s="17" t="s">
        <v>240</v>
      </c>
      <c r="X373" s="17" t="s">
        <v>2102</v>
      </c>
      <c r="Y373" s="17" t="s">
        <v>242</v>
      </c>
      <c r="Z373" s="19"/>
      <c r="AA373" s="19"/>
      <c r="AB373" s="17"/>
      <c r="AC373" s="19"/>
    </row>
    <row r="374" customFormat="false" ht="15" hidden="false" customHeight="false" outlineLevel="0" collapsed="false">
      <c r="A374" s="10" t="s">
        <v>2103</v>
      </c>
      <c r="B374" s="17" t="s">
        <v>106</v>
      </c>
      <c r="C374" s="18" t="s">
        <v>107</v>
      </c>
      <c r="D374" s="17" t="s">
        <v>19</v>
      </c>
      <c r="E374" s="17" t="s">
        <v>229</v>
      </c>
      <c r="F374" s="17" t="s">
        <v>2061</v>
      </c>
      <c r="G374" s="17" t="s">
        <v>2062</v>
      </c>
      <c r="H374" s="17" t="s">
        <v>29</v>
      </c>
      <c r="I374" s="17" t="s">
        <v>283</v>
      </c>
      <c r="J374" s="17" t="s">
        <v>233</v>
      </c>
      <c r="K374" s="19"/>
      <c r="L374" s="19"/>
      <c r="M374" s="19"/>
      <c r="N374" s="19"/>
      <c r="O374" s="17" t="n">
        <v>0</v>
      </c>
      <c r="P374" s="18" t="s">
        <v>2063</v>
      </c>
      <c r="Q374" s="18" t="s">
        <v>2064</v>
      </c>
      <c r="R374" s="18" t="s">
        <v>2104</v>
      </c>
      <c r="S374" s="17" t="s">
        <v>2098</v>
      </c>
      <c r="T374" s="18" t="s">
        <v>2105</v>
      </c>
      <c r="U374" s="19"/>
      <c r="V374" s="18" t="s">
        <v>2106</v>
      </c>
      <c r="W374" s="17" t="s">
        <v>240</v>
      </c>
      <c r="X374" s="17" t="s">
        <v>2107</v>
      </c>
      <c r="Y374" s="17" t="s">
        <v>242</v>
      </c>
      <c r="Z374" s="19"/>
      <c r="AA374" s="19"/>
      <c r="AB374" s="17"/>
      <c r="AC374" s="19"/>
    </row>
    <row r="375" customFormat="false" ht="22.35" hidden="false" customHeight="false" outlineLevel="0" collapsed="false">
      <c r="A375" s="10" t="s">
        <v>2108</v>
      </c>
      <c r="B375" s="17" t="s">
        <v>106</v>
      </c>
      <c r="C375" s="18" t="s">
        <v>107</v>
      </c>
      <c r="D375" s="17" t="s">
        <v>19</v>
      </c>
      <c r="E375" s="17" t="s">
        <v>75</v>
      </c>
      <c r="F375" s="17" t="s">
        <v>2061</v>
      </c>
      <c r="G375" s="17" t="s">
        <v>2062</v>
      </c>
      <c r="H375" s="17" t="s">
        <v>29</v>
      </c>
      <c r="I375" s="17" t="s">
        <v>316</v>
      </c>
      <c r="J375" s="17" t="s">
        <v>233</v>
      </c>
      <c r="K375" s="19"/>
      <c r="L375" s="19"/>
      <c r="M375" s="19"/>
      <c r="N375" s="19"/>
      <c r="O375" s="17" t="n">
        <v>3</v>
      </c>
      <c r="P375" s="18" t="s">
        <v>2109</v>
      </c>
      <c r="Q375" s="18" t="s">
        <v>2110</v>
      </c>
      <c r="R375" s="18" t="s">
        <v>2111</v>
      </c>
      <c r="S375" s="17" t="s">
        <v>2112</v>
      </c>
      <c r="T375" s="18" t="s">
        <v>2113</v>
      </c>
      <c r="U375" s="19"/>
      <c r="V375" s="18" t="s">
        <v>2114</v>
      </c>
      <c r="W375" s="17" t="s">
        <v>240</v>
      </c>
      <c r="X375" s="17" t="s">
        <v>2115</v>
      </c>
      <c r="Y375" s="17" t="s">
        <v>242</v>
      </c>
      <c r="Z375" s="19"/>
      <c r="AA375" s="19"/>
      <c r="AB375" s="17"/>
      <c r="AC375" s="19"/>
    </row>
    <row r="376" customFormat="false" ht="22.35" hidden="false" customHeight="false" outlineLevel="0" collapsed="false">
      <c r="A376" s="10" t="s">
        <v>2116</v>
      </c>
      <c r="B376" s="17" t="s">
        <v>106</v>
      </c>
      <c r="C376" s="18" t="s">
        <v>107</v>
      </c>
      <c r="D376" s="17" t="s">
        <v>19</v>
      </c>
      <c r="E376" s="17" t="s">
        <v>75</v>
      </c>
      <c r="F376" s="17" t="s">
        <v>2061</v>
      </c>
      <c r="G376" s="17" t="s">
        <v>2062</v>
      </c>
      <c r="H376" s="17" t="s">
        <v>29</v>
      </c>
      <c r="I376" s="17" t="s">
        <v>316</v>
      </c>
      <c r="J376" s="17" t="s">
        <v>233</v>
      </c>
      <c r="K376" s="19"/>
      <c r="L376" s="19"/>
      <c r="M376" s="19"/>
      <c r="N376" s="19"/>
      <c r="O376" s="17" t="n">
        <v>3</v>
      </c>
      <c r="P376" s="18" t="s">
        <v>2109</v>
      </c>
      <c r="Q376" s="18" t="s">
        <v>2110</v>
      </c>
      <c r="R376" s="18" t="s">
        <v>2117</v>
      </c>
      <c r="S376" s="17" t="s">
        <v>2079</v>
      </c>
      <c r="T376" s="18" t="s">
        <v>2118</v>
      </c>
      <c r="U376" s="19"/>
      <c r="V376" s="18" t="s">
        <v>2119</v>
      </c>
      <c r="W376" s="17" t="s">
        <v>240</v>
      </c>
      <c r="X376" s="17" t="s">
        <v>2120</v>
      </c>
      <c r="Y376" s="17" t="s">
        <v>242</v>
      </c>
      <c r="Z376" s="19"/>
      <c r="AA376" s="19"/>
      <c r="AB376" s="17"/>
      <c r="AC376" s="19"/>
    </row>
    <row r="377" customFormat="false" ht="22.35" hidden="false" customHeight="false" outlineLevel="0" collapsed="false">
      <c r="A377" s="10" t="s">
        <v>2121</v>
      </c>
      <c r="B377" s="17" t="s">
        <v>106</v>
      </c>
      <c r="C377" s="18" t="s">
        <v>107</v>
      </c>
      <c r="D377" s="17" t="s">
        <v>19</v>
      </c>
      <c r="E377" s="17" t="s">
        <v>75</v>
      </c>
      <c r="F377" s="17" t="s">
        <v>2061</v>
      </c>
      <c r="G377" s="17" t="s">
        <v>2062</v>
      </c>
      <c r="H377" s="17" t="s">
        <v>29</v>
      </c>
      <c r="I377" s="17" t="s">
        <v>316</v>
      </c>
      <c r="J377" s="17" t="s">
        <v>233</v>
      </c>
      <c r="K377" s="19"/>
      <c r="L377" s="19"/>
      <c r="M377" s="19"/>
      <c r="N377" s="19"/>
      <c r="O377" s="17" t="n">
        <v>3</v>
      </c>
      <c r="P377" s="18" t="s">
        <v>2109</v>
      </c>
      <c r="Q377" s="18" t="s">
        <v>2110</v>
      </c>
      <c r="R377" s="18" t="s">
        <v>2122</v>
      </c>
      <c r="S377" s="17" t="s">
        <v>2069</v>
      </c>
      <c r="T377" s="18" t="s">
        <v>660</v>
      </c>
      <c r="U377" s="19"/>
      <c r="V377" s="18" t="s">
        <v>2123</v>
      </c>
      <c r="W377" s="17" t="s">
        <v>240</v>
      </c>
      <c r="X377" s="17" t="s">
        <v>2120</v>
      </c>
      <c r="Y377" s="17" t="s">
        <v>242</v>
      </c>
      <c r="Z377" s="19"/>
      <c r="AA377" s="19"/>
      <c r="AB377" s="17"/>
      <c r="AC377" s="19"/>
    </row>
    <row r="378" customFormat="false" ht="22.35" hidden="false" customHeight="false" outlineLevel="0" collapsed="false">
      <c r="A378" s="10" t="s">
        <v>2124</v>
      </c>
      <c r="B378" s="17" t="s">
        <v>106</v>
      </c>
      <c r="C378" s="18" t="s">
        <v>107</v>
      </c>
      <c r="D378" s="17" t="s">
        <v>19</v>
      </c>
      <c r="E378" s="17" t="s">
        <v>229</v>
      </c>
      <c r="F378" s="17" t="s">
        <v>2061</v>
      </c>
      <c r="G378" s="17" t="s">
        <v>2062</v>
      </c>
      <c r="H378" s="17" t="s">
        <v>29</v>
      </c>
      <c r="I378" s="17" t="s">
        <v>316</v>
      </c>
      <c r="J378" s="17" t="s">
        <v>233</v>
      </c>
      <c r="K378" s="19"/>
      <c r="L378" s="19"/>
      <c r="M378" s="19"/>
      <c r="N378" s="19"/>
      <c r="O378" s="17" t="n">
        <v>3</v>
      </c>
      <c r="P378" s="18" t="s">
        <v>2109</v>
      </c>
      <c r="Q378" s="18" t="s">
        <v>2110</v>
      </c>
      <c r="R378" s="18" t="s">
        <v>2125</v>
      </c>
      <c r="S378" s="17" t="s">
        <v>2060</v>
      </c>
      <c r="T378" s="18" t="s">
        <v>2126</v>
      </c>
      <c r="U378" s="19"/>
      <c r="V378" s="18" t="s">
        <v>2127</v>
      </c>
      <c r="W378" s="17" t="s">
        <v>240</v>
      </c>
      <c r="X378" s="17" t="s">
        <v>2128</v>
      </c>
      <c r="Y378" s="17" t="s">
        <v>242</v>
      </c>
      <c r="Z378" s="19"/>
      <c r="AA378" s="19"/>
      <c r="AB378" s="17"/>
      <c r="AC378" s="19"/>
    </row>
    <row r="379" customFormat="false" ht="22.35" hidden="false" customHeight="false" outlineLevel="0" collapsed="false">
      <c r="A379" s="10" t="s">
        <v>2129</v>
      </c>
      <c r="B379" s="17" t="s">
        <v>106</v>
      </c>
      <c r="C379" s="18" t="s">
        <v>107</v>
      </c>
      <c r="D379" s="17" t="s">
        <v>19</v>
      </c>
      <c r="E379" s="17" t="s">
        <v>75</v>
      </c>
      <c r="F379" s="17" t="s">
        <v>2061</v>
      </c>
      <c r="G379" s="17" t="s">
        <v>2062</v>
      </c>
      <c r="H379" s="17" t="s">
        <v>29</v>
      </c>
      <c r="I379" s="17" t="s">
        <v>316</v>
      </c>
      <c r="J379" s="17" t="s">
        <v>233</v>
      </c>
      <c r="K379" s="19"/>
      <c r="L379" s="19"/>
      <c r="M379" s="19"/>
      <c r="N379" s="19"/>
      <c r="O379" s="17" t="n">
        <v>3</v>
      </c>
      <c r="P379" s="18" t="s">
        <v>2109</v>
      </c>
      <c r="Q379" s="18" t="s">
        <v>2130</v>
      </c>
      <c r="R379" s="18" t="s">
        <v>2131</v>
      </c>
      <c r="S379" s="17" t="s">
        <v>2108</v>
      </c>
      <c r="T379" s="18" t="s">
        <v>1643</v>
      </c>
      <c r="U379" s="19"/>
      <c r="V379" s="18" t="s">
        <v>2132</v>
      </c>
      <c r="W379" s="17" t="s">
        <v>240</v>
      </c>
      <c r="X379" s="17" t="s">
        <v>2133</v>
      </c>
      <c r="Y379" s="17" t="s">
        <v>242</v>
      </c>
      <c r="Z379" s="19"/>
      <c r="AA379" s="19"/>
      <c r="AB379" s="17"/>
      <c r="AC379" s="19"/>
    </row>
    <row r="380" customFormat="false" ht="22.35" hidden="false" customHeight="false" outlineLevel="0" collapsed="false">
      <c r="A380" s="10" t="s">
        <v>2134</v>
      </c>
      <c r="B380" s="17" t="s">
        <v>106</v>
      </c>
      <c r="C380" s="18" t="s">
        <v>107</v>
      </c>
      <c r="D380" s="17" t="s">
        <v>19</v>
      </c>
      <c r="E380" s="17" t="s">
        <v>75</v>
      </c>
      <c r="F380" s="17" t="s">
        <v>2061</v>
      </c>
      <c r="G380" s="17" t="s">
        <v>2062</v>
      </c>
      <c r="H380" s="17" t="s">
        <v>29</v>
      </c>
      <c r="I380" s="17" t="s">
        <v>316</v>
      </c>
      <c r="J380" s="17" t="s">
        <v>233</v>
      </c>
      <c r="K380" s="19"/>
      <c r="L380" s="19"/>
      <c r="M380" s="19"/>
      <c r="N380" s="19"/>
      <c r="O380" s="17" t="n">
        <v>3</v>
      </c>
      <c r="P380" s="18" t="s">
        <v>2109</v>
      </c>
      <c r="Q380" s="18" t="s">
        <v>2130</v>
      </c>
      <c r="R380" s="18" t="s">
        <v>2135</v>
      </c>
      <c r="S380" s="17" t="s">
        <v>2108</v>
      </c>
      <c r="T380" s="18" t="s">
        <v>2136</v>
      </c>
      <c r="U380" s="19"/>
      <c r="V380" s="18" t="s">
        <v>2137</v>
      </c>
      <c r="W380" s="17" t="s">
        <v>240</v>
      </c>
      <c r="X380" s="17" t="s">
        <v>2138</v>
      </c>
      <c r="Y380" s="17" t="s">
        <v>242</v>
      </c>
      <c r="Z380" s="19"/>
      <c r="AA380" s="19"/>
      <c r="AB380" s="17"/>
      <c r="AC380" s="19"/>
    </row>
    <row r="381" customFormat="false" ht="22.35" hidden="false" customHeight="false" outlineLevel="0" collapsed="false">
      <c r="A381" s="10" t="s">
        <v>2139</v>
      </c>
      <c r="B381" s="17" t="s">
        <v>106</v>
      </c>
      <c r="C381" s="18" t="s">
        <v>107</v>
      </c>
      <c r="D381" s="17" t="s">
        <v>19</v>
      </c>
      <c r="E381" s="17" t="s">
        <v>75</v>
      </c>
      <c r="F381" s="17" t="s">
        <v>2061</v>
      </c>
      <c r="G381" s="17" t="s">
        <v>2062</v>
      </c>
      <c r="H381" s="17" t="s">
        <v>29</v>
      </c>
      <c r="I381" s="17" t="s">
        <v>316</v>
      </c>
      <c r="J381" s="17" t="s">
        <v>233</v>
      </c>
      <c r="K381" s="19"/>
      <c r="L381" s="19"/>
      <c r="M381" s="19"/>
      <c r="N381" s="19"/>
      <c r="O381" s="17" t="n">
        <v>3</v>
      </c>
      <c r="P381" s="18" t="s">
        <v>2109</v>
      </c>
      <c r="Q381" s="18" t="s">
        <v>2130</v>
      </c>
      <c r="R381" s="18" t="s">
        <v>2140</v>
      </c>
      <c r="S381" s="17" t="s">
        <v>2108</v>
      </c>
      <c r="T381" s="18" t="s">
        <v>2141</v>
      </c>
      <c r="U381" s="19"/>
      <c r="V381" s="18" t="s">
        <v>2142</v>
      </c>
      <c r="W381" s="17" t="s">
        <v>240</v>
      </c>
      <c r="X381" s="17" t="s">
        <v>2143</v>
      </c>
      <c r="Y381" s="17" t="s">
        <v>242</v>
      </c>
      <c r="Z381" s="19"/>
      <c r="AA381" s="19"/>
      <c r="AB381" s="17"/>
      <c r="AC381" s="19"/>
    </row>
    <row r="382" customFormat="false" ht="22.35" hidden="false" customHeight="false" outlineLevel="0" collapsed="false">
      <c r="A382" s="10" t="s">
        <v>2144</v>
      </c>
      <c r="B382" s="17" t="s">
        <v>106</v>
      </c>
      <c r="C382" s="18" t="s">
        <v>107</v>
      </c>
      <c r="D382" s="17" t="s">
        <v>19</v>
      </c>
      <c r="E382" s="17" t="s">
        <v>75</v>
      </c>
      <c r="F382" s="17" t="s">
        <v>2061</v>
      </c>
      <c r="G382" s="17" t="s">
        <v>2062</v>
      </c>
      <c r="H382" s="17" t="s">
        <v>29</v>
      </c>
      <c r="I382" s="17" t="s">
        <v>893</v>
      </c>
      <c r="J382" s="17" t="s">
        <v>233</v>
      </c>
      <c r="K382" s="19"/>
      <c r="L382" s="19"/>
      <c r="M382" s="19"/>
      <c r="N382" s="19"/>
      <c r="O382" s="17" t="n">
        <v>3</v>
      </c>
      <c r="P382" s="18" t="s">
        <v>2109</v>
      </c>
      <c r="Q382" s="18" t="s">
        <v>2130</v>
      </c>
      <c r="R382" s="18" t="s">
        <v>2145</v>
      </c>
      <c r="S382" s="17" t="s">
        <v>2108</v>
      </c>
      <c r="T382" s="18" t="s">
        <v>2146</v>
      </c>
      <c r="U382" s="19"/>
      <c r="V382" s="18" t="s">
        <v>2147</v>
      </c>
      <c r="W382" s="17" t="s">
        <v>240</v>
      </c>
      <c r="X382" s="17" t="s">
        <v>2073</v>
      </c>
      <c r="Y382" s="17" t="s">
        <v>242</v>
      </c>
      <c r="Z382" s="19"/>
      <c r="AA382" s="19"/>
      <c r="AB382" s="17"/>
      <c r="AC382" s="19"/>
    </row>
    <row r="383" customFormat="false" ht="22.35" hidden="false" customHeight="false" outlineLevel="0" collapsed="false">
      <c r="A383" s="10" t="s">
        <v>2148</v>
      </c>
      <c r="B383" s="17" t="s">
        <v>106</v>
      </c>
      <c r="C383" s="18" t="s">
        <v>107</v>
      </c>
      <c r="D383" s="17" t="s">
        <v>19</v>
      </c>
      <c r="E383" s="17" t="s">
        <v>75</v>
      </c>
      <c r="F383" s="17" t="s">
        <v>2061</v>
      </c>
      <c r="G383" s="17" t="s">
        <v>2062</v>
      </c>
      <c r="H383" s="17" t="s">
        <v>29</v>
      </c>
      <c r="I383" s="17" t="s">
        <v>893</v>
      </c>
      <c r="J383" s="17" t="s">
        <v>233</v>
      </c>
      <c r="K383" s="19"/>
      <c r="L383" s="19"/>
      <c r="M383" s="19"/>
      <c r="N383" s="19"/>
      <c r="O383" s="17" t="n">
        <v>3</v>
      </c>
      <c r="P383" s="18" t="s">
        <v>2109</v>
      </c>
      <c r="Q383" s="18" t="s">
        <v>2130</v>
      </c>
      <c r="R383" s="18" t="s">
        <v>2149</v>
      </c>
      <c r="S383" s="17" t="s">
        <v>2116</v>
      </c>
      <c r="T383" s="18" t="s">
        <v>2150</v>
      </c>
      <c r="U383" s="19"/>
      <c r="V383" s="18" t="s">
        <v>2151</v>
      </c>
      <c r="W383" s="17" t="s">
        <v>240</v>
      </c>
      <c r="X383" s="17" t="s">
        <v>2073</v>
      </c>
      <c r="Y383" s="17" t="s">
        <v>242</v>
      </c>
      <c r="Z383" s="19"/>
      <c r="AA383" s="19"/>
      <c r="AB383" s="17"/>
      <c r="AC383" s="19"/>
    </row>
    <row r="384" customFormat="false" ht="22.35" hidden="false" customHeight="false" outlineLevel="0" collapsed="false">
      <c r="A384" s="10" t="s">
        <v>2152</v>
      </c>
      <c r="B384" s="17" t="s">
        <v>106</v>
      </c>
      <c r="C384" s="18" t="s">
        <v>107</v>
      </c>
      <c r="D384" s="17" t="s">
        <v>19</v>
      </c>
      <c r="E384" s="17" t="s">
        <v>75</v>
      </c>
      <c r="F384" s="17" t="s">
        <v>2061</v>
      </c>
      <c r="G384" s="17" t="s">
        <v>2062</v>
      </c>
      <c r="H384" s="17" t="s">
        <v>29</v>
      </c>
      <c r="I384" s="17" t="s">
        <v>316</v>
      </c>
      <c r="J384" s="17" t="s">
        <v>233</v>
      </c>
      <c r="K384" s="19"/>
      <c r="L384" s="19"/>
      <c r="M384" s="19"/>
      <c r="N384" s="19"/>
      <c r="O384" s="17" t="n">
        <v>2</v>
      </c>
      <c r="P384" s="18" t="s">
        <v>2109</v>
      </c>
      <c r="Q384" s="18" t="s">
        <v>2130</v>
      </c>
      <c r="R384" s="18" t="s">
        <v>2153</v>
      </c>
      <c r="S384" s="17" t="s">
        <v>2074</v>
      </c>
      <c r="T384" s="18" t="s">
        <v>2154</v>
      </c>
      <c r="U384" s="19"/>
      <c r="V384" s="18" t="s">
        <v>2155</v>
      </c>
      <c r="W384" s="17" t="s">
        <v>240</v>
      </c>
      <c r="X384" s="17" t="s">
        <v>2156</v>
      </c>
      <c r="Y384" s="17" t="s">
        <v>242</v>
      </c>
      <c r="Z384" s="19"/>
      <c r="AA384" s="19"/>
      <c r="AB384" s="17"/>
      <c r="AC384" s="19"/>
    </row>
    <row r="385" customFormat="false" ht="22.35" hidden="false" customHeight="false" outlineLevel="0" collapsed="false">
      <c r="A385" s="10" t="s">
        <v>2157</v>
      </c>
      <c r="B385" s="17" t="s">
        <v>106</v>
      </c>
      <c r="C385" s="18" t="s">
        <v>107</v>
      </c>
      <c r="D385" s="17" t="s">
        <v>19</v>
      </c>
      <c r="E385" s="17" t="s">
        <v>75</v>
      </c>
      <c r="F385" s="17" t="s">
        <v>2061</v>
      </c>
      <c r="G385" s="17" t="s">
        <v>2062</v>
      </c>
      <c r="H385" s="17" t="s">
        <v>29</v>
      </c>
      <c r="I385" s="17" t="s">
        <v>283</v>
      </c>
      <c r="J385" s="17" t="s">
        <v>233</v>
      </c>
      <c r="K385" s="19"/>
      <c r="L385" s="19"/>
      <c r="M385" s="19"/>
      <c r="N385" s="19"/>
      <c r="O385" s="17" t="n">
        <v>3</v>
      </c>
      <c r="P385" s="18" t="s">
        <v>2109</v>
      </c>
      <c r="Q385" s="18" t="s">
        <v>2130</v>
      </c>
      <c r="R385" s="18" t="s">
        <v>2158</v>
      </c>
      <c r="S385" s="17" t="s">
        <v>2152</v>
      </c>
      <c r="T385" s="18" t="s">
        <v>2105</v>
      </c>
      <c r="U385" s="19"/>
      <c r="V385" s="18" t="s">
        <v>2106</v>
      </c>
      <c r="W385" s="17" t="s">
        <v>240</v>
      </c>
      <c r="X385" s="17" t="s">
        <v>2107</v>
      </c>
      <c r="Y385" s="17" t="s">
        <v>242</v>
      </c>
      <c r="Z385" s="19"/>
      <c r="AA385" s="19"/>
      <c r="AB385" s="17"/>
      <c r="AC385" s="19"/>
    </row>
    <row r="386" customFormat="false" ht="22.35" hidden="false" customHeight="false" outlineLevel="0" collapsed="false">
      <c r="A386" s="10" t="s">
        <v>2159</v>
      </c>
      <c r="B386" s="17" t="s">
        <v>106</v>
      </c>
      <c r="C386" s="18" t="s">
        <v>107</v>
      </c>
      <c r="D386" s="17" t="s">
        <v>19</v>
      </c>
      <c r="E386" s="17" t="s">
        <v>229</v>
      </c>
      <c r="F386" s="17" t="s">
        <v>2061</v>
      </c>
      <c r="G386" s="17" t="s">
        <v>2062</v>
      </c>
      <c r="H386" s="17" t="s">
        <v>29</v>
      </c>
      <c r="I386" s="17" t="s">
        <v>450</v>
      </c>
      <c r="J386" s="17" t="s">
        <v>233</v>
      </c>
      <c r="K386" s="19"/>
      <c r="L386" s="19"/>
      <c r="M386" s="19"/>
      <c r="N386" s="19"/>
      <c r="O386" s="17" t="n">
        <v>2</v>
      </c>
      <c r="P386" s="18" t="s">
        <v>2160</v>
      </c>
      <c r="Q386" s="18" t="s">
        <v>2161</v>
      </c>
      <c r="R386" s="18" t="s">
        <v>2162</v>
      </c>
      <c r="S386" s="17" t="s">
        <v>2079</v>
      </c>
      <c r="T386" s="18" t="s">
        <v>2163</v>
      </c>
      <c r="U386" s="19"/>
      <c r="V386" s="18" t="s">
        <v>2164</v>
      </c>
      <c r="W386" s="17" t="s">
        <v>240</v>
      </c>
      <c r="X386" s="17" t="s">
        <v>2165</v>
      </c>
      <c r="Y386" s="17" t="s">
        <v>242</v>
      </c>
      <c r="Z386" s="19"/>
      <c r="AA386" s="19"/>
      <c r="AB386" s="17"/>
      <c r="AC386" s="19"/>
    </row>
    <row r="387" customFormat="false" ht="15" hidden="false" customHeight="false" outlineLevel="0" collapsed="false">
      <c r="A387" s="10" t="s">
        <v>2166</v>
      </c>
      <c r="B387" s="17" t="s">
        <v>106</v>
      </c>
      <c r="C387" s="18" t="s">
        <v>107</v>
      </c>
      <c r="D387" s="17" t="s">
        <v>19</v>
      </c>
      <c r="E387" s="17" t="s">
        <v>75</v>
      </c>
      <c r="F387" s="17" t="s">
        <v>2061</v>
      </c>
      <c r="G387" s="17" t="s">
        <v>2062</v>
      </c>
      <c r="H387" s="17" t="s">
        <v>29</v>
      </c>
      <c r="I387" s="17" t="s">
        <v>450</v>
      </c>
      <c r="J387" s="17" t="s">
        <v>233</v>
      </c>
      <c r="K387" s="19"/>
      <c r="L387" s="19"/>
      <c r="M387" s="19"/>
      <c r="N387" s="19"/>
      <c r="O387" s="17" t="n">
        <v>2</v>
      </c>
      <c r="P387" s="18" t="s">
        <v>2160</v>
      </c>
      <c r="Q387" s="18" t="s">
        <v>2161</v>
      </c>
      <c r="R387" s="18" t="s">
        <v>2167</v>
      </c>
      <c r="S387" s="17" t="s">
        <v>2159</v>
      </c>
      <c r="T387" s="18" t="s">
        <v>2168</v>
      </c>
      <c r="U387" s="19"/>
      <c r="V387" s="18" t="s">
        <v>2169</v>
      </c>
      <c r="W387" s="17" t="s">
        <v>240</v>
      </c>
      <c r="X387" s="17" t="s">
        <v>2170</v>
      </c>
      <c r="Y387" s="17" t="s">
        <v>242</v>
      </c>
      <c r="Z387" s="19"/>
      <c r="AA387" s="19"/>
      <c r="AB387" s="17"/>
      <c r="AC387" s="19"/>
    </row>
    <row r="388" customFormat="false" ht="22.35" hidden="false" customHeight="false" outlineLevel="0" collapsed="false">
      <c r="A388" s="10" t="s">
        <v>2171</v>
      </c>
      <c r="B388" s="17" t="s">
        <v>106</v>
      </c>
      <c r="C388" s="18" t="s">
        <v>107</v>
      </c>
      <c r="D388" s="17" t="s">
        <v>19</v>
      </c>
      <c r="E388" s="17" t="s">
        <v>75</v>
      </c>
      <c r="F388" s="17" t="s">
        <v>2061</v>
      </c>
      <c r="G388" s="17" t="s">
        <v>2062</v>
      </c>
      <c r="H388" s="17" t="s">
        <v>29</v>
      </c>
      <c r="I388" s="17" t="s">
        <v>277</v>
      </c>
      <c r="J388" s="17" t="s">
        <v>233</v>
      </c>
      <c r="K388" s="19"/>
      <c r="L388" s="19"/>
      <c r="M388" s="19"/>
      <c r="N388" s="19"/>
      <c r="O388" s="17" t="n">
        <v>2</v>
      </c>
      <c r="P388" s="18" t="s">
        <v>2160</v>
      </c>
      <c r="Q388" s="18" t="s">
        <v>2161</v>
      </c>
      <c r="R388" s="18" t="s">
        <v>2172</v>
      </c>
      <c r="S388" s="17" t="s">
        <v>2173</v>
      </c>
      <c r="T388" s="18" t="s">
        <v>2174</v>
      </c>
      <c r="U388" s="19"/>
      <c r="V388" s="18" t="s">
        <v>2175</v>
      </c>
      <c r="W388" s="17" t="s">
        <v>240</v>
      </c>
      <c r="X388" s="17" t="s">
        <v>2120</v>
      </c>
      <c r="Y388" s="17" t="s">
        <v>242</v>
      </c>
      <c r="Z388" s="19"/>
      <c r="AA388" s="19"/>
      <c r="AB388" s="17"/>
      <c r="AC388" s="19"/>
    </row>
    <row r="389" customFormat="false" ht="32.8" hidden="false" customHeight="false" outlineLevel="0" collapsed="false">
      <c r="A389" s="10" t="s">
        <v>2176</v>
      </c>
      <c r="B389" s="17" t="s">
        <v>106</v>
      </c>
      <c r="C389" s="18" t="s">
        <v>107</v>
      </c>
      <c r="D389" s="17" t="s">
        <v>19</v>
      </c>
      <c r="E389" s="17" t="s">
        <v>75</v>
      </c>
      <c r="F389" s="17" t="s">
        <v>2061</v>
      </c>
      <c r="G389" s="17" t="s">
        <v>2062</v>
      </c>
      <c r="H389" s="17" t="s">
        <v>29</v>
      </c>
      <c r="I389" s="17" t="s">
        <v>277</v>
      </c>
      <c r="J389" s="17" t="s">
        <v>233</v>
      </c>
      <c r="K389" s="19"/>
      <c r="L389" s="19"/>
      <c r="M389" s="19"/>
      <c r="N389" s="19"/>
      <c r="O389" s="17" t="n">
        <v>3</v>
      </c>
      <c r="P389" s="18" t="s">
        <v>2160</v>
      </c>
      <c r="Q389" s="18" t="s">
        <v>2161</v>
      </c>
      <c r="R389" s="18" t="s">
        <v>2177</v>
      </c>
      <c r="S389" s="17" t="s">
        <v>2178</v>
      </c>
      <c r="T389" s="18" t="s">
        <v>2179</v>
      </c>
      <c r="U389" s="19"/>
      <c r="V389" s="18" t="s">
        <v>2180</v>
      </c>
      <c r="W389" s="17" t="s">
        <v>240</v>
      </c>
      <c r="X389" s="17" t="s">
        <v>2120</v>
      </c>
      <c r="Y389" s="17" t="s">
        <v>242</v>
      </c>
      <c r="Z389" s="19"/>
      <c r="AA389" s="19"/>
      <c r="AB389" s="17"/>
      <c r="AC389" s="19"/>
    </row>
    <row r="390" customFormat="false" ht="15" hidden="false" customHeight="false" outlineLevel="0" collapsed="false">
      <c r="A390" s="10" t="s">
        <v>2181</v>
      </c>
      <c r="B390" s="17" t="s">
        <v>106</v>
      </c>
      <c r="C390" s="18" t="s">
        <v>107</v>
      </c>
      <c r="D390" s="17" t="s">
        <v>19</v>
      </c>
      <c r="E390" s="17" t="s">
        <v>75</v>
      </c>
      <c r="F390" s="17" t="s">
        <v>2061</v>
      </c>
      <c r="G390" s="17" t="s">
        <v>2062</v>
      </c>
      <c r="H390" s="17" t="s">
        <v>29</v>
      </c>
      <c r="I390" s="17" t="s">
        <v>283</v>
      </c>
      <c r="J390" s="17" t="s">
        <v>233</v>
      </c>
      <c r="K390" s="19"/>
      <c r="L390" s="19"/>
      <c r="M390" s="19"/>
      <c r="N390" s="19"/>
      <c r="O390" s="17" t="n">
        <v>2</v>
      </c>
      <c r="P390" s="18" t="s">
        <v>2160</v>
      </c>
      <c r="Q390" s="18" t="s">
        <v>2161</v>
      </c>
      <c r="R390" s="18" t="s">
        <v>2182</v>
      </c>
      <c r="S390" s="17" t="s">
        <v>2176</v>
      </c>
      <c r="T390" s="18" t="s">
        <v>2105</v>
      </c>
      <c r="U390" s="19"/>
      <c r="V390" s="18" t="s">
        <v>2106</v>
      </c>
      <c r="W390" s="17" t="s">
        <v>240</v>
      </c>
      <c r="X390" s="17" t="s">
        <v>2107</v>
      </c>
      <c r="Y390" s="17" t="s">
        <v>242</v>
      </c>
      <c r="Z390" s="19"/>
      <c r="AA390" s="19"/>
      <c r="AB390" s="17" t="s">
        <v>1681</v>
      </c>
      <c r="AC390" s="19"/>
    </row>
    <row r="391" customFormat="false" ht="22.35" hidden="false" customHeight="false" outlineLevel="0" collapsed="false">
      <c r="A391" s="10" t="s">
        <v>2183</v>
      </c>
      <c r="B391" s="17" t="s">
        <v>106</v>
      </c>
      <c r="C391" s="18" t="s">
        <v>107</v>
      </c>
      <c r="D391" s="17" t="s">
        <v>19</v>
      </c>
      <c r="E391" s="17" t="s">
        <v>75</v>
      </c>
      <c r="F391" s="17" t="s">
        <v>2061</v>
      </c>
      <c r="G391" s="17" t="s">
        <v>2062</v>
      </c>
      <c r="H391" s="17" t="s">
        <v>29</v>
      </c>
      <c r="I391" s="17" t="s">
        <v>333</v>
      </c>
      <c r="J391" s="17" t="s">
        <v>233</v>
      </c>
      <c r="K391" s="19"/>
      <c r="L391" s="19"/>
      <c r="M391" s="19"/>
      <c r="N391" s="19"/>
      <c r="O391" s="17" t="n">
        <v>3</v>
      </c>
      <c r="P391" s="18" t="s">
        <v>2184</v>
      </c>
      <c r="Q391" s="18" t="s">
        <v>2185</v>
      </c>
      <c r="R391" s="18" t="s">
        <v>2186</v>
      </c>
      <c r="S391" s="17" t="s">
        <v>2144</v>
      </c>
      <c r="T391" s="18" t="s">
        <v>1643</v>
      </c>
      <c r="U391" s="19"/>
      <c r="V391" s="18" t="s">
        <v>2187</v>
      </c>
      <c r="W391" s="17" t="s">
        <v>240</v>
      </c>
      <c r="X391" s="17" t="s">
        <v>2188</v>
      </c>
      <c r="Y391" s="17" t="s">
        <v>242</v>
      </c>
      <c r="Z391" s="19"/>
      <c r="AA391" s="19"/>
      <c r="AB391" s="17"/>
      <c r="AC391" s="19"/>
    </row>
    <row r="392" customFormat="false" ht="22.35" hidden="false" customHeight="false" outlineLevel="0" collapsed="false">
      <c r="A392" s="10" t="s">
        <v>2189</v>
      </c>
      <c r="B392" s="17" t="s">
        <v>106</v>
      </c>
      <c r="C392" s="18" t="s">
        <v>107</v>
      </c>
      <c r="D392" s="17" t="s">
        <v>19</v>
      </c>
      <c r="E392" s="17" t="s">
        <v>75</v>
      </c>
      <c r="F392" s="17" t="s">
        <v>2061</v>
      </c>
      <c r="G392" s="17" t="s">
        <v>2062</v>
      </c>
      <c r="H392" s="17" t="s">
        <v>29</v>
      </c>
      <c r="I392" s="17" t="s">
        <v>316</v>
      </c>
      <c r="J392" s="17" t="s">
        <v>233</v>
      </c>
      <c r="K392" s="19"/>
      <c r="L392" s="19"/>
      <c r="M392" s="19"/>
      <c r="N392" s="19"/>
      <c r="O392" s="17" t="n">
        <v>3</v>
      </c>
      <c r="P392" s="18" t="s">
        <v>2184</v>
      </c>
      <c r="Q392" s="18" t="s">
        <v>2185</v>
      </c>
      <c r="R392" s="18" t="s">
        <v>2190</v>
      </c>
      <c r="S392" s="17" t="s">
        <v>2060</v>
      </c>
      <c r="T392" s="18" t="s">
        <v>2191</v>
      </c>
      <c r="U392" s="19"/>
      <c r="V392" s="18" t="s">
        <v>2192</v>
      </c>
      <c r="W392" s="17" t="s">
        <v>240</v>
      </c>
      <c r="X392" s="17" t="s">
        <v>2188</v>
      </c>
      <c r="Y392" s="17" t="s">
        <v>242</v>
      </c>
      <c r="Z392" s="19"/>
      <c r="AA392" s="19"/>
      <c r="AB392" s="17"/>
      <c r="AC392" s="19"/>
    </row>
    <row r="393" customFormat="false" ht="22.35" hidden="false" customHeight="false" outlineLevel="0" collapsed="false">
      <c r="A393" s="10" t="s">
        <v>2193</v>
      </c>
      <c r="B393" s="17" t="s">
        <v>106</v>
      </c>
      <c r="C393" s="18" t="s">
        <v>107</v>
      </c>
      <c r="D393" s="17" t="s">
        <v>19</v>
      </c>
      <c r="E393" s="17" t="s">
        <v>229</v>
      </c>
      <c r="F393" s="17" t="s">
        <v>2061</v>
      </c>
      <c r="G393" s="17" t="s">
        <v>2062</v>
      </c>
      <c r="H393" s="17" t="s">
        <v>29</v>
      </c>
      <c r="I393" s="17" t="s">
        <v>316</v>
      </c>
      <c r="J393" s="17" t="s">
        <v>233</v>
      </c>
      <c r="K393" s="19"/>
      <c r="L393" s="19"/>
      <c r="M393" s="19"/>
      <c r="N393" s="19"/>
      <c r="O393" s="17" t="n">
        <v>3</v>
      </c>
      <c r="P393" s="18" t="s">
        <v>2184</v>
      </c>
      <c r="Q393" s="18" t="s">
        <v>2185</v>
      </c>
      <c r="R393" s="18" t="s">
        <v>2194</v>
      </c>
      <c r="S393" s="17" t="s">
        <v>2195</v>
      </c>
      <c r="T393" s="18" t="s">
        <v>2196</v>
      </c>
      <c r="U393" s="19"/>
      <c r="V393" s="18" t="s">
        <v>2197</v>
      </c>
      <c r="W393" s="17" t="s">
        <v>240</v>
      </c>
      <c r="X393" s="17" t="s">
        <v>356</v>
      </c>
      <c r="Y393" s="17" t="s">
        <v>242</v>
      </c>
      <c r="Z393" s="19"/>
      <c r="AA393" s="19"/>
      <c r="AB393" s="17"/>
      <c r="AC393" s="19"/>
    </row>
    <row r="394" customFormat="false" ht="15" hidden="false" customHeight="false" outlineLevel="0" collapsed="false">
      <c r="A394" s="10" t="s">
        <v>2198</v>
      </c>
      <c r="B394" s="17" t="s">
        <v>106</v>
      </c>
      <c r="C394" s="18" t="s">
        <v>107</v>
      </c>
      <c r="D394" s="17" t="s">
        <v>19</v>
      </c>
      <c r="E394" s="17" t="s">
        <v>75</v>
      </c>
      <c r="F394" s="17" t="s">
        <v>2061</v>
      </c>
      <c r="G394" s="17" t="s">
        <v>2062</v>
      </c>
      <c r="H394" s="17" t="s">
        <v>29</v>
      </c>
      <c r="I394" s="17" t="s">
        <v>283</v>
      </c>
      <c r="J394" s="17" t="s">
        <v>233</v>
      </c>
      <c r="K394" s="19"/>
      <c r="L394" s="19"/>
      <c r="M394" s="19"/>
      <c r="N394" s="19"/>
      <c r="O394" s="17" t="n">
        <v>3</v>
      </c>
      <c r="P394" s="18" t="s">
        <v>2184</v>
      </c>
      <c r="Q394" s="18" t="s">
        <v>2185</v>
      </c>
      <c r="R394" s="18" t="s">
        <v>2199</v>
      </c>
      <c r="S394" s="17" t="s">
        <v>2193</v>
      </c>
      <c r="T394" s="18" t="s">
        <v>2105</v>
      </c>
      <c r="U394" s="19"/>
      <c r="V394" s="18" t="s">
        <v>2106</v>
      </c>
      <c r="W394" s="17" t="s">
        <v>240</v>
      </c>
      <c r="X394" s="17" t="s">
        <v>2107</v>
      </c>
      <c r="Y394" s="17" t="s">
        <v>242</v>
      </c>
      <c r="Z394" s="19"/>
      <c r="AA394" s="19"/>
      <c r="AB394" s="17"/>
      <c r="AC394" s="19"/>
    </row>
    <row r="395" customFormat="false" ht="22.35" hidden="false" customHeight="false" outlineLevel="0" collapsed="false">
      <c r="A395" s="10" t="s">
        <v>2200</v>
      </c>
      <c r="B395" s="17" t="s">
        <v>106</v>
      </c>
      <c r="C395" s="18" t="s">
        <v>107</v>
      </c>
      <c r="D395" s="17" t="s">
        <v>19</v>
      </c>
      <c r="E395" s="17" t="s">
        <v>75</v>
      </c>
      <c r="F395" s="17" t="s">
        <v>2061</v>
      </c>
      <c r="G395" s="17" t="s">
        <v>2062</v>
      </c>
      <c r="H395" s="17" t="s">
        <v>29</v>
      </c>
      <c r="I395" s="17" t="s">
        <v>316</v>
      </c>
      <c r="J395" s="17" t="s">
        <v>233</v>
      </c>
      <c r="K395" s="19"/>
      <c r="L395" s="19"/>
      <c r="M395" s="19"/>
      <c r="N395" s="19"/>
      <c r="O395" s="17" t="n">
        <v>3</v>
      </c>
      <c r="P395" s="18" t="s">
        <v>2201</v>
      </c>
      <c r="Q395" s="18" t="s">
        <v>2202</v>
      </c>
      <c r="R395" s="18" t="s">
        <v>2203</v>
      </c>
      <c r="S395" s="17" t="s">
        <v>2108</v>
      </c>
      <c r="T395" s="18" t="s">
        <v>2204</v>
      </c>
      <c r="U395" s="19"/>
      <c r="V395" s="18" t="s">
        <v>2205</v>
      </c>
      <c r="W395" s="17" t="s">
        <v>240</v>
      </c>
      <c r="X395" s="17" t="s">
        <v>2206</v>
      </c>
      <c r="Y395" s="17" t="s">
        <v>242</v>
      </c>
      <c r="Z395" s="19"/>
      <c r="AA395" s="19"/>
      <c r="AB395" s="17"/>
      <c r="AC395" s="19"/>
    </row>
    <row r="396" customFormat="false" ht="22.35" hidden="false" customHeight="false" outlineLevel="0" collapsed="false">
      <c r="A396" s="10" t="s">
        <v>2207</v>
      </c>
      <c r="B396" s="17" t="s">
        <v>106</v>
      </c>
      <c r="C396" s="18" t="s">
        <v>107</v>
      </c>
      <c r="D396" s="17" t="s">
        <v>19</v>
      </c>
      <c r="E396" s="17" t="s">
        <v>75</v>
      </c>
      <c r="F396" s="17" t="s">
        <v>2061</v>
      </c>
      <c r="G396" s="17" t="s">
        <v>2062</v>
      </c>
      <c r="H396" s="17" t="s">
        <v>29</v>
      </c>
      <c r="I396" s="17" t="s">
        <v>316</v>
      </c>
      <c r="J396" s="17" t="s">
        <v>233</v>
      </c>
      <c r="K396" s="19"/>
      <c r="L396" s="19"/>
      <c r="M396" s="19"/>
      <c r="N396" s="19"/>
      <c r="O396" s="17" t="n">
        <v>3</v>
      </c>
      <c r="P396" s="18" t="s">
        <v>2201</v>
      </c>
      <c r="Q396" s="18" t="s">
        <v>2202</v>
      </c>
      <c r="R396" s="18" t="s">
        <v>2208</v>
      </c>
      <c r="S396" s="17" t="s">
        <v>2157</v>
      </c>
      <c r="T396" s="18" t="s">
        <v>2209</v>
      </c>
      <c r="U396" s="19"/>
      <c r="V396" s="18" t="s">
        <v>2210</v>
      </c>
      <c r="W396" s="17" t="s">
        <v>240</v>
      </c>
      <c r="X396" s="17" t="s">
        <v>2206</v>
      </c>
      <c r="Y396" s="17" t="s">
        <v>242</v>
      </c>
      <c r="Z396" s="19"/>
      <c r="AA396" s="19"/>
      <c r="AB396" s="17"/>
      <c r="AC396" s="19"/>
    </row>
    <row r="397" customFormat="false" ht="22.35" hidden="false" customHeight="false" outlineLevel="0" collapsed="false">
      <c r="A397" s="10" t="s">
        <v>2211</v>
      </c>
      <c r="B397" s="17" t="s">
        <v>106</v>
      </c>
      <c r="C397" s="18" t="s">
        <v>107</v>
      </c>
      <c r="D397" s="17" t="s">
        <v>19</v>
      </c>
      <c r="E397" s="17" t="s">
        <v>75</v>
      </c>
      <c r="F397" s="17" t="s">
        <v>2061</v>
      </c>
      <c r="G397" s="17" t="s">
        <v>2062</v>
      </c>
      <c r="H397" s="17" t="s">
        <v>29</v>
      </c>
      <c r="I397" s="17" t="s">
        <v>289</v>
      </c>
      <c r="J397" s="17" t="s">
        <v>233</v>
      </c>
      <c r="K397" s="19"/>
      <c r="L397" s="19"/>
      <c r="M397" s="19"/>
      <c r="N397" s="19"/>
      <c r="O397" s="17" t="n">
        <v>3</v>
      </c>
      <c r="P397" s="18" t="s">
        <v>2201</v>
      </c>
      <c r="Q397" s="18" t="s">
        <v>2202</v>
      </c>
      <c r="R397" s="18" t="s">
        <v>2212</v>
      </c>
      <c r="S397" s="17" t="s">
        <v>2207</v>
      </c>
      <c r="T397" s="18" t="s">
        <v>2213</v>
      </c>
      <c r="U397" s="19"/>
      <c r="V397" s="18" t="s">
        <v>2214</v>
      </c>
      <c r="W397" s="17" t="s">
        <v>240</v>
      </c>
      <c r="X397" s="17" t="s">
        <v>2206</v>
      </c>
      <c r="Y397" s="17" t="s">
        <v>242</v>
      </c>
      <c r="Z397" s="19"/>
      <c r="AA397" s="19"/>
      <c r="AB397" s="17"/>
      <c r="AC397" s="19"/>
    </row>
    <row r="398" customFormat="false" ht="22.35" hidden="false" customHeight="false" outlineLevel="0" collapsed="false">
      <c r="A398" s="10" t="s">
        <v>2215</v>
      </c>
      <c r="B398" s="17" t="s">
        <v>106</v>
      </c>
      <c r="C398" s="18" t="s">
        <v>107</v>
      </c>
      <c r="D398" s="17" t="s">
        <v>19</v>
      </c>
      <c r="E398" s="17" t="s">
        <v>75</v>
      </c>
      <c r="F398" s="17" t="s">
        <v>2061</v>
      </c>
      <c r="G398" s="17" t="s">
        <v>2062</v>
      </c>
      <c r="H398" s="17" t="s">
        <v>29</v>
      </c>
      <c r="I398" s="17" t="s">
        <v>289</v>
      </c>
      <c r="J398" s="17" t="s">
        <v>233</v>
      </c>
      <c r="K398" s="19"/>
      <c r="L398" s="19"/>
      <c r="M398" s="19"/>
      <c r="N398" s="19"/>
      <c r="O398" s="17" t="n">
        <v>3</v>
      </c>
      <c r="P398" s="18" t="s">
        <v>2201</v>
      </c>
      <c r="Q398" s="18" t="s">
        <v>2202</v>
      </c>
      <c r="R398" s="18" t="s">
        <v>2216</v>
      </c>
      <c r="S398" s="17" t="s">
        <v>2207</v>
      </c>
      <c r="T398" s="18" t="s">
        <v>2217</v>
      </c>
      <c r="U398" s="19"/>
      <c r="V398" s="18" t="s">
        <v>2218</v>
      </c>
      <c r="W398" s="17" t="s">
        <v>240</v>
      </c>
      <c r="X398" s="17" t="s">
        <v>2206</v>
      </c>
      <c r="Y398" s="17" t="s">
        <v>242</v>
      </c>
      <c r="Z398" s="19"/>
      <c r="AA398" s="19"/>
      <c r="AB398" s="17"/>
      <c r="AC398" s="19"/>
    </row>
    <row r="399" customFormat="false" ht="22.35" hidden="false" customHeight="false" outlineLevel="0" collapsed="false">
      <c r="A399" s="10" t="s">
        <v>2219</v>
      </c>
      <c r="B399" s="17" t="s">
        <v>106</v>
      </c>
      <c r="C399" s="18" t="s">
        <v>107</v>
      </c>
      <c r="D399" s="17" t="s">
        <v>19</v>
      </c>
      <c r="E399" s="17" t="s">
        <v>75</v>
      </c>
      <c r="F399" s="17" t="s">
        <v>2061</v>
      </c>
      <c r="G399" s="17" t="s">
        <v>2062</v>
      </c>
      <c r="H399" s="17" t="s">
        <v>29</v>
      </c>
      <c r="I399" s="17" t="s">
        <v>283</v>
      </c>
      <c r="J399" s="17" t="s">
        <v>233</v>
      </c>
      <c r="K399" s="19"/>
      <c r="L399" s="19"/>
      <c r="M399" s="19"/>
      <c r="N399" s="19"/>
      <c r="O399" s="17" t="n">
        <v>3</v>
      </c>
      <c r="P399" s="18" t="s">
        <v>2201</v>
      </c>
      <c r="Q399" s="18" t="s">
        <v>2202</v>
      </c>
      <c r="R399" s="18" t="s">
        <v>2220</v>
      </c>
      <c r="S399" s="17" t="s">
        <v>2215</v>
      </c>
      <c r="T399" s="18" t="s">
        <v>2105</v>
      </c>
      <c r="U399" s="19"/>
      <c r="V399" s="18" t="s">
        <v>2106</v>
      </c>
      <c r="W399" s="17" t="s">
        <v>240</v>
      </c>
      <c r="X399" s="17" t="s">
        <v>2107</v>
      </c>
      <c r="Y399" s="17" t="s">
        <v>242</v>
      </c>
      <c r="Z399" s="19"/>
      <c r="AA399" s="19"/>
      <c r="AB399" s="17"/>
      <c r="AC399" s="19"/>
    </row>
    <row r="400" customFormat="false" ht="22.35" hidden="false" customHeight="false" outlineLevel="0" collapsed="false">
      <c r="A400" s="10" t="s">
        <v>2221</v>
      </c>
      <c r="B400" s="17" t="s">
        <v>106</v>
      </c>
      <c r="C400" s="18" t="s">
        <v>107</v>
      </c>
      <c r="D400" s="17" t="s">
        <v>19</v>
      </c>
      <c r="E400" s="17" t="s">
        <v>75</v>
      </c>
      <c r="F400" s="17" t="s">
        <v>2061</v>
      </c>
      <c r="G400" s="17" t="s">
        <v>2062</v>
      </c>
      <c r="H400" s="17" t="s">
        <v>29</v>
      </c>
      <c r="I400" s="17" t="s">
        <v>289</v>
      </c>
      <c r="J400" s="17" t="s">
        <v>233</v>
      </c>
      <c r="K400" s="19"/>
      <c r="L400" s="19"/>
      <c r="M400" s="19"/>
      <c r="N400" s="19"/>
      <c r="O400" s="17" t="n">
        <v>3</v>
      </c>
      <c r="P400" s="18" t="s">
        <v>2222</v>
      </c>
      <c r="Q400" s="18" t="s">
        <v>2223</v>
      </c>
      <c r="R400" s="18" t="s">
        <v>2224</v>
      </c>
      <c r="S400" s="17" t="s">
        <v>2098</v>
      </c>
      <c r="T400" s="18" t="s">
        <v>2225</v>
      </c>
      <c r="U400" s="19"/>
      <c r="V400" s="18" t="s">
        <v>2226</v>
      </c>
      <c r="W400" s="17" t="s">
        <v>240</v>
      </c>
      <c r="X400" s="17" t="s">
        <v>2227</v>
      </c>
      <c r="Y400" s="17" t="s">
        <v>242</v>
      </c>
      <c r="Z400" s="19"/>
      <c r="AA400" s="19"/>
      <c r="AB400" s="17"/>
      <c r="AC400" s="19"/>
    </row>
    <row r="401" customFormat="false" ht="22.35" hidden="false" customHeight="false" outlineLevel="0" collapsed="false">
      <c r="A401" s="10" t="s">
        <v>2228</v>
      </c>
      <c r="B401" s="17" t="s">
        <v>106</v>
      </c>
      <c r="C401" s="18" t="s">
        <v>107</v>
      </c>
      <c r="D401" s="17" t="s">
        <v>19</v>
      </c>
      <c r="E401" s="17" t="s">
        <v>229</v>
      </c>
      <c r="F401" s="17" t="s">
        <v>2061</v>
      </c>
      <c r="G401" s="17" t="s">
        <v>2062</v>
      </c>
      <c r="H401" s="17" t="s">
        <v>29</v>
      </c>
      <c r="I401" s="17" t="s">
        <v>289</v>
      </c>
      <c r="J401" s="17" t="s">
        <v>233</v>
      </c>
      <c r="K401" s="19"/>
      <c r="L401" s="19"/>
      <c r="M401" s="19"/>
      <c r="N401" s="19"/>
      <c r="O401" s="17" t="n">
        <v>3</v>
      </c>
      <c r="P401" s="18" t="s">
        <v>2222</v>
      </c>
      <c r="Q401" s="18" t="s">
        <v>2223</v>
      </c>
      <c r="R401" s="18" t="s">
        <v>2229</v>
      </c>
      <c r="S401" s="17" t="s">
        <v>2221</v>
      </c>
      <c r="T401" s="18" t="s">
        <v>2230</v>
      </c>
      <c r="U401" s="19"/>
      <c r="V401" s="18" t="s">
        <v>2231</v>
      </c>
      <c r="W401" s="17" t="s">
        <v>383</v>
      </c>
      <c r="X401" s="17" t="s">
        <v>378</v>
      </c>
      <c r="Y401" s="17" t="s">
        <v>242</v>
      </c>
      <c r="Z401" s="19"/>
      <c r="AA401" s="19"/>
      <c r="AB401" s="17"/>
      <c r="AC401" s="19"/>
    </row>
    <row r="402" customFormat="false" ht="22.35" hidden="false" customHeight="false" outlineLevel="0" collapsed="false">
      <c r="A402" s="10" t="s">
        <v>2232</v>
      </c>
      <c r="B402" s="17" t="s">
        <v>106</v>
      </c>
      <c r="C402" s="18" t="s">
        <v>107</v>
      </c>
      <c r="D402" s="17" t="s">
        <v>19</v>
      </c>
      <c r="E402" s="17" t="s">
        <v>75</v>
      </c>
      <c r="F402" s="17" t="s">
        <v>2061</v>
      </c>
      <c r="G402" s="17" t="s">
        <v>2062</v>
      </c>
      <c r="H402" s="17" t="s">
        <v>29</v>
      </c>
      <c r="I402" s="17" t="s">
        <v>289</v>
      </c>
      <c r="J402" s="17" t="s">
        <v>233</v>
      </c>
      <c r="K402" s="19"/>
      <c r="L402" s="19"/>
      <c r="M402" s="19"/>
      <c r="N402" s="19"/>
      <c r="O402" s="17" t="n">
        <v>3</v>
      </c>
      <c r="P402" s="18" t="s">
        <v>2222</v>
      </c>
      <c r="Q402" s="18" t="s">
        <v>2223</v>
      </c>
      <c r="R402" s="18" t="s">
        <v>2233</v>
      </c>
      <c r="S402" s="17" t="s">
        <v>2221</v>
      </c>
      <c r="T402" s="18" t="s">
        <v>2234</v>
      </c>
      <c r="U402" s="19"/>
      <c r="V402" s="18" t="s">
        <v>2235</v>
      </c>
      <c r="W402" s="17" t="s">
        <v>240</v>
      </c>
      <c r="X402" s="17" t="s">
        <v>2227</v>
      </c>
      <c r="Y402" s="17" t="s">
        <v>242</v>
      </c>
      <c r="Z402" s="19"/>
      <c r="AA402" s="19"/>
      <c r="AB402" s="17"/>
      <c r="AC402" s="19"/>
    </row>
    <row r="403" customFormat="false" ht="22.35" hidden="false" customHeight="false" outlineLevel="0" collapsed="false">
      <c r="A403" s="10" t="s">
        <v>2236</v>
      </c>
      <c r="B403" s="17" t="s">
        <v>106</v>
      </c>
      <c r="C403" s="18" t="s">
        <v>107</v>
      </c>
      <c r="D403" s="17" t="s">
        <v>19</v>
      </c>
      <c r="E403" s="17" t="s">
        <v>75</v>
      </c>
      <c r="F403" s="17" t="s">
        <v>2061</v>
      </c>
      <c r="G403" s="17" t="s">
        <v>2062</v>
      </c>
      <c r="H403" s="17" t="s">
        <v>29</v>
      </c>
      <c r="I403" s="17" t="s">
        <v>283</v>
      </c>
      <c r="J403" s="17" t="s">
        <v>233</v>
      </c>
      <c r="K403" s="19"/>
      <c r="L403" s="19"/>
      <c r="M403" s="19"/>
      <c r="N403" s="19"/>
      <c r="O403" s="17" t="n">
        <v>3</v>
      </c>
      <c r="P403" s="18" t="s">
        <v>2222</v>
      </c>
      <c r="Q403" s="18" t="s">
        <v>2223</v>
      </c>
      <c r="R403" s="18" t="s">
        <v>2237</v>
      </c>
      <c r="S403" s="17" t="s">
        <v>2232</v>
      </c>
      <c r="T403" s="18" t="s">
        <v>2105</v>
      </c>
      <c r="U403" s="19"/>
      <c r="V403" s="18" t="s">
        <v>2106</v>
      </c>
      <c r="W403" s="17" t="s">
        <v>240</v>
      </c>
      <c r="X403" s="17" t="s">
        <v>2107</v>
      </c>
      <c r="Y403" s="17" t="s">
        <v>242</v>
      </c>
      <c r="Z403" s="19"/>
      <c r="AA403" s="19"/>
      <c r="AB403" s="17"/>
      <c r="AC403" s="19"/>
    </row>
    <row r="404" customFormat="false" ht="22.35" hidden="false" customHeight="false" outlineLevel="0" collapsed="false">
      <c r="A404" s="10" t="s">
        <v>2238</v>
      </c>
      <c r="B404" s="17" t="s">
        <v>106</v>
      </c>
      <c r="C404" s="18" t="s">
        <v>107</v>
      </c>
      <c r="D404" s="17" t="s">
        <v>19</v>
      </c>
      <c r="E404" s="17" t="s">
        <v>75</v>
      </c>
      <c r="F404" s="17" t="s">
        <v>2061</v>
      </c>
      <c r="G404" s="17" t="s">
        <v>2062</v>
      </c>
      <c r="H404" s="17" t="s">
        <v>29</v>
      </c>
      <c r="I404" s="17" t="s">
        <v>369</v>
      </c>
      <c r="J404" s="17" t="s">
        <v>233</v>
      </c>
      <c r="K404" s="19"/>
      <c r="L404" s="19"/>
      <c r="M404" s="19"/>
      <c r="N404" s="19"/>
      <c r="O404" s="17" t="n">
        <v>3</v>
      </c>
      <c r="P404" s="18" t="s">
        <v>2239</v>
      </c>
      <c r="Q404" s="18" t="s">
        <v>2240</v>
      </c>
      <c r="R404" s="18" t="s">
        <v>2241</v>
      </c>
      <c r="S404" s="17" t="s">
        <v>2157</v>
      </c>
      <c r="T404" s="18" t="s">
        <v>544</v>
      </c>
      <c r="U404" s="19"/>
      <c r="V404" s="18" t="s">
        <v>2242</v>
      </c>
      <c r="W404" s="17" t="s">
        <v>240</v>
      </c>
      <c r="X404" s="17" t="s">
        <v>2243</v>
      </c>
      <c r="Y404" s="17" t="s">
        <v>242</v>
      </c>
      <c r="Z404" s="19"/>
      <c r="AA404" s="19"/>
      <c r="AB404" s="17"/>
      <c r="AC404" s="19"/>
    </row>
    <row r="405" customFormat="false" ht="22.35" hidden="false" customHeight="false" outlineLevel="0" collapsed="false">
      <c r="A405" s="10" t="s">
        <v>2244</v>
      </c>
      <c r="B405" s="17" t="s">
        <v>106</v>
      </c>
      <c r="C405" s="18" t="s">
        <v>107</v>
      </c>
      <c r="D405" s="17" t="s">
        <v>19</v>
      </c>
      <c r="E405" s="17" t="s">
        <v>75</v>
      </c>
      <c r="F405" s="17" t="s">
        <v>2061</v>
      </c>
      <c r="G405" s="17" t="s">
        <v>2062</v>
      </c>
      <c r="H405" s="17" t="s">
        <v>29</v>
      </c>
      <c r="I405" s="17" t="s">
        <v>1786</v>
      </c>
      <c r="J405" s="17" t="s">
        <v>233</v>
      </c>
      <c r="K405" s="19"/>
      <c r="L405" s="19"/>
      <c r="M405" s="19"/>
      <c r="N405" s="19"/>
      <c r="O405" s="17" t="n">
        <v>3</v>
      </c>
      <c r="P405" s="18" t="s">
        <v>2239</v>
      </c>
      <c r="Q405" s="18" t="s">
        <v>2240</v>
      </c>
      <c r="R405" s="18" t="s">
        <v>2245</v>
      </c>
      <c r="S405" s="17" t="s">
        <v>2157</v>
      </c>
      <c r="T405" s="18" t="s">
        <v>2246</v>
      </c>
      <c r="U405" s="19"/>
      <c r="V405" s="18" t="s">
        <v>2247</v>
      </c>
      <c r="W405" s="17" t="s">
        <v>240</v>
      </c>
      <c r="X405" s="17" t="s">
        <v>2073</v>
      </c>
      <c r="Y405" s="17" t="s">
        <v>242</v>
      </c>
      <c r="Z405" s="19"/>
      <c r="AA405" s="19"/>
      <c r="AB405" s="17"/>
      <c r="AC405" s="19"/>
    </row>
    <row r="406" customFormat="false" ht="15" hidden="false" customHeight="false" outlineLevel="0" collapsed="false">
      <c r="A406" s="10" t="s">
        <v>2248</v>
      </c>
      <c r="B406" s="17" t="s">
        <v>106</v>
      </c>
      <c r="C406" s="18" t="s">
        <v>107</v>
      </c>
      <c r="D406" s="17" t="s">
        <v>19</v>
      </c>
      <c r="E406" s="17" t="s">
        <v>75</v>
      </c>
      <c r="F406" s="17" t="s">
        <v>2061</v>
      </c>
      <c r="G406" s="17" t="s">
        <v>2062</v>
      </c>
      <c r="H406" s="17" t="s">
        <v>29</v>
      </c>
      <c r="I406" s="17" t="s">
        <v>369</v>
      </c>
      <c r="J406" s="17" t="s">
        <v>233</v>
      </c>
      <c r="K406" s="19"/>
      <c r="L406" s="19"/>
      <c r="M406" s="19"/>
      <c r="N406" s="19"/>
      <c r="O406" s="17" t="n">
        <v>4</v>
      </c>
      <c r="P406" s="18" t="s">
        <v>2239</v>
      </c>
      <c r="Q406" s="18" t="s">
        <v>2240</v>
      </c>
      <c r="R406" s="18" t="s">
        <v>2249</v>
      </c>
      <c r="S406" s="17" t="s">
        <v>2244</v>
      </c>
      <c r="T406" s="18" t="s">
        <v>2250</v>
      </c>
      <c r="U406" s="19"/>
      <c r="V406" s="18" t="s">
        <v>2251</v>
      </c>
      <c r="W406" s="17" t="s">
        <v>240</v>
      </c>
      <c r="X406" s="17" t="s">
        <v>2243</v>
      </c>
      <c r="Y406" s="17" t="s">
        <v>242</v>
      </c>
      <c r="Z406" s="19"/>
      <c r="AA406" s="19"/>
      <c r="AB406" s="17"/>
      <c r="AC406" s="19"/>
    </row>
    <row r="407" customFormat="false" ht="22.35" hidden="false" customHeight="false" outlineLevel="0" collapsed="false">
      <c r="A407" s="10" t="s">
        <v>2252</v>
      </c>
      <c r="B407" s="17" t="s">
        <v>106</v>
      </c>
      <c r="C407" s="18" t="s">
        <v>107</v>
      </c>
      <c r="D407" s="17" t="s">
        <v>19</v>
      </c>
      <c r="E407" s="17" t="s">
        <v>75</v>
      </c>
      <c r="F407" s="17" t="s">
        <v>2061</v>
      </c>
      <c r="G407" s="17" t="s">
        <v>2062</v>
      </c>
      <c r="H407" s="17" t="s">
        <v>29</v>
      </c>
      <c r="I407" s="17" t="s">
        <v>283</v>
      </c>
      <c r="J407" s="17" t="s">
        <v>233</v>
      </c>
      <c r="K407" s="19"/>
      <c r="L407" s="19"/>
      <c r="M407" s="19"/>
      <c r="N407" s="19"/>
      <c r="O407" s="17" t="n">
        <v>3</v>
      </c>
      <c r="P407" s="18" t="s">
        <v>2239</v>
      </c>
      <c r="Q407" s="18" t="s">
        <v>2240</v>
      </c>
      <c r="R407" s="18" t="s">
        <v>2253</v>
      </c>
      <c r="S407" s="17" t="s">
        <v>2248</v>
      </c>
      <c r="T407" s="18" t="s">
        <v>2105</v>
      </c>
      <c r="U407" s="19"/>
      <c r="V407" s="18" t="s">
        <v>2106</v>
      </c>
      <c r="W407" s="17" t="s">
        <v>240</v>
      </c>
      <c r="X407" s="17" t="s">
        <v>2107</v>
      </c>
      <c r="Y407" s="17" t="s">
        <v>242</v>
      </c>
      <c r="Z407" s="19"/>
      <c r="AA407" s="19"/>
      <c r="AB407" s="17" t="s">
        <v>1681</v>
      </c>
      <c r="AC407" s="19"/>
    </row>
    <row r="408" customFormat="false" ht="22.35" hidden="false" customHeight="false" outlineLevel="0" collapsed="false">
      <c r="A408" s="10" t="s">
        <v>2254</v>
      </c>
      <c r="B408" s="17" t="s">
        <v>140</v>
      </c>
      <c r="C408" s="18" t="s">
        <v>141</v>
      </c>
      <c r="D408" s="17" t="s">
        <v>19</v>
      </c>
      <c r="E408" s="17" t="s">
        <v>229</v>
      </c>
      <c r="F408" s="17" t="s">
        <v>2061</v>
      </c>
      <c r="G408" s="17" t="s">
        <v>2255</v>
      </c>
      <c r="H408" s="17" t="s">
        <v>29</v>
      </c>
      <c r="I408" s="17" t="s">
        <v>232</v>
      </c>
      <c r="J408" s="17" t="s">
        <v>233</v>
      </c>
      <c r="K408" s="19"/>
      <c r="L408" s="19"/>
      <c r="M408" s="19"/>
      <c r="N408" s="19"/>
      <c r="O408" s="17" t="n">
        <v>0</v>
      </c>
      <c r="P408" s="18" t="s">
        <v>2256</v>
      </c>
      <c r="Q408" s="18" t="s">
        <v>2257</v>
      </c>
      <c r="R408" s="18" t="s">
        <v>2258</v>
      </c>
      <c r="S408" s="17" t="s">
        <v>1938</v>
      </c>
      <c r="T408" s="18" t="s">
        <v>2076</v>
      </c>
      <c r="U408" s="19"/>
      <c r="V408" s="18" t="s">
        <v>2259</v>
      </c>
      <c r="W408" s="17" t="s">
        <v>240</v>
      </c>
      <c r="X408" s="17" t="s">
        <v>2260</v>
      </c>
      <c r="Y408" s="17" t="s">
        <v>242</v>
      </c>
      <c r="Z408" s="19"/>
      <c r="AA408" s="19"/>
      <c r="AB408" s="17"/>
      <c r="AC408" s="19"/>
    </row>
    <row r="409" customFormat="false" ht="22.35" hidden="false" customHeight="false" outlineLevel="0" collapsed="false">
      <c r="A409" s="10" t="s">
        <v>2261</v>
      </c>
      <c r="B409" s="17" t="s">
        <v>140</v>
      </c>
      <c r="C409" s="18" t="s">
        <v>141</v>
      </c>
      <c r="D409" s="17" t="s">
        <v>19</v>
      </c>
      <c r="E409" s="17" t="s">
        <v>229</v>
      </c>
      <c r="F409" s="17" t="s">
        <v>2061</v>
      </c>
      <c r="G409" s="17" t="s">
        <v>2255</v>
      </c>
      <c r="H409" s="17" t="s">
        <v>29</v>
      </c>
      <c r="I409" s="17" t="s">
        <v>1786</v>
      </c>
      <c r="J409" s="17" t="s">
        <v>233</v>
      </c>
      <c r="K409" s="19"/>
      <c r="L409" s="19"/>
      <c r="M409" s="19"/>
      <c r="N409" s="19"/>
      <c r="O409" s="17" t="n">
        <v>0</v>
      </c>
      <c r="P409" s="18" t="s">
        <v>2256</v>
      </c>
      <c r="Q409" s="18" t="s">
        <v>2257</v>
      </c>
      <c r="R409" s="18" t="s">
        <v>2262</v>
      </c>
      <c r="S409" s="17" t="s">
        <v>1938</v>
      </c>
      <c r="T409" s="18" t="s">
        <v>2263</v>
      </c>
      <c r="U409" s="19"/>
      <c r="V409" s="18" t="s">
        <v>2264</v>
      </c>
      <c r="W409" s="17" t="s">
        <v>240</v>
      </c>
      <c r="X409" s="17" t="s">
        <v>2078</v>
      </c>
      <c r="Y409" s="17" t="s">
        <v>242</v>
      </c>
      <c r="Z409" s="19"/>
      <c r="AA409" s="19"/>
      <c r="AB409" s="17"/>
      <c r="AC409" s="19"/>
    </row>
    <row r="410" customFormat="false" ht="22.35" hidden="false" customHeight="false" outlineLevel="0" collapsed="false">
      <c r="A410" s="10" t="s">
        <v>2265</v>
      </c>
      <c r="B410" s="17" t="s">
        <v>140</v>
      </c>
      <c r="C410" s="18" t="s">
        <v>141</v>
      </c>
      <c r="D410" s="17" t="s">
        <v>19</v>
      </c>
      <c r="E410" s="17" t="s">
        <v>229</v>
      </c>
      <c r="F410" s="17" t="s">
        <v>2061</v>
      </c>
      <c r="G410" s="17" t="s">
        <v>2255</v>
      </c>
      <c r="H410" s="17" t="s">
        <v>29</v>
      </c>
      <c r="I410" s="17" t="s">
        <v>1786</v>
      </c>
      <c r="J410" s="17" t="s">
        <v>233</v>
      </c>
      <c r="K410" s="19"/>
      <c r="L410" s="19"/>
      <c r="M410" s="19"/>
      <c r="N410" s="19"/>
      <c r="O410" s="17" t="n">
        <v>0</v>
      </c>
      <c r="P410" s="18" t="s">
        <v>2256</v>
      </c>
      <c r="Q410" s="18" t="s">
        <v>2257</v>
      </c>
      <c r="R410" s="18" t="s">
        <v>2266</v>
      </c>
      <c r="S410" s="17" t="s">
        <v>237</v>
      </c>
      <c r="T410" s="18" t="s">
        <v>2267</v>
      </c>
      <c r="U410" s="19"/>
      <c r="V410" s="18" t="s">
        <v>2268</v>
      </c>
      <c r="W410" s="17" t="s">
        <v>240</v>
      </c>
      <c r="X410" s="17" t="s">
        <v>2269</v>
      </c>
      <c r="Y410" s="17" t="s">
        <v>242</v>
      </c>
      <c r="Z410" s="19"/>
      <c r="AA410" s="19"/>
      <c r="AB410" s="17"/>
      <c r="AC410" s="19"/>
    </row>
    <row r="411" customFormat="false" ht="22.35" hidden="false" customHeight="false" outlineLevel="0" collapsed="false">
      <c r="A411" s="10" t="s">
        <v>2270</v>
      </c>
      <c r="B411" s="17" t="s">
        <v>140</v>
      </c>
      <c r="C411" s="18" t="s">
        <v>141</v>
      </c>
      <c r="D411" s="17" t="s">
        <v>19</v>
      </c>
      <c r="E411" s="17" t="s">
        <v>229</v>
      </c>
      <c r="F411" s="17" t="s">
        <v>2061</v>
      </c>
      <c r="G411" s="17" t="s">
        <v>2255</v>
      </c>
      <c r="H411" s="17" t="s">
        <v>29</v>
      </c>
      <c r="I411" s="17" t="s">
        <v>928</v>
      </c>
      <c r="J411" s="17" t="s">
        <v>233</v>
      </c>
      <c r="K411" s="19"/>
      <c r="L411" s="19"/>
      <c r="M411" s="19"/>
      <c r="N411" s="19"/>
      <c r="O411" s="17" t="n">
        <v>0</v>
      </c>
      <c r="P411" s="18" t="s">
        <v>2256</v>
      </c>
      <c r="Q411" s="18" t="s">
        <v>2257</v>
      </c>
      <c r="R411" s="18" t="s">
        <v>2271</v>
      </c>
      <c r="S411" s="17" t="s">
        <v>2261</v>
      </c>
      <c r="T411" s="18" t="s">
        <v>2272</v>
      </c>
      <c r="U411" s="19"/>
      <c r="V411" s="18" t="s">
        <v>2273</v>
      </c>
      <c r="W411" s="17" t="s">
        <v>240</v>
      </c>
      <c r="X411" s="17" t="s">
        <v>2269</v>
      </c>
      <c r="Y411" s="17" t="s">
        <v>242</v>
      </c>
      <c r="Z411" s="19"/>
      <c r="AA411" s="19"/>
      <c r="AB411" s="17"/>
      <c r="AC411" s="19"/>
    </row>
    <row r="412" customFormat="false" ht="22.35" hidden="false" customHeight="false" outlineLevel="0" collapsed="false">
      <c r="A412" s="10" t="s">
        <v>2274</v>
      </c>
      <c r="B412" s="17" t="s">
        <v>140</v>
      </c>
      <c r="C412" s="18" t="s">
        <v>141</v>
      </c>
      <c r="D412" s="17" t="s">
        <v>19</v>
      </c>
      <c r="E412" s="17" t="s">
        <v>229</v>
      </c>
      <c r="F412" s="17" t="s">
        <v>2061</v>
      </c>
      <c r="G412" s="17" t="s">
        <v>2255</v>
      </c>
      <c r="H412" s="17" t="s">
        <v>29</v>
      </c>
      <c r="I412" s="17" t="s">
        <v>232</v>
      </c>
      <c r="J412" s="17" t="s">
        <v>233</v>
      </c>
      <c r="K412" s="19"/>
      <c r="L412" s="19"/>
      <c r="M412" s="19"/>
      <c r="N412" s="19"/>
      <c r="O412" s="17" t="n">
        <v>0</v>
      </c>
      <c r="P412" s="18" t="s">
        <v>2256</v>
      </c>
      <c r="Q412" s="18" t="s">
        <v>2257</v>
      </c>
      <c r="R412" s="18" t="s">
        <v>2275</v>
      </c>
      <c r="S412" s="17" t="s">
        <v>237</v>
      </c>
      <c r="T412" s="18" t="s">
        <v>2276</v>
      </c>
      <c r="U412" s="19"/>
      <c r="V412" s="18" t="s">
        <v>2277</v>
      </c>
      <c r="W412" s="17" t="s">
        <v>240</v>
      </c>
      <c r="X412" s="17" t="s">
        <v>2278</v>
      </c>
      <c r="Y412" s="17" t="s">
        <v>242</v>
      </c>
      <c r="Z412" s="19"/>
      <c r="AA412" s="19"/>
      <c r="AB412" s="17"/>
      <c r="AC412" s="19"/>
    </row>
    <row r="413" customFormat="false" ht="22.35" hidden="false" customHeight="false" outlineLevel="0" collapsed="false">
      <c r="A413" s="10" t="s">
        <v>2279</v>
      </c>
      <c r="B413" s="17" t="s">
        <v>140</v>
      </c>
      <c r="C413" s="18" t="s">
        <v>141</v>
      </c>
      <c r="D413" s="17" t="s">
        <v>19</v>
      </c>
      <c r="E413" s="17" t="s">
        <v>229</v>
      </c>
      <c r="F413" s="17" t="s">
        <v>2061</v>
      </c>
      <c r="G413" s="17" t="s">
        <v>2255</v>
      </c>
      <c r="H413" s="17" t="s">
        <v>29</v>
      </c>
      <c r="I413" s="17" t="s">
        <v>232</v>
      </c>
      <c r="J413" s="17" t="s">
        <v>233</v>
      </c>
      <c r="K413" s="19"/>
      <c r="L413" s="19"/>
      <c r="M413" s="19"/>
      <c r="N413" s="19"/>
      <c r="O413" s="17" t="n">
        <v>0</v>
      </c>
      <c r="P413" s="18" t="s">
        <v>2256</v>
      </c>
      <c r="Q413" s="18" t="s">
        <v>2257</v>
      </c>
      <c r="R413" s="18" t="s">
        <v>2280</v>
      </c>
      <c r="S413" s="17" t="s">
        <v>443</v>
      </c>
      <c r="T413" s="18" t="s">
        <v>2076</v>
      </c>
      <c r="U413" s="19"/>
      <c r="V413" s="18" t="s">
        <v>2281</v>
      </c>
      <c r="W413" s="17" t="s">
        <v>240</v>
      </c>
      <c r="X413" s="17" t="s">
        <v>2078</v>
      </c>
      <c r="Y413" s="17" t="s">
        <v>242</v>
      </c>
      <c r="Z413" s="19"/>
      <c r="AA413" s="19"/>
      <c r="AB413" s="17"/>
      <c r="AC413" s="19"/>
    </row>
    <row r="414" customFormat="false" ht="22.35" hidden="false" customHeight="false" outlineLevel="0" collapsed="false">
      <c r="A414" s="10" t="s">
        <v>2282</v>
      </c>
      <c r="B414" s="17" t="s">
        <v>140</v>
      </c>
      <c r="C414" s="18" t="s">
        <v>141</v>
      </c>
      <c r="D414" s="17" t="s">
        <v>19</v>
      </c>
      <c r="E414" s="17" t="s">
        <v>229</v>
      </c>
      <c r="F414" s="17" t="s">
        <v>2061</v>
      </c>
      <c r="G414" s="17" t="s">
        <v>2255</v>
      </c>
      <c r="H414" s="17" t="s">
        <v>29</v>
      </c>
      <c r="I414" s="17" t="s">
        <v>277</v>
      </c>
      <c r="J414" s="17" t="s">
        <v>233</v>
      </c>
      <c r="K414" s="19"/>
      <c r="L414" s="19"/>
      <c r="M414" s="19"/>
      <c r="N414" s="19"/>
      <c r="O414" s="17" t="n">
        <v>0</v>
      </c>
      <c r="P414" s="18" t="s">
        <v>2256</v>
      </c>
      <c r="Q414" s="18" t="s">
        <v>2257</v>
      </c>
      <c r="R414" s="18" t="s">
        <v>2283</v>
      </c>
      <c r="S414" s="17" t="s">
        <v>2254</v>
      </c>
      <c r="T414" s="18" t="s">
        <v>2284</v>
      </c>
      <c r="U414" s="19"/>
      <c r="V414" s="18" t="s">
        <v>2285</v>
      </c>
      <c r="W414" s="17" t="s">
        <v>240</v>
      </c>
      <c r="X414" s="17" t="s">
        <v>2102</v>
      </c>
      <c r="Y414" s="17" t="s">
        <v>242</v>
      </c>
      <c r="Z414" s="19"/>
      <c r="AA414" s="19"/>
      <c r="AB414" s="17"/>
      <c r="AC414" s="19"/>
    </row>
    <row r="415" customFormat="false" ht="15" hidden="false" customHeight="false" outlineLevel="0" collapsed="false">
      <c r="A415" s="10" t="s">
        <v>2286</v>
      </c>
      <c r="B415" s="17" t="s">
        <v>140</v>
      </c>
      <c r="C415" s="18" t="s">
        <v>141</v>
      </c>
      <c r="D415" s="17" t="s">
        <v>19</v>
      </c>
      <c r="E415" s="17" t="s">
        <v>229</v>
      </c>
      <c r="F415" s="17" t="s">
        <v>2061</v>
      </c>
      <c r="G415" s="17" t="s">
        <v>2255</v>
      </c>
      <c r="H415" s="17" t="s">
        <v>29</v>
      </c>
      <c r="I415" s="17" t="s">
        <v>283</v>
      </c>
      <c r="J415" s="17" t="s">
        <v>233</v>
      </c>
      <c r="K415" s="19"/>
      <c r="L415" s="19"/>
      <c r="M415" s="19"/>
      <c r="N415" s="19"/>
      <c r="O415" s="17" t="n">
        <v>0</v>
      </c>
      <c r="P415" s="18" t="s">
        <v>2256</v>
      </c>
      <c r="Q415" s="18" t="s">
        <v>2257</v>
      </c>
      <c r="R415" s="18" t="s">
        <v>2287</v>
      </c>
      <c r="S415" s="17" t="s">
        <v>2282</v>
      </c>
      <c r="T415" s="18" t="s">
        <v>2105</v>
      </c>
      <c r="U415" s="19"/>
      <c r="V415" s="18" t="s">
        <v>2106</v>
      </c>
      <c r="W415" s="17" t="s">
        <v>240</v>
      </c>
      <c r="X415" s="17" t="s">
        <v>2107</v>
      </c>
      <c r="Y415" s="17" t="s">
        <v>242</v>
      </c>
      <c r="Z415" s="19"/>
      <c r="AA415" s="19"/>
      <c r="AB415" s="17"/>
      <c r="AC415" s="19"/>
    </row>
    <row r="416" customFormat="false" ht="22.35" hidden="false" customHeight="false" outlineLevel="0" collapsed="false">
      <c r="A416" s="10" t="s">
        <v>2288</v>
      </c>
      <c r="B416" s="17" t="s">
        <v>140</v>
      </c>
      <c r="C416" s="18" t="s">
        <v>141</v>
      </c>
      <c r="D416" s="17" t="s">
        <v>19</v>
      </c>
      <c r="E416" s="17" t="s">
        <v>75</v>
      </c>
      <c r="F416" s="17" t="s">
        <v>2061</v>
      </c>
      <c r="G416" s="17" t="s">
        <v>2255</v>
      </c>
      <c r="H416" s="17" t="s">
        <v>29</v>
      </c>
      <c r="I416" s="17" t="s">
        <v>316</v>
      </c>
      <c r="J416" s="17" t="s">
        <v>233</v>
      </c>
      <c r="K416" s="19"/>
      <c r="L416" s="19"/>
      <c r="M416" s="19"/>
      <c r="N416" s="19"/>
      <c r="O416" s="17" t="n">
        <v>2</v>
      </c>
      <c r="P416" s="18" t="s">
        <v>2289</v>
      </c>
      <c r="Q416" s="18" t="s">
        <v>2290</v>
      </c>
      <c r="R416" s="18" t="s">
        <v>2291</v>
      </c>
      <c r="S416" s="17" t="s">
        <v>2292</v>
      </c>
      <c r="T416" s="18" t="s">
        <v>2293</v>
      </c>
      <c r="U416" s="19"/>
      <c r="V416" s="18" t="s">
        <v>2294</v>
      </c>
      <c r="W416" s="17" t="s">
        <v>240</v>
      </c>
      <c r="X416" s="17" t="s">
        <v>2278</v>
      </c>
      <c r="Y416" s="17" t="s">
        <v>242</v>
      </c>
      <c r="Z416" s="19"/>
      <c r="AA416" s="19"/>
      <c r="AB416" s="17"/>
      <c r="AC416" s="19"/>
    </row>
    <row r="417" customFormat="false" ht="22.35" hidden="false" customHeight="false" outlineLevel="0" collapsed="false">
      <c r="A417" s="10" t="s">
        <v>2295</v>
      </c>
      <c r="B417" s="17" t="s">
        <v>140</v>
      </c>
      <c r="C417" s="18" t="s">
        <v>141</v>
      </c>
      <c r="D417" s="17" t="s">
        <v>19</v>
      </c>
      <c r="E417" s="17" t="s">
        <v>75</v>
      </c>
      <c r="F417" s="17" t="s">
        <v>2061</v>
      </c>
      <c r="G417" s="17" t="s">
        <v>2255</v>
      </c>
      <c r="H417" s="17" t="s">
        <v>29</v>
      </c>
      <c r="I417" s="17" t="s">
        <v>316</v>
      </c>
      <c r="J417" s="17" t="s">
        <v>233</v>
      </c>
      <c r="K417" s="19"/>
      <c r="L417" s="19"/>
      <c r="M417" s="19"/>
      <c r="N417" s="19"/>
      <c r="O417" s="17" t="n">
        <v>2</v>
      </c>
      <c r="P417" s="18" t="s">
        <v>2289</v>
      </c>
      <c r="Q417" s="18" t="s">
        <v>2290</v>
      </c>
      <c r="R417" s="18" t="s">
        <v>2296</v>
      </c>
      <c r="S417" s="17" t="s">
        <v>2265</v>
      </c>
      <c r="T417" s="18" t="s">
        <v>2297</v>
      </c>
      <c r="U417" s="19"/>
      <c r="V417" s="18" t="s">
        <v>2298</v>
      </c>
      <c r="W417" s="17" t="s">
        <v>240</v>
      </c>
      <c r="X417" s="17" t="s">
        <v>2278</v>
      </c>
      <c r="Y417" s="17" t="s">
        <v>242</v>
      </c>
      <c r="Z417" s="19"/>
      <c r="AA417" s="19"/>
      <c r="AB417" s="17"/>
      <c r="AC417" s="19"/>
    </row>
    <row r="418" customFormat="false" ht="22.35" hidden="false" customHeight="false" outlineLevel="0" collapsed="false">
      <c r="A418" s="10" t="s">
        <v>2299</v>
      </c>
      <c r="B418" s="17" t="s">
        <v>140</v>
      </c>
      <c r="C418" s="18" t="s">
        <v>141</v>
      </c>
      <c r="D418" s="17" t="s">
        <v>19</v>
      </c>
      <c r="E418" s="17" t="s">
        <v>75</v>
      </c>
      <c r="F418" s="17" t="s">
        <v>2061</v>
      </c>
      <c r="G418" s="17" t="s">
        <v>2255</v>
      </c>
      <c r="H418" s="17" t="s">
        <v>29</v>
      </c>
      <c r="I418" s="17" t="s">
        <v>316</v>
      </c>
      <c r="J418" s="17" t="s">
        <v>233</v>
      </c>
      <c r="K418" s="19"/>
      <c r="L418" s="19"/>
      <c r="M418" s="19"/>
      <c r="N418" s="19"/>
      <c r="O418" s="17" t="n">
        <v>2</v>
      </c>
      <c r="P418" s="18" t="s">
        <v>2289</v>
      </c>
      <c r="Q418" s="18" t="s">
        <v>2290</v>
      </c>
      <c r="R418" s="18" t="s">
        <v>2300</v>
      </c>
      <c r="S418" s="17" t="s">
        <v>2301</v>
      </c>
      <c r="T418" s="18" t="s">
        <v>2302</v>
      </c>
      <c r="U418" s="19"/>
      <c r="V418" s="18" t="s">
        <v>2303</v>
      </c>
      <c r="W418" s="17" t="s">
        <v>240</v>
      </c>
      <c r="X418" s="17" t="s">
        <v>2304</v>
      </c>
      <c r="Y418" s="17" t="s">
        <v>242</v>
      </c>
      <c r="Z418" s="19"/>
      <c r="AA418" s="19"/>
      <c r="AB418" s="17"/>
      <c r="AC418" s="19"/>
    </row>
    <row r="419" customFormat="false" ht="22.35" hidden="false" customHeight="false" outlineLevel="0" collapsed="false">
      <c r="A419" s="10" t="s">
        <v>2305</v>
      </c>
      <c r="B419" s="17" t="s">
        <v>140</v>
      </c>
      <c r="C419" s="18" t="s">
        <v>141</v>
      </c>
      <c r="D419" s="17" t="s">
        <v>19</v>
      </c>
      <c r="E419" s="17" t="s">
        <v>75</v>
      </c>
      <c r="F419" s="17" t="s">
        <v>2061</v>
      </c>
      <c r="G419" s="17" t="s">
        <v>2255</v>
      </c>
      <c r="H419" s="17" t="s">
        <v>29</v>
      </c>
      <c r="I419" s="17" t="s">
        <v>277</v>
      </c>
      <c r="J419" s="17" t="s">
        <v>233</v>
      </c>
      <c r="K419" s="19"/>
      <c r="L419" s="19"/>
      <c r="M419" s="19"/>
      <c r="N419" s="19"/>
      <c r="O419" s="17" t="n">
        <v>2</v>
      </c>
      <c r="P419" s="18" t="s">
        <v>2289</v>
      </c>
      <c r="Q419" s="18" t="s">
        <v>2290</v>
      </c>
      <c r="R419" s="18" t="s">
        <v>2306</v>
      </c>
      <c r="S419" s="17" t="s">
        <v>2307</v>
      </c>
      <c r="T419" s="18" t="s">
        <v>2308</v>
      </c>
      <c r="U419" s="19"/>
      <c r="V419" s="18" t="s">
        <v>2309</v>
      </c>
      <c r="W419" s="17" t="s">
        <v>240</v>
      </c>
      <c r="X419" s="17" t="s">
        <v>2156</v>
      </c>
      <c r="Y419" s="17" t="s">
        <v>242</v>
      </c>
      <c r="Z419" s="19"/>
      <c r="AA419" s="19"/>
      <c r="AB419" s="17"/>
      <c r="AC419" s="19"/>
    </row>
    <row r="420" customFormat="false" ht="22.35" hidden="false" customHeight="false" outlineLevel="0" collapsed="false">
      <c r="A420" s="10" t="s">
        <v>2310</v>
      </c>
      <c r="B420" s="17" t="s">
        <v>140</v>
      </c>
      <c r="C420" s="18" t="s">
        <v>141</v>
      </c>
      <c r="D420" s="17" t="s">
        <v>19</v>
      </c>
      <c r="E420" s="17" t="s">
        <v>75</v>
      </c>
      <c r="F420" s="17" t="s">
        <v>2061</v>
      </c>
      <c r="G420" s="17" t="s">
        <v>2255</v>
      </c>
      <c r="H420" s="17" t="s">
        <v>29</v>
      </c>
      <c r="I420" s="17" t="s">
        <v>893</v>
      </c>
      <c r="J420" s="17" t="s">
        <v>233</v>
      </c>
      <c r="K420" s="19"/>
      <c r="L420" s="19"/>
      <c r="M420" s="19"/>
      <c r="N420" s="19"/>
      <c r="O420" s="17" t="n">
        <v>2</v>
      </c>
      <c r="P420" s="18" t="s">
        <v>2289</v>
      </c>
      <c r="Q420" s="18" t="s">
        <v>2311</v>
      </c>
      <c r="R420" s="18" t="s">
        <v>2312</v>
      </c>
      <c r="S420" s="17" t="s">
        <v>2299</v>
      </c>
      <c r="T420" s="18" t="s">
        <v>2313</v>
      </c>
      <c r="U420" s="19"/>
      <c r="V420" s="18" t="s">
        <v>2314</v>
      </c>
      <c r="W420" s="17" t="s">
        <v>240</v>
      </c>
      <c r="X420" s="17" t="s">
        <v>2278</v>
      </c>
      <c r="Y420" s="17" t="s">
        <v>242</v>
      </c>
      <c r="Z420" s="19"/>
      <c r="AA420" s="19"/>
      <c r="AB420" s="17"/>
      <c r="AC420" s="19"/>
    </row>
    <row r="421" customFormat="false" ht="22.35" hidden="false" customHeight="false" outlineLevel="0" collapsed="false">
      <c r="A421" s="10" t="s">
        <v>2315</v>
      </c>
      <c r="B421" s="17" t="s">
        <v>140</v>
      </c>
      <c r="C421" s="18" t="s">
        <v>141</v>
      </c>
      <c r="D421" s="17" t="s">
        <v>19</v>
      </c>
      <c r="E421" s="17" t="s">
        <v>75</v>
      </c>
      <c r="F421" s="17" t="s">
        <v>2061</v>
      </c>
      <c r="G421" s="17" t="s">
        <v>2255</v>
      </c>
      <c r="H421" s="17" t="s">
        <v>29</v>
      </c>
      <c r="I421" s="17" t="s">
        <v>316</v>
      </c>
      <c r="J421" s="17" t="s">
        <v>233</v>
      </c>
      <c r="K421" s="19"/>
      <c r="L421" s="19"/>
      <c r="M421" s="19"/>
      <c r="N421" s="19"/>
      <c r="O421" s="17" t="n">
        <v>2</v>
      </c>
      <c r="P421" s="18" t="s">
        <v>2289</v>
      </c>
      <c r="Q421" s="18" t="s">
        <v>2311</v>
      </c>
      <c r="R421" s="18" t="s">
        <v>2316</v>
      </c>
      <c r="S421" s="17" t="s">
        <v>2310</v>
      </c>
      <c r="T421" s="18" t="s">
        <v>2317</v>
      </c>
      <c r="U421" s="19"/>
      <c r="V421" s="18" t="s">
        <v>2318</v>
      </c>
      <c r="W421" s="17" t="s">
        <v>240</v>
      </c>
      <c r="X421" s="17" t="s">
        <v>2278</v>
      </c>
      <c r="Y421" s="17" t="s">
        <v>242</v>
      </c>
      <c r="Z421" s="19"/>
      <c r="AA421" s="19"/>
      <c r="AB421" s="17"/>
      <c r="AC421" s="19"/>
    </row>
    <row r="422" customFormat="false" ht="22.35" hidden="false" customHeight="false" outlineLevel="0" collapsed="false">
      <c r="A422" s="10" t="s">
        <v>2319</v>
      </c>
      <c r="B422" s="17" t="s">
        <v>140</v>
      </c>
      <c r="C422" s="18" t="s">
        <v>141</v>
      </c>
      <c r="D422" s="17" t="s">
        <v>19</v>
      </c>
      <c r="E422" s="17" t="s">
        <v>75</v>
      </c>
      <c r="F422" s="17" t="s">
        <v>2061</v>
      </c>
      <c r="G422" s="17" t="s">
        <v>2255</v>
      </c>
      <c r="H422" s="17" t="s">
        <v>29</v>
      </c>
      <c r="I422" s="17" t="s">
        <v>316</v>
      </c>
      <c r="J422" s="17" t="s">
        <v>233</v>
      </c>
      <c r="K422" s="19"/>
      <c r="L422" s="19"/>
      <c r="M422" s="19"/>
      <c r="N422" s="19"/>
      <c r="O422" s="17" t="n">
        <v>2</v>
      </c>
      <c r="P422" s="18" t="s">
        <v>2289</v>
      </c>
      <c r="Q422" s="18" t="s">
        <v>2311</v>
      </c>
      <c r="R422" s="18" t="s">
        <v>2320</v>
      </c>
      <c r="S422" s="17" t="s">
        <v>2321</v>
      </c>
      <c r="T422" s="18" t="s">
        <v>2322</v>
      </c>
      <c r="U422" s="19"/>
      <c r="V422" s="18" t="s">
        <v>2323</v>
      </c>
      <c r="W422" s="17" t="s">
        <v>240</v>
      </c>
      <c r="X422" s="17" t="s">
        <v>2078</v>
      </c>
      <c r="Y422" s="17" t="s">
        <v>242</v>
      </c>
      <c r="Z422" s="19"/>
      <c r="AA422" s="19"/>
      <c r="AB422" s="17"/>
      <c r="AC422" s="19"/>
    </row>
    <row r="423" customFormat="false" ht="22.35" hidden="false" customHeight="false" outlineLevel="0" collapsed="false">
      <c r="A423" s="10" t="s">
        <v>2324</v>
      </c>
      <c r="B423" s="17" t="s">
        <v>140</v>
      </c>
      <c r="C423" s="18" t="s">
        <v>141</v>
      </c>
      <c r="D423" s="17" t="s">
        <v>19</v>
      </c>
      <c r="E423" s="17" t="s">
        <v>75</v>
      </c>
      <c r="F423" s="17" t="s">
        <v>2061</v>
      </c>
      <c r="G423" s="17" t="s">
        <v>2255</v>
      </c>
      <c r="H423" s="17" t="s">
        <v>29</v>
      </c>
      <c r="I423" s="17" t="s">
        <v>893</v>
      </c>
      <c r="J423" s="17" t="s">
        <v>233</v>
      </c>
      <c r="K423" s="19"/>
      <c r="L423" s="19"/>
      <c r="M423" s="19"/>
      <c r="N423" s="19"/>
      <c r="O423" s="17" t="n">
        <v>2</v>
      </c>
      <c r="P423" s="18" t="s">
        <v>2289</v>
      </c>
      <c r="Q423" s="18" t="s">
        <v>2311</v>
      </c>
      <c r="R423" s="18" t="s">
        <v>2325</v>
      </c>
      <c r="S423" s="17" t="s">
        <v>2319</v>
      </c>
      <c r="T423" s="18" t="s">
        <v>2326</v>
      </c>
      <c r="U423" s="19"/>
      <c r="V423" s="18" t="s">
        <v>2327</v>
      </c>
      <c r="W423" s="17" t="s">
        <v>240</v>
      </c>
      <c r="X423" s="17" t="s">
        <v>2156</v>
      </c>
      <c r="Y423" s="17" t="s">
        <v>242</v>
      </c>
      <c r="Z423" s="19"/>
      <c r="AA423" s="19"/>
      <c r="AB423" s="17"/>
      <c r="AC423" s="19"/>
    </row>
    <row r="424" customFormat="false" ht="22.35" hidden="false" customHeight="false" outlineLevel="0" collapsed="false">
      <c r="A424" s="10" t="s">
        <v>2328</v>
      </c>
      <c r="B424" s="17" t="s">
        <v>140</v>
      </c>
      <c r="C424" s="18" t="s">
        <v>141</v>
      </c>
      <c r="D424" s="17" t="s">
        <v>19</v>
      </c>
      <c r="E424" s="17" t="s">
        <v>75</v>
      </c>
      <c r="F424" s="17" t="s">
        <v>2061</v>
      </c>
      <c r="G424" s="17" t="s">
        <v>2255</v>
      </c>
      <c r="H424" s="17" t="s">
        <v>29</v>
      </c>
      <c r="I424" s="17" t="s">
        <v>316</v>
      </c>
      <c r="J424" s="17" t="s">
        <v>233</v>
      </c>
      <c r="K424" s="19"/>
      <c r="L424" s="19"/>
      <c r="M424" s="19"/>
      <c r="N424" s="19"/>
      <c r="O424" s="17" t="n">
        <v>2</v>
      </c>
      <c r="P424" s="18" t="s">
        <v>2289</v>
      </c>
      <c r="Q424" s="18" t="s">
        <v>2311</v>
      </c>
      <c r="R424" s="18" t="s">
        <v>2329</v>
      </c>
      <c r="S424" s="17" t="s">
        <v>2279</v>
      </c>
      <c r="T424" s="18" t="s">
        <v>2330</v>
      </c>
      <c r="U424" s="19"/>
      <c r="V424" s="18" t="s">
        <v>2331</v>
      </c>
      <c r="W424" s="17" t="s">
        <v>240</v>
      </c>
      <c r="X424" s="17" t="s">
        <v>2078</v>
      </c>
      <c r="Y424" s="17" t="s">
        <v>242</v>
      </c>
      <c r="Z424" s="19"/>
      <c r="AA424" s="19"/>
      <c r="AB424" s="17"/>
      <c r="AC424" s="19"/>
    </row>
    <row r="425" customFormat="false" ht="22.35" hidden="false" customHeight="false" outlineLevel="0" collapsed="false">
      <c r="A425" s="10" t="s">
        <v>2332</v>
      </c>
      <c r="B425" s="17" t="s">
        <v>140</v>
      </c>
      <c r="C425" s="18" t="s">
        <v>141</v>
      </c>
      <c r="D425" s="17" t="s">
        <v>19</v>
      </c>
      <c r="E425" s="17" t="s">
        <v>75</v>
      </c>
      <c r="F425" s="17" t="s">
        <v>2061</v>
      </c>
      <c r="G425" s="17" t="s">
        <v>2255</v>
      </c>
      <c r="H425" s="17" t="s">
        <v>29</v>
      </c>
      <c r="I425" s="17" t="s">
        <v>277</v>
      </c>
      <c r="J425" s="17" t="s">
        <v>233</v>
      </c>
      <c r="K425" s="19"/>
      <c r="L425" s="19"/>
      <c r="M425" s="19"/>
      <c r="N425" s="19"/>
      <c r="O425" s="17" t="n">
        <v>2</v>
      </c>
      <c r="P425" s="18" t="s">
        <v>2289</v>
      </c>
      <c r="Q425" s="18" t="s">
        <v>2311</v>
      </c>
      <c r="R425" s="18" t="s">
        <v>2333</v>
      </c>
      <c r="S425" s="17" t="s">
        <v>2328</v>
      </c>
      <c r="T425" s="18" t="s">
        <v>2308</v>
      </c>
      <c r="U425" s="19"/>
      <c r="V425" s="18" t="s">
        <v>2334</v>
      </c>
      <c r="W425" s="17" t="s">
        <v>240</v>
      </c>
      <c r="X425" s="17" t="s">
        <v>2156</v>
      </c>
      <c r="Y425" s="17" t="s">
        <v>242</v>
      </c>
      <c r="Z425" s="19"/>
      <c r="AA425" s="19"/>
      <c r="AB425" s="17"/>
      <c r="AC425" s="19"/>
    </row>
    <row r="426" customFormat="false" ht="22.35" hidden="false" customHeight="false" outlineLevel="0" collapsed="false">
      <c r="A426" s="10" t="s">
        <v>2335</v>
      </c>
      <c r="B426" s="17" t="s">
        <v>140</v>
      </c>
      <c r="C426" s="18" t="s">
        <v>141</v>
      </c>
      <c r="D426" s="17" t="s">
        <v>19</v>
      </c>
      <c r="E426" s="17" t="s">
        <v>75</v>
      </c>
      <c r="F426" s="17" t="s">
        <v>2061</v>
      </c>
      <c r="G426" s="17" t="s">
        <v>2255</v>
      </c>
      <c r="H426" s="17" t="s">
        <v>29</v>
      </c>
      <c r="I426" s="17" t="s">
        <v>283</v>
      </c>
      <c r="J426" s="17" t="s">
        <v>233</v>
      </c>
      <c r="K426" s="19"/>
      <c r="L426" s="19"/>
      <c r="M426" s="19"/>
      <c r="N426" s="19"/>
      <c r="O426" s="17" t="n">
        <v>2</v>
      </c>
      <c r="P426" s="18" t="s">
        <v>2289</v>
      </c>
      <c r="Q426" s="18" t="s">
        <v>2311</v>
      </c>
      <c r="R426" s="18" t="s">
        <v>2336</v>
      </c>
      <c r="S426" s="17" t="s">
        <v>2332</v>
      </c>
      <c r="T426" s="18" t="s">
        <v>2337</v>
      </c>
      <c r="U426" s="19"/>
      <c r="V426" s="18" t="s">
        <v>2338</v>
      </c>
      <c r="W426" s="17" t="s">
        <v>240</v>
      </c>
      <c r="X426" s="17" t="s">
        <v>2339</v>
      </c>
      <c r="Y426" s="17" t="s">
        <v>242</v>
      </c>
      <c r="Z426" s="19"/>
      <c r="AA426" s="19"/>
      <c r="AB426" s="17"/>
      <c r="AC426" s="19"/>
    </row>
    <row r="427" customFormat="false" ht="22.35" hidden="false" customHeight="false" outlineLevel="0" collapsed="false">
      <c r="A427" s="10" t="s">
        <v>2340</v>
      </c>
      <c r="B427" s="17" t="s">
        <v>140</v>
      </c>
      <c r="C427" s="18" t="s">
        <v>141</v>
      </c>
      <c r="D427" s="17" t="s">
        <v>19</v>
      </c>
      <c r="E427" s="17" t="s">
        <v>229</v>
      </c>
      <c r="F427" s="17" t="s">
        <v>2061</v>
      </c>
      <c r="G427" s="17" t="s">
        <v>2255</v>
      </c>
      <c r="H427" s="17" t="s">
        <v>29</v>
      </c>
      <c r="I427" s="17" t="s">
        <v>450</v>
      </c>
      <c r="J427" s="17" t="s">
        <v>233</v>
      </c>
      <c r="K427" s="19"/>
      <c r="L427" s="19"/>
      <c r="M427" s="19"/>
      <c r="N427" s="19"/>
      <c r="O427" s="17" t="n">
        <v>2</v>
      </c>
      <c r="P427" s="18" t="s">
        <v>2341</v>
      </c>
      <c r="Q427" s="18" t="s">
        <v>2342</v>
      </c>
      <c r="R427" s="18" t="s">
        <v>2343</v>
      </c>
      <c r="S427" s="17" t="s">
        <v>2274</v>
      </c>
      <c r="T427" s="18" t="s">
        <v>2344</v>
      </c>
      <c r="U427" s="19"/>
      <c r="V427" s="18" t="s">
        <v>2345</v>
      </c>
      <c r="W427" s="17" t="s">
        <v>240</v>
      </c>
      <c r="X427" s="17" t="s">
        <v>2165</v>
      </c>
      <c r="Y427" s="17" t="s">
        <v>242</v>
      </c>
      <c r="Z427" s="19"/>
      <c r="AA427" s="19"/>
      <c r="AB427" s="17"/>
      <c r="AC427" s="19"/>
    </row>
    <row r="428" customFormat="false" ht="22.35" hidden="false" customHeight="false" outlineLevel="0" collapsed="false">
      <c r="A428" s="10" t="s">
        <v>2346</v>
      </c>
      <c r="B428" s="17" t="s">
        <v>140</v>
      </c>
      <c r="C428" s="18" t="s">
        <v>141</v>
      </c>
      <c r="D428" s="17" t="s">
        <v>19</v>
      </c>
      <c r="E428" s="17" t="s">
        <v>229</v>
      </c>
      <c r="F428" s="17" t="s">
        <v>2061</v>
      </c>
      <c r="G428" s="17" t="s">
        <v>2255</v>
      </c>
      <c r="H428" s="17" t="s">
        <v>29</v>
      </c>
      <c r="I428" s="17" t="s">
        <v>316</v>
      </c>
      <c r="J428" s="17" t="s">
        <v>233</v>
      </c>
      <c r="K428" s="19"/>
      <c r="L428" s="19"/>
      <c r="M428" s="19"/>
      <c r="N428" s="19"/>
      <c r="O428" s="17" t="n">
        <v>2</v>
      </c>
      <c r="P428" s="18" t="s">
        <v>2341</v>
      </c>
      <c r="Q428" s="18" t="s">
        <v>2342</v>
      </c>
      <c r="R428" s="18" t="s">
        <v>2347</v>
      </c>
      <c r="S428" s="17" t="s">
        <v>2195</v>
      </c>
      <c r="T428" s="18" t="s">
        <v>2196</v>
      </c>
      <c r="U428" s="19"/>
      <c r="V428" s="18" t="s">
        <v>2348</v>
      </c>
      <c r="W428" s="17" t="s">
        <v>240</v>
      </c>
      <c r="X428" s="17" t="s">
        <v>2349</v>
      </c>
      <c r="Y428" s="17" t="s">
        <v>242</v>
      </c>
      <c r="Z428" s="19"/>
      <c r="AA428" s="19"/>
      <c r="AB428" s="17"/>
      <c r="AC428" s="19"/>
    </row>
    <row r="429" customFormat="false" ht="22.35" hidden="false" customHeight="false" outlineLevel="0" collapsed="false">
      <c r="A429" s="10" t="s">
        <v>2350</v>
      </c>
      <c r="B429" s="17" t="s">
        <v>140</v>
      </c>
      <c r="C429" s="18" t="s">
        <v>141</v>
      </c>
      <c r="D429" s="17" t="s">
        <v>19</v>
      </c>
      <c r="E429" s="17" t="s">
        <v>75</v>
      </c>
      <c r="F429" s="17" t="s">
        <v>2061</v>
      </c>
      <c r="G429" s="17" t="s">
        <v>2255</v>
      </c>
      <c r="H429" s="17" t="s">
        <v>29</v>
      </c>
      <c r="I429" s="17" t="s">
        <v>277</v>
      </c>
      <c r="J429" s="17" t="s">
        <v>233</v>
      </c>
      <c r="K429" s="19"/>
      <c r="L429" s="19"/>
      <c r="M429" s="19"/>
      <c r="N429" s="19"/>
      <c r="O429" s="17" t="n">
        <v>2</v>
      </c>
      <c r="P429" s="18" t="s">
        <v>2341</v>
      </c>
      <c r="Q429" s="18" t="s">
        <v>2342</v>
      </c>
      <c r="R429" s="18" t="s">
        <v>2351</v>
      </c>
      <c r="S429" s="17" t="s">
        <v>2340</v>
      </c>
      <c r="T429" s="18" t="s">
        <v>2352</v>
      </c>
      <c r="U429" s="19"/>
      <c r="V429" s="18" t="s">
        <v>2353</v>
      </c>
      <c r="W429" s="17" t="s">
        <v>240</v>
      </c>
      <c r="X429" s="17" t="s">
        <v>2156</v>
      </c>
      <c r="Y429" s="17" t="s">
        <v>242</v>
      </c>
      <c r="Z429" s="19"/>
      <c r="AA429" s="19"/>
      <c r="AB429" s="17"/>
      <c r="AC429" s="19"/>
    </row>
    <row r="430" customFormat="false" ht="15" hidden="false" customHeight="false" outlineLevel="0" collapsed="false">
      <c r="A430" s="10" t="s">
        <v>2354</v>
      </c>
      <c r="B430" s="17" t="s">
        <v>140</v>
      </c>
      <c r="C430" s="18" t="s">
        <v>141</v>
      </c>
      <c r="D430" s="17" t="s">
        <v>19</v>
      </c>
      <c r="E430" s="17" t="s">
        <v>75</v>
      </c>
      <c r="F430" s="17" t="s">
        <v>2061</v>
      </c>
      <c r="G430" s="17" t="s">
        <v>2255</v>
      </c>
      <c r="H430" s="17" t="s">
        <v>29</v>
      </c>
      <c r="I430" s="17" t="s">
        <v>283</v>
      </c>
      <c r="J430" s="17" t="s">
        <v>233</v>
      </c>
      <c r="K430" s="19"/>
      <c r="L430" s="19"/>
      <c r="M430" s="19"/>
      <c r="N430" s="19"/>
      <c r="O430" s="17" t="n">
        <v>2</v>
      </c>
      <c r="P430" s="18" t="s">
        <v>2341</v>
      </c>
      <c r="Q430" s="18" t="s">
        <v>2342</v>
      </c>
      <c r="R430" s="18" t="s">
        <v>2355</v>
      </c>
      <c r="S430" s="17" t="s">
        <v>2350</v>
      </c>
      <c r="T430" s="18" t="s">
        <v>2105</v>
      </c>
      <c r="U430" s="19"/>
      <c r="V430" s="18" t="s">
        <v>2106</v>
      </c>
      <c r="W430" s="17" t="s">
        <v>240</v>
      </c>
      <c r="X430" s="17" t="s">
        <v>2107</v>
      </c>
      <c r="Y430" s="17" t="s">
        <v>242</v>
      </c>
      <c r="Z430" s="19"/>
      <c r="AA430" s="19"/>
      <c r="AB430" s="17"/>
      <c r="AC430" s="19"/>
    </row>
    <row r="431" customFormat="false" ht="22.35" hidden="false" customHeight="false" outlineLevel="0" collapsed="false">
      <c r="A431" s="10" t="s">
        <v>2356</v>
      </c>
      <c r="B431" s="17" t="s">
        <v>140</v>
      </c>
      <c r="C431" s="18" t="s">
        <v>141</v>
      </c>
      <c r="D431" s="17" t="s">
        <v>19</v>
      </c>
      <c r="E431" s="17" t="s">
        <v>75</v>
      </c>
      <c r="F431" s="17" t="s">
        <v>2061</v>
      </c>
      <c r="G431" s="17" t="s">
        <v>2255</v>
      </c>
      <c r="H431" s="17" t="s">
        <v>29</v>
      </c>
      <c r="I431" s="17" t="s">
        <v>333</v>
      </c>
      <c r="J431" s="17" t="s">
        <v>233</v>
      </c>
      <c r="K431" s="19"/>
      <c r="L431" s="19"/>
      <c r="M431" s="19"/>
      <c r="N431" s="19"/>
      <c r="O431" s="17" t="n">
        <v>2</v>
      </c>
      <c r="P431" s="18" t="s">
        <v>2357</v>
      </c>
      <c r="Q431" s="18" t="s">
        <v>2358</v>
      </c>
      <c r="R431" s="18" t="s">
        <v>2359</v>
      </c>
      <c r="S431" s="17" t="s">
        <v>2315</v>
      </c>
      <c r="T431" s="18" t="s">
        <v>1643</v>
      </c>
      <c r="U431" s="19"/>
      <c r="V431" s="18" t="s">
        <v>2360</v>
      </c>
      <c r="W431" s="17" t="s">
        <v>240</v>
      </c>
      <c r="X431" s="17" t="s">
        <v>2188</v>
      </c>
      <c r="Y431" s="17" t="s">
        <v>242</v>
      </c>
      <c r="Z431" s="19"/>
      <c r="AA431" s="19"/>
      <c r="AB431" s="17"/>
      <c r="AC431" s="19"/>
    </row>
    <row r="432" customFormat="false" ht="22.35" hidden="false" customHeight="false" outlineLevel="0" collapsed="false">
      <c r="A432" s="10" t="s">
        <v>2361</v>
      </c>
      <c r="B432" s="17" t="s">
        <v>140</v>
      </c>
      <c r="C432" s="18" t="s">
        <v>141</v>
      </c>
      <c r="D432" s="17" t="s">
        <v>19</v>
      </c>
      <c r="E432" s="17" t="s">
        <v>75</v>
      </c>
      <c r="F432" s="17" t="s">
        <v>2061</v>
      </c>
      <c r="G432" s="17" t="s">
        <v>2255</v>
      </c>
      <c r="H432" s="17" t="s">
        <v>29</v>
      </c>
      <c r="I432" s="17" t="s">
        <v>316</v>
      </c>
      <c r="J432" s="17" t="s">
        <v>233</v>
      </c>
      <c r="K432" s="19"/>
      <c r="L432" s="19"/>
      <c r="M432" s="19"/>
      <c r="N432" s="19"/>
      <c r="O432" s="17" t="n">
        <v>2</v>
      </c>
      <c r="P432" s="18" t="s">
        <v>2357</v>
      </c>
      <c r="Q432" s="18" t="s">
        <v>2358</v>
      </c>
      <c r="R432" s="18" t="s">
        <v>2362</v>
      </c>
      <c r="S432" s="17" t="s">
        <v>2261</v>
      </c>
      <c r="T432" s="18" t="s">
        <v>2191</v>
      </c>
      <c r="U432" s="19"/>
      <c r="V432" s="18" t="s">
        <v>2363</v>
      </c>
      <c r="W432" s="17" t="s">
        <v>240</v>
      </c>
      <c r="X432" s="17" t="s">
        <v>2188</v>
      </c>
      <c r="Y432" s="17" t="s">
        <v>242</v>
      </c>
      <c r="Z432" s="19"/>
      <c r="AA432" s="19"/>
      <c r="AB432" s="17"/>
      <c r="AC432" s="19"/>
    </row>
    <row r="433" customFormat="false" ht="15" hidden="false" customHeight="false" outlineLevel="0" collapsed="false">
      <c r="A433" s="10" t="s">
        <v>2364</v>
      </c>
      <c r="B433" s="17" t="s">
        <v>140</v>
      </c>
      <c r="C433" s="18" t="s">
        <v>141</v>
      </c>
      <c r="D433" s="17" t="s">
        <v>19</v>
      </c>
      <c r="E433" s="17" t="s">
        <v>75</v>
      </c>
      <c r="F433" s="17" t="s">
        <v>2061</v>
      </c>
      <c r="G433" s="17" t="s">
        <v>2255</v>
      </c>
      <c r="H433" s="17" t="s">
        <v>29</v>
      </c>
      <c r="I433" s="17" t="s">
        <v>283</v>
      </c>
      <c r="J433" s="17" t="s">
        <v>233</v>
      </c>
      <c r="K433" s="19"/>
      <c r="L433" s="19"/>
      <c r="M433" s="19"/>
      <c r="N433" s="19"/>
      <c r="O433" s="17" t="n">
        <v>2</v>
      </c>
      <c r="P433" s="18" t="s">
        <v>2357</v>
      </c>
      <c r="Q433" s="18" t="s">
        <v>2358</v>
      </c>
      <c r="R433" s="18" t="s">
        <v>2365</v>
      </c>
      <c r="S433" s="17" t="s">
        <v>2361</v>
      </c>
      <c r="T433" s="18" t="s">
        <v>2105</v>
      </c>
      <c r="U433" s="19"/>
      <c r="V433" s="18" t="s">
        <v>2106</v>
      </c>
      <c r="W433" s="17" t="s">
        <v>240</v>
      </c>
      <c r="X433" s="17" t="s">
        <v>2107</v>
      </c>
      <c r="Y433" s="17" t="s">
        <v>242</v>
      </c>
      <c r="Z433" s="19"/>
      <c r="AA433" s="19"/>
      <c r="AB433" s="17"/>
      <c r="AC433" s="19"/>
    </row>
    <row r="434" customFormat="false" ht="22.35" hidden="false" customHeight="false" outlineLevel="0" collapsed="false">
      <c r="A434" s="10" t="s">
        <v>2366</v>
      </c>
      <c r="B434" s="17" t="s">
        <v>140</v>
      </c>
      <c r="C434" s="18" t="s">
        <v>141</v>
      </c>
      <c r="D434" s="17" t="s">
        <v>19</v>
      </c>
      <c r="E434" s="17" t="s">
        <v>75</v>
      </c>
      <c r="F434" s="17" t="s">
        <v>2061</v>
      </c>
      <c r="G434" s="17" t="s">
        <v>2255</v>
      </c>
      <c r="H434" s="17" t="s">
        <v>29</v>
      </c>
      <c r="I434" s="17" t="s">
        <v>316</v>
      </c>
      <c r="J434" s="17" t="s">
        <v>233</v>
      </c>
      <c r="K434" s="19"/>
      <c r="L434" s="19"/>
      <c r="M434" s="19"/>
      <c r="N434" s="19"/>
      <c r="O434" s="17" t="n">
        <v>2</v>
      </c>
      <c r="P434" s="18" t="s">
        <v>2367</v>
      </c>
      <c r="Q434" s="18" t="s">
        <v>2368</v>
      </c>
      <c r="R434" s="18" t="s">
        <v>2369</v>
      </c>
      <c r="S434" s="17" t="s">
        <v>2332</v>
      </c>
      <c r="T434" s="18" t="s">
        <v>2370</v>
      </c>
      <c r="U434" s="19"/>
      <c r="V434" s="18" t="s">
        <v>2371</v>
      </c>
      <c r="W434" s="17" t="s">
        <v>240</v>
      </c>
      <c r="X434" s="17" t="s">
        <v>2206</v>
      </c>
      <c r="Y434" s="17" t="s">
        <v>242</v>
      </c>
      <c r="Z434" s="19"/>
      <c r="AA434" s="19"/>
      <c r="AB434" s="17"/>
      <c r="AC434" s="19"/>
    </row>
    <row r="435" customFormat="false" ht="22.35" hidden="false" customHeight="false" outlineLevel="0" collapsed="false">
      <c r="A435" s="10" t="s">
        <v>2372</v>
      </c>
      <c r="B435" s="17" t="s">
        <v>140</v>
      </c>
      <c r="C435" s="18" t="s">
        <v>141</v>
      </c>
      <c r="D435" s="17" t="s">
        <v>19</v>
      </c>
      <c r="E435" s="17" t="s">
        <v>75</v>
      </c>
      <c r="F435" s="17" t="s">
        <v>2061</v>
      </c>
      <c r="G435" s="17" t="s">
        <v>2255</v>
      </c>
      <c r="H435" s="17" t="s">
        <v>29</v>
      </c>
      <c r="I435" s="17" t="s">
        <v>289</v>
      </c>
      <c r="J435" s="17" t="s">
        <v>233</v>
      </c>
      <c r="K435" s="19"/>
      <c r="L435" s="19"/>
      <c r="M435" s="19"/>
      <c r="N435" s="19"/>
      <c r="O435" s="17" t="n">
        <v>2</v>
      </c>
      <c r="P435" s="18" t="s">
        <v>2367</v>
      </c>
      <c r="Q435" s="18" t="s">
        <v>2368</v>
      </c>
      <c r="R435" s="18" t="s">
        <v>2373</v>
      </c>
      <c r="S435" s="17" t="s">
        <v>2366</v>
      </c>
      <c r="T435" s="18" t="s">
        <v>2374</v>
      </c>
      <c r="U435" s="19"/>
      <c r="V435" s="18" t="s">
        <v>2375</v>
      </c>
      <c r="W435" s="17" t="s">
        <v>240</v>
      </c>
      <c r="X435" s="17" t="s">
        <v>2206</v>
      </c>
      <c r="Y435" s="17" t="s">
        <v>242</v>
      </c>
      <c r="Z435" s="19"/>
      <c r="AA435" s="19"/>
      <c r="AB435" s="17"/>
      <c r="AC435" s="19"/>
    </row>
    <row r="436" customFormat="false" ht="22.35" hidden="false" customHeight="false" outlineLevel="0" collapsed="false">
      <c r="A436" s="10" t="s">
        <v>2376</v>
      </c>
      <c r="B436" s="17" t="s">
        <v>140</v>
      </c>
      <c r="C436" s="18" t="s">
        <v>141</v>
      </c>
      <c r="D436" s="17" t="s">
        <v>19</v>
      </c>
      <c r="E436" s="17" t="s">
        <v>75</v>
      </c>
      <c r="F436" s="17" t="s">
        <v>2061</v>
      </c>
      <c r="G436" s="17" t="s">
        <v>2255</v>
      </c>
      <c r="H436" s="17" t="s">
        <v>29</v>
      </c>
      <c r="I436" s="17" t="s">
        <v>289</v>
      </c>
      <c r="J436" s="17" t="s">
        <v>233</v>
      </c>
      <c r="K436" s="19"/>
      <c r="L436" s="19"/>
      <c r="M436" s="19"/>
      <c r="N436" s="19"/>
      <c r="O436" s="17" t="n">
        <v>2</v>
      </c>
      <c r="P436" s="18" t="s">
        <v>2367</v>
      </c>
      <c r="Q436" s="18" t="s">
        <v>2368</v>
      </c>
      <c r="R436" s="18" t="s">
        <v>2377</v>
      </c>
      <c r="S436" s="17" t="s">
        <v>2366</v>
      </c>
      <c r="T436" s="18" t="s">
        <v>2378</v>
      </c>
      <c r="U436" s="19"/>
      <c r="V436" s="18" t="s">
        <v>2379</v>
      </c>
      <c r="W436" s="17" t="s">
        <v>240</v>
      </c>
      <c r="X436" s="17" t="s">
        <v>2339</v>
      </c>
      <c r="Y436" s="17" t="s">
        <v>242</v>
      </c>
      <c r="Z436" s="19"/>
      <c r="AA436" s="19"/>
      <c r="AB436" s="17"/>
      <c r="AC436" s="19"/>
    </row>
    <row r="437" customFormat="false" ht="22.35" hidden="false" customHeight="false" outlineLevel="0" collapsed="false">
      <c r="A437" s="10" t="s">
        <v>2380</v>
      </c>
      <c r="B437" s="17" t="s">
        <v>140</v>
      </c>
      <c r="C437" s="18" t="s">
        <v>141</v>
      </c>
      <c r="D437" s="17" t="s">
        <v>19</v>
      </c>
      <c r="E437" s="17" t="s">
        <v>75</v>
      </c>
      <c r="F437" s="17" t="s">
        <v>2061</v>
      </c>
      <c r="G437" s="17" t="s">
        <v>2255</v>
      </c>
      <c r="H437" s="17" t="s">
        <v>29</v>
      </c>
      <c r="I437" s="17" t="s">
        <v>283</v>
      </c>
      <c r="J437" s="17" t="s">
        <v>233</v>
      </c>
      <c r="K437" s="19"/>
      <c r="L437" s="19"/>
      <c r="M437" s="19"/>
      <c r="N437" s="19"/>
      <c r="O437" s="17" t="n">
        <v>2</v>
      </c>
      <c r="P437" s="18" t="s">
        <v>2367</v>
      </c>
      <c r="Q437" s="18" t="s">
        <v>2368</v>
      </c>
      <c r="R437" s="18" t="s">
        <v>2381</v>
      </c>
      <c r="S437" s="17" t="s">
        <v>2376</v>
      </c>
      <c r="T437" s="18" t="s">
        <v>2105</v>
      </c>
      <c r="U437" s="19"/>
      <c r="V437" s="18" t="s">
        <v>2106</v>
      </c>
      <c r="W437" s="17" t="s">
        <v>240</v>
      </c>
      <c r="X437" s="17" t="s">
        <v>2107</v>
      </c>
      <c r="Y437" s="17" t="s">
        <v>242</v>
      </c>
      <c r="Z437" s="19"/>
      <c r="AA437" s="19"/>
      <c r="AB437" s="17"/>
      <c r="AC437" s="19"/>
    </row>
    <row r="438" customFormat="false" ht="22.35" hidden="false" customHeight="false" outlineLevel="0" collapsed="false">
      <c r="A438" s="10" t="s">
        <v>2382</v>
      </c>
      <c r="B438" s="17" t="s">
        <v>140</v>
      </c>
      <c r="C438" s="18" t="s">
        <v>141</v>
      </c>
      <c r="D438" s="17" t="s">
        <v>19</v>
      </c>
      <c r="E438" s="17" t="s">
        <v>75</v>
      </c>
      <c r="F438" s="17" t="s">
        <v>2061</v>
      </c>
      <c r="G438" s="17" t="s">
        <v>2255</v>
      </c>
      <c r="H438" s="17" t="s">
        <v>29</v>
      </c>
      <c r="I438" s="17" t="s">
        <v>289</v>
      </c>
      <c r="J438" s="17" t="s">
        <v>233</v>
      </c>
      <c r="K438" s="19"/>
      <c r="L438" s="19"/>
      <c r="M438" s="19"/>
      <c r="N438" s="19"/>
      <c r="O438" s="17" t="n">
        <v>2</v>
      </c>
      <c r="P438" s="18" t="s">
        <v>2383</v>
      </c>
      <c r="Q438" s="18" t="s">
        <v>2223</v>
      </c>
      <c r="R438" s="18" t="s">
        <v>2384</v>
      </c>
      <c r="S438" s="17" t="s">
        <v>2282</v>
      </c>
      <c r="T438" s="18" t="s">
        <v>2385</v>
      </c>
      <c r="U438" s="19"/>
      <c r="V438" s="18" t="s">
        <v>2386</v>
      </c>
      <c r="W438" s="17" t="s">
        <v>240</v>
      </c>
      <c r="X438" s="17" t="s">
        <v>2227</v>
      </c>
      <c r="Y438" s="17" t="s">
        <v>242</v>
      </c>
      <c r="Z438" s="19"/>
      <c r="AA438" s="19"/>
      <c r="AB438" s="17"/>
      <c r="AC438" s="19"/>
    </row>
    <row r="439" customFormat="false" ht="15" hidden="false" customHeight="false" outlineLevel="0" collapsed="false">
      <c r="A439" s="10" t="s">
        <v>2387</v>
      </c>
      <c r="B439" s="17" t="s">
        <v>140</v>
      </c>
      <c r="C439" s="18" t="s">
        <v>141</v>
      </c>
      <c r="D439" s="17" t="s">
        <v>19</v>
      </c>
      <c r="E439" s="17" t="s">
        <v>229</v>
      </c>
      <c r="F439" s="17" t="s">
        <v>2061</v>
      </c>
      <c r="G439" s="17" t="s">
        <v>2255</v>
      </c>
      <c r="H439" s="17" t="s">
        <v>29</v>
      </c>
      <c r="I439" s="17" t="s">
        <v>289</v>
      </c>
      <c r="J439" s="17" t="s">
        <v>233</v>
      </c>
      <c r="K439" s="19"/>
      <c r="L439" s="19"/>
      <c r="M439" s="19"/>
      <c r="N439" s="19"/>
      <c r="O439" s="17" t="n">
        <v>2</v>
      </c>
      <c r="P439" s="18" t="s">
        <v>2383</v>
      </c>
      <c r="Q439" s="18" t="s">
        <v>2223</v>
      </c>
      <c r="R439" s="18" t="s">
        <v>2388</v>
      </c>
      <c r="S439" s="17" t="s">
        <v>2382</v>
      </c>
      <c r="T439" s="18" t="s">
        <v>2389</v>
      </c>
      <c r="U439" s="19"/>
      <c r="V439" s="18" t="s">
        <v>2390</v>
      </c>
      <c r="W439" s="17" t="s">
        <v>383</v>
      </c>
      <c r="X439" s="17" t="s">
        <v>378</v>
      </c>
      <c r="Y439" s="17" t="s">
        <v>242</v>
      </c>
      <c r="Z439" s="19"/>
      <c r="AA439" s="19"/>
      <c r="AB439" s="17"/>
      <c r="AC439" s="19"/>
    </row>
    <row r="440" customFormat="false" ht="15" hidden="false" customHeight="false" outlineLevel="0" collapsed="false">
      <c r="A440" s="10" t="s">
        <v>2391</v>
      </c>
      <c r="B440" s="17" t="s">
        <v>140</v>
      </c>
      <c r="C440" s="18" t="s">
        <v>141</v>
      </c>
      <c r="D440" s="17" t="s">
        <v>19</v>
      </c>
      <c r="E440" s="17" t="s">
        <v>75</v>
      </c>
      <c r="F440" s="17" t="s">
        <v>2061</v>
      </c>
      <c r="G440" s="17" t="s">
        <v>2255</v>
      </c>
      <c r="H440" s="17" t="s">
        <v>29</v>
      </c>
      <c r="I440" s="17" t="s">
        <v>289</v>
      </c>
      <c r="J440" s="17" t="s">
        <v>233</v>
      </c>
      <c r="K440" s="19"/>
      <c r="L440" s="19"/>
      <c r="M440" s="19"/>
      <c r="N440" s="19"/>
      <c r="O440" s="17" t="n">
        <v>2</v>
      </c>
      <c r="P440" s="18" t="s">
        <v>2383</v>
      </c>
      <c r="Q440" s="18" t="s">
        <v>2223</v>
      </c>
      <c r="R440" s="18" t="s">
        <v>2392</v>
      </c>
      <c r="S440" s="17" t="s">
        <v>2382</v>
      </c>
      <c r="T440" s="18" t="s">
        <v>2393</v>
      </c>
      <c r="U440" s="19"/>
      <c r="V440" s="18" t="s">
        <v>2394</v>
      </c>
      <c r="W440" s="17" t="s">
        <v>240</v>
      </c>
      <c r="X440" s="17" t="s">
        <v>2227</v>
      </c>
      <c r="Y440" s="17" t="s">
        <v>242</v>
      </c>
      <c r="Z440" s="19"/>
      <c r="AA440" s="19"/>
      <c r="AB440" s="17"/>
      <c r="AC440" s="19"/>
    </row>
    <row r="441" customFormat="false" ht="22.35" hidden="false" customHeight="false" outlineLevel="0" collapsed="false">
      <c r="A441" s="10" t="s">
        <v>2395</v>
      </c>
      <c r="B441" s="17" t="s">
        <v>140</v>
      </c>
      <c r="C441" s="18" t="s">
        <v>141</v>
      </c>
      <c r="D441" s="17" t="s">
        <v>19</v>
      </c>
      <c r="E441" s="17" t="s">
        <v>75</v>
      </c>
      <c r="F441" s="17" t="s">
        <v>2061</v>
      </c>
      <c r="G441" s="17" t="s">
        <v>2255</v>
      </c>
      <c r="H441" s="17" t="s">
        <v>29</v>
      </c>
      <c r="I441" s="17" t="s">
        <v>283</v>
      </c>
      <c r="J441" s="17" t="s">
        <v>233</v>
      </c>
      <c r="K441" s="19"/>
      <c r="L441" s="19"/>
      <c r="M441" s="19"/>
      <c r="N441" s="19"/>
      <c r="O441" s="17" t="n">
        <v>2</v>
      </c>
      <c r="P441" s="18" t="s">
        <v>2383</v>
      </c>
      <c r="Q441" s="18" t="s">
        <v>2223</v>
      </c>
      <c r="R441" s="18" t="s">
        <v>2396</v>
      </c>
      <c r="S441" s="17" t="s">
        <v>2391</v>
      </c>
      <c r="T441" s="18" t="s">
        <v>2105</v>
      </c>
      <c r="U441" s="19"/>
      <c r="V441" s="18" t="s">
        <v>2106</v>
      </c>
      <c r="W441" s="17" t="s">
        <v>240</v>
      </c>
      <c r="X441" s="17" t="s">
        <v>2107</v>
      </c>
      <c r="Y441" s="17" t="s">
        <v>242</v>
      </c>
      <c r="Z441" s="19"/>
      <c r="AA441" s="19"/>
      <c r="AB441" s="17"/>
      <c r="AC441" s="19"/>
    </row>
    <row r="442" customFormat="false" ht="22.35" hidden="false" customHeight="false" outlineLevel="0" collapsed="false">
      <c r="A442" s="10" t="s">
        <v>2397</v>
      </c>
      <c r="B442" s="17" t="s">
        <v>140</v>
      </c>
      <c r="C442" s="18" t="s">
        <v>141</v>
      </c>
      <c r="D442" s="17" t="s">
        <v>19</v>
      </c>
      <c r="E442" s="17" t="s">
        <v>75</v>
      </c>
      <c r="F442" s="17" t="s">
        <v>2061</v>
      </c>
      <c r="G442" s="17" t="s">
        <v>2255</v>
      </c>
      <c r="H442" s="17" t="s">
        <v>29</v>
      </c>
      <c r="I442" s="17" t="s">
        <v>369</v>
      </c>
      <c r="J442" s="17" t="s">
        <v>233</v>
      </c>
      <c r="K442" s="19"/>
      <c r="L442" s="19"/>
      <c r="M442" s="19"/>
      <c r="N442" s="19"/>
      <c r="O442" s="17" t="n">
        <v>2</v>
      </c>
      <c r="P442" s="18" t="s">
        <v>2398</v>
      </c>
      <c r="Q442" s="18" t="s">
        <v>2240</v>
      </c>
      <c r="R442" s="18" t="s">
        <v>2399</v>
      </c>
      <c r="S442" s="17" t="s">
        <v>2332</v>
      </c>
      <c r="T442" s="18" t="s">
        <v>544</v>
      </c>
      <c r="U442" s="19"/>
      <c r="V442" s="18" t="s">
        <v>2242</v>
      </c>
      <c r="W442" s="17" t="s">
        <v>240</v>
      </c>
      <c r="X442" s="17" t="s">
        <v>2243</v>
      </c>
      <c r="Y442" s="17" t="s">
        <v>242</v>
      </c>
      <c r="Z442" s="19"/>
      <c r="AA442" s="19"/>
      <c r="AB442" s="17"/>
      <c r="AC442" s="19"/>
    </row>
    <row r="443" customFormat="false" ht="22.35" hidden="false" customHeight="false" outlineLevel="0" collapsed="false">
      <c r="A443" s="10" t="s">
        <v>2400</v>
      </c>
      <c r="B443" s="17" t="s">
        <v>140</v>
      </c>
      <c r="C443" s="18" t="s">
        <v>141</v>
      </c>
      <c r="D443" s="17" t="s">
        <v>19</v>
      </c>
      <c r="E443" s="17" t="s">
        <v>75</v>
      </c>
      <c r="F443" s="17" t="s">
        <v>2061</v>
      </c>
      <c r="G443" s="17" t="s">
        <v>2255</v>
      </c>
      <c r="H443" s="17" t="s">
        <v>29</v>
      </c>
      <c r="I443" s="17" t="s">
        <v>369</v>
      </c>
      <c r="J443" s="17" t="s">
        <v>233</v>
      </c>
      <c r="K443" s="19"/>
      <c r="L443" s="19"/>
      <c r="M443" s="19"/>
      <c r="N443" s="19"/>
      <c r="O443" s="17" t="n">
        <v>4</v>
      </c>
      <c r="P443" s="18" t="s">
        <v>2398</v>
      </c>
      <c r="Q443" s="18" t="s">
        <v>2240</v>
      </c>
      <c r="R443" s="18" t="s">
        <v>2401</v>
      </c>
      <c r="S443" s="17" t="s">
        <v>2335</v>
      </c>
      <c r="T443" s="18" t="s">
        <v>2402</v>
      </c>
      <c r="U443" s="19"/>
      <c r="V443" s="18" t="s">
        <v>2403</v>
      </c>
      <c r="W443" s="17" t="s">
        <v>240</v>
      </c>
      <c r="X443" s="17" t="s">
        <v>2243</v>
      </c>
      <c r="Y443" s="17" t="s">
        <v>242</v>
      </c>
      <c r="Z443" s="19"/>
      <c r="AA443" s="19"/>
      <c r="AB443" s="17"/>
      <c r="AC443" s="19"/>
    </row>
    <row r="444" customFormat="false" ht="22.35" hidden="false" customHeight="false" outlineLevel="0" collapsed="false">
      <c r="A444" s="10" t="s">
        <v>2404</v>
      </c>
      <c r="B444" s="17" t="s">
        <v>140</v>
      </c>
      <c r="C444" s="18" t="s">
        <v>141</v>
      </c>
      <c r="D444" s="17" t="s">
        <v>19</v>
      </c>
      <c r="E444" s="17" t="s">
        <v>75</v>
      </c>
      <c r="F444" s="17" t="s">
        <v>2061</v>
      </c>
      <c r="G444" s="17" t="s">
        <v>2255</v>
      </c>
      <c r="H444" s="17" t="s">
        <v>29</v>
      </c>
      <c r="I444" s="17" t="s">
        <v>283</v>
      </c>
      <c r="J444" s="17" t="s">
        <v>233</v>
      </c>
      <c r="K444" s="19"/>
      <c r="L444" s="19"/>
      <c r="M444" s="19"/>
      <c r="N444" s="19"/>
      <c r="O444" s="17" t="n">
        <v>2</v>
      </c>
      <c r="P444" s="18" t="s">
        <v>2398</v>
      </c>
      <c r="Q444" s="18" t="s">
        <v>2240</v>
      </c>
      <c r="R444" s="18" t="s">
        <v>2405</v>
      </c>
      <c r="S444" s="17" t="s">
        <v>2400</v>
      </c>
      <c r="T444" s="18" t="s">
        <v>2105</v>
      </c>
      <c r="U444" s="19"/>
      <c r="V444" s="18" t="s">
        <v>2106</v>
      </c>
      <c r="W444" s="17" t="s">
        <v>240</v>
      </c>
      <c r="X444" s="17" t="s">
        <v>2107</v>
      </c>
      <c r="Y444" s="17" t="s">
        <v>242</v>
      </c>
      <c r="Z444" s="19"/>
      <c r="AA444" s="19"/>
      <c r="AB444" s="17" t="s">
        <v>1681</v>
      </c>
      <c r="AC444" s="19"/>
    </row>
    <row r="445" customFormat="false" ht="22.35" hidden="false" customHeight="false" outlineLevel="0" collapsed="false">
      <c r="A445" s="10" t="s">
        <v>2406</v>
      </c>
      <c r="B445" s="17" t="s">
        <v>60</v>
      </c>
      <c r="C445" s="18" t="s">
        <v>61</v>
      </c>
      <c r="D445" s="17" t="s">
        <v>19</v>
      </c>
      <c r="E445" s="17" t="s">
        <v>229</v>
      </c>
      <c r="F445" s="17" t="s">
        <v>2407</v>
      </c>
      <c r="G445" s="17" t="s">
        <v>2408</v>
      </c>
      <c r="H445" s="17" t="s">
        <v>32</v>
      </c>
      <c r="I445" s="17" t="s">
        <v>232</v>
      </c>
      <c r="J445" s="17" t="s">
        <v>233</v>
      </c>
      <c r="K445" s="19"/>
      <c r="L445" s="19"/>
      <c r="M445" s="19"/>
      <c r="N445" s="19"/>
      <c r="O445" s="17" t="n">
        <v>0</v>
      </c>
      <c r="P445" s="18" t="s">
        <v>2409</v>
      </c>
      <c r="Q445" s="18" t="s">
        <v>2410</v>
      </c>
      <c r="R445" s="18" t="s">
        <v>2411</v>
      </c>
      <c r="S445" s="17" t="s">
        <v>237</v>
      </c>
      <c r="T445" s="18" t="s">
        <v>2076</v>
      </c>
      <c r="U445" s="19"/>
      <c r="V445" s="18" t="s">
        <v>2086</v>
      </c>
      <c r="W445" s="17" t="s">
        <v>240</v>
      </c>
      <c r="X445" s="17" t="s">
        <v>2412</v>
      </c>
      <c r="Y445" s="17" t="s">
        <v>242</v>
      </c>
      <c r="Z445" s="19"/>
      <c r="AA445" s="19"/>
      <c r="AB445" s="17"/>
      <c r="AC445" s="19"/>
    </row>
    <row r="446" customFormat="false" ht="22.35" hidden="false" customHeight="false" outlineLevel="0" collapsed="false">
      <c r="A446" s="10" t="s">
        <v>2413</v>
      </c>
      <c r="B446" s="17" t="s">
        <v>60</v>
      </c>
      <c r="C446" s="18" t="s">
        <v>61</v>
      </c>
      <c r="D446" s="17" t="s">
        <v>19</v>
      </c>
      <c r="E446" s="17" t="s">
        <v>229</v>
      </c>
      <c r="F446" s="17" t="s">
        <v>2407</v>
      </c>
      <c r="G446" s="17" t="s">
        <v>2408</v>
      </c>
      <c r="H446" s="17" t="s">
        <v>32</v>
      </c>
      <c r="I446" s="17" t="s">
        <v>232</v>
      </c>
      <c r="J446" s="17" t="s">
        <v>233</v>
      </c>
      <c r="K446" s="19"/>
      <c r="L446" s="19"/>
      <c r="M446" s="19"/>
      <c r="N446" s="19"/>
      <c r="O446" s="17" t="n">
        <v>0</v>
      </c>
      <c r="P446" s="18" t="s">
        <v>2409</v>
      </c>
      <c r="Q446" s="18" t="s">
        <v>2410</v>
      </c>
      <c r="R446" s="18" t="s">
        <v>2414</v>
      </c>
      <c r="S446" s="17" t="s">
        <v>2415</v>
      </c>
      <c r="T446" s="18" t="s">
        <v>2416</v>
      </c>
      <c r="U446" s="19"/>
      <c r="V446" s="18" t="s">
        <v>2417</v>
      </c>
      <c r="W446" s="17" t="s">
        <v>240</v>
      </c>
      <c r="X446" s="17" t="s">
        <v>2412</v>
      </c>
      <c r="Y446" s="17" t="s">
        <v>242</v>
      </c>
      <c r="Z446" s="19"/>
      <c r="AA446" s="19"/>
      <c r="AB446" s="17"/>
      <c r="AC446" s="19"/>
    </row>
    <row r="447" customFormat="false" ht="22.35" hidden="false" customHeight="false" outlineLevel="0" collapsed="false">
      <c r="A447" s="10" t="s">
        <v>2418</v>
      </c>
      <c r="B447" s="17" t="s">
        <v>60</v>
      </c>
      <c r="C447" s="18" t="s">
        <v>61</v>
      </c>
      <c r="D447" s="17" t="s">
        <v>19</v>
      </c>
      <c r="E447" s="17" t="s">
        <v>229</v>
      </c>
      <c r="F447" s="17" t="s">
        <v>2407</v>
      </c>
      <c r="G447" s="17" t="s">
        <v>2408</v>
      </c>
      <c r="H447" s="17" t="s">
        <v>32</v>
      </c>
      <c r="I447" s="17" t="s">
        <v>232</v>
      </c>
      <c r="J447" s="17" t="s">
        <v>233</v>
      </c>
      <c r="K447" s="19"/>
      <c r="L447" s="19"/>
      <c r="M447" s="19"/>
      <c r="N447" s="19"/>
      <c r="O447" s="17" t="n">
        <v>0</v>
      </c>
      <c r="P447" s="18" t="s">
        <v>2409</v>
      </c>
      <c r="Q447" s="18" t="s">
        <v>2410</v>
      </c>
      <c r="R447" s="18" t="s">
        <v>2419</v>
      </c>
      <c r="S447" s="17" t="s">
        <v>443</v>
      </c>
      <c r="T447" s="18" t="s">
        <v>2420</v>
      </c>
      <c r="U447" s="19"/>
      <c r="V447" s="18" t="s">
        <v>2421</v>
      </c>
      <c r="W447" s="17" t="s">
        <v>240</v>
      </c>
      <c r="X447" s="17" t="s">
        <v>2422</v>
      </c>
      <c r="Y447" s="17" t="s">
        <v>242</v>
      </c>
      <c r="Z447" s="19"/>
      <c r="AA447" s="19"/>
      <c r="AB447" s="17"/>
      <c r="AC447" s="19"/>
    </row>
    <row r="448" customFormat="false" ht="22.35" hidden="false" customHeight="false" outlineLevel="0" collapsed="false">
      <c r="A448" s="10" t="s">
        <v>2423</v>
      </c>
      <c r="B448" s="17" t="s">
        <v>60</v>
      </c>
      <c r="C448" s="18" t="s">
        <v>61</v>
      </c>
      <c r="D448" s="17" t="s">
        <v>19</v>
      </c>
      <c r="E448" s="17" t="s">
        <v>229</v>
      </c>
      <c r="F448" s="17" t="s">
        <v>2407</v>
      </c>
      <c r="G448" s="17" t="s">
        <v>2408</v>
      </c>
      <c r="H448" s="17" t="s">
        <v>32</v>
      </c>
      <c r="I448" s="17" t="s">
        <v>1028</v>
      </c>
      <c r="J448" s="17" t="s">
        <v>233</v>
      </c>
      <c r="K448" s="19"/>
      <c r="L448" s="19"/>
      <c r="M448" s="19"/>
      <c r="N448" s="19"/>
      <c r="O448" s="17" t="n">
        <v>0</v>
      </c>
      <c r="P448" s="18" t="s">
        <v>2409</v>
      </c>
      <c r="Q448" s="18" t="s">
        <v>2410</v>
      </c>
      <c r="R448" s="18" t="s">
        <v>2424</v>
      </c>
      <c r="S448" s="17" t="s">
        <v>2415</v>
      </c>
      <c r="T448" s="18" t="s">
        <v>2095</v>
      </c>
      <c r="U448" s="19"/>
      <c r="V448" s="18" t="s">
        <v>2425</v>
      </c>
      <c r="W448" s="17" t="s">
        <v>240</v>
      </c>
      <c r="X448" s="17" t="s">
        <v>2426</v>
      </c>
      <c r="Y448" s="17" t="s">
        <v>242</v>
      </c>
      <c r="Z448" s="19"/>
      <c r="AA448" s="19"/>
      <c r="AB448" s="17"/>
      <c r="AC448" s="19"/>
    </row>
    <row r="449" customFormat="false" ht="22.35" hidden="false" customHeight="false" outlineLevel="0" collapsed="false">
      <c r="A449" s="10" t="s">
        <v>2427</v>
      </c>
      <c r="B449" s="17" t="s">
        <v>60</v>
      </c>
      <c r="C449" s="18" t="s">
        <v>61</v>
      </c>
      <c r="D449" s="17" t="s">
        <v>19</v>
      </c>
      <c r="E449" s="17" t="s">
        <v>229</v>
      </c>
      <c r="F449" s="17" t="s">
        <v>2407</v>
      </c>
      <c r="G449" s="17" t="s">
        <v>2408</v>
      </c>
      <c r="H449" s="17" t="s">
        <v>32</v>
      </c>
      <c r="I449" s="17" t="s">
        <v>928</v>
      </c>
      <c r="J449" s="17" t="s">
        <v>233</v>
      </c>
      <c r="K449" s="19"/>
      <c r="L449" s="19"/>
      <c r="M449" s="19"/>
      <c r="N449" s="19"/>
      <c r="O449" s="17" t="n">
        <v>0</v>
      </c>
      <c r="P449" s="18" t="s">
        <v>2409</v>
      </c>
      <c r="Q449" s="18" t="s">
        <v>2410</v>
      </c>
      <c r="R449" s="18" t="s">
        <v>2428</v>
      </c>
      <c r="S449" s="17" t="s">
        <v>237</v>
      </c>
      <c r="T449" s="18" t="s">
        <v>2272</v>
      </c>
      <c r="U449" s="19"/>
      <c r="V449" s="18" t="s">
        <v>2429</v>
      </c>
      <c r="W449" s="17" t="s">
        <v>240</v>
      </c>
      <c r="X449" s="17" t="s">
        <v>2412</v>
      </c>
      <c r="Y449" s="17" t="s">
        <v>242</v>
      </c>
      <c r="Z449" s="19"/>
      <c r="AA449" s="19"/>
      <c r="AB449" s="17"/>
      <c r="AC449" s="19"/>
    </row>
    <row r="450" customFormat="false" ht="22.35" hidden="false" customHeight="false" outlineLevel="0" collapsed="false">
      <c r="A450" s="10" t="s">
        <v>2430</v>
      </c>
      <c r="B450" s="17" t="s">
        <v>60</v>
      </c>
      <c r="C450" s="18" t="s">
        <v>61</v>
      </c>
      <c r="D450" s="17" t="s">
        <v>19</v>
      </c>
      <c r="E450" s="17" t="s">
        <v>229</v>
      </c>
      <c r="F450" s="17" t="s">
        <v>2407</v>
      </c>
      <c r="G450" s="17" t="s">
        <v>2408</v>
      </c>
      <c r="H450" s="17" t="s">
        <v>32</v>
      </c>
      <c r="I450" s="17" t="s">
        <v>277</v>
      </c>
      <c r="J450" s="17" t="s">
        <v>233</v>
      </c>
      <c r="K450" s="19"/>
      <c r="L450" s="19"/>
      <c r="M450" s="19"/>
      <c r="N450" s="19"/>
      <c r="O450" s="17" t="n">
        <v>0</v>
      </c>
      <c r="P450" s="18" t="s">
        <v>2409</v>
      </c>
      <c r="Q450" s="18" t="s">
        <v>2410</v>
      </c>
      <c r="R450" s="18" t="s">
        <v>2431</v>
      </c>
      <c r="S450" s="17" t="s">
        <v>2406</v>
      </c>
      <c r="T450" s="18" t="s">
        <v>2284</v>
      </c>
      <c r="U450" s="19"/>
      <c r="V450" s="18" t="s">
        <v>2285</v>
      </c>
      <c r="W450" s="17" t="s">
        <v>240</v>
      </c>
      <c r="X450" s="17" t="s">
        <v>2102</v>
      </c>
      <c r="Y450" s="17" t="s">
        <v>242</v>
      </c>
      <c r="Z450" s="19"/>
      <c r="AA450" s="19"/>
      <c r="AB450" s="17"/>
      <c r="AC450" s="19"/>
    </row>
    <row r="451" customFormat="false" ht="22.35" hidden="false" customHeight="false" outlineLevel="0" collapsed="false">
      <c r="A451" s="10" t="s">
        <v>2432</v>
      </c>
      <c r="B451" s="17" t="s">
        <v>60</v>
      </c>
      <c r="C451" s="18" t="s">
        <v>61</v>
      </c>
      <c r="D451" s="17" t="s">
        <v>19</v>
      </c>
      <c r="E451" s="17" t="s">
        <v>229</v>
      </c>
      <c r="F451" s="17" t="s">
        <v>2407</v>
      </c>
      <c r="G451" s="17" t="s">
        <v>2408</v>
      </c>
      <c r="H451" s="17" t="s">
        <v>32</v>
      </c>
      <c r="I451" s="17" t="s">
        <v>283</v>
      </c>
      <c r="J451" s="17" t="s">
        <v>233</v>
      </c>
      <c r="K451" s="19"/>
      <c r="L451" s="19"/>
      <c r="M451" s="19"/>
      <c r="N451" s="19"/>
      <c r="O451" s="17" t="n">
        <v>0</v>
      </c>
      <c r="P451" s="18" t="s">
        <v>2409</v>
      </c>
      <c r="Q451" s="18" t="s">
        <v>2410</v>
      </c>
      <c r="R451" s="18" t="s">
        <v>2433</v>
      </c>
      <c r="S451" s="17" t="s">
        <v>2430</v>
      </c>
      <c r="T451" s="18" t="s">
        <v>2105</v>
      </c>
      <c r="U451" s="19"/>
      <c r="V451" s="18" t="s">
        <v>2106</v>
      </c>
      <c r="W451" s="17" t="s">
        <v>240</v>
      </c>
      <c r="X451" s="17" t="s">
        <v>2107</v>
      </c>
      <c r="Y451" s="17" t="s">
        <v>242</v>
      </c>
      <c r="Z451" s="19"/>
      <c r="AA451" s="19"/>
      <c r="AB451" s="17"/>
      <c r="AC451" s="19"/>
    </row>
    <row r="452" customFormat="false" ht="22.35" hidden="false" customHeight="false" outlineLevel="0" collapsed="false">
      <c r="A452" s="10" t="s">
        <v>2434</v>
      </c>
      <c r="B452" s="17" t="s">
        <v>60</v>
      </c>
      <c r="C452" s="18" t="s">
        <v>61</v>
      </c>
      <c r="D452" s="17" t="s">
        <v>19</v>
      </c>
      <c r="E452" s="17" t="s">
        <v>75</v>
      </c>
      <c r="F452" s="17" t="s">
        <v>2407</v>
      </c>
      <c r="G452" s="17" t="s">
        <v>2408</v>
      </c>
      <c r="H452" s="17" t="s">
        <v>32</v>
      </c>
      <c r="I452" s="17" t="s">
        <v>316</v>
      </c>
      <c r="J452" s="17" t="s">
        <v>233</v>
      </c>
      <c r="K452" s="19"/>
      <c r="L452" s="19"/>
      <c r="M452" s="19"/>
      <c r="N452" s="19"/>
      <c r="O452" s="17" t="n">
        <v>3</v>
      </c>
      <c r="P452" s="18" t="s">
        <v>2435</v>
      </c>
      <c r="Q452" s="18" t="s">
        <v>2436</v>
      </c>
      <c r="R452" s="18" t="s">
        <v>2437</v>
      </c>
      <c r="S452" s="17" t="s">
        <v>2413</v>
      </c>
      <c r="T452" s="18" t="s">
        <v>2438</v>
      </c>
      <c r="U452" s="19"/>
      <c r="V452" s="18" t="s">
        <v>2439</v>
      </c>
      <c r="W452" s="17" t="s">
        <v>240</v>
      </c>
      <c r="X452" s="17" t="s">
        <v>2440</v>
      </c>
      <c r="Y452" s="17" t="s">
        <v>242</v>
      </c>
      <c r="Z452" s="19"/>
      <c r="AA452" s="19"/>
      <c r="AB452" s="17"/>
      <c r="AC452" s="19"/>
    </row>
    <row r="453" customFormat="false" ht="22.35" hidden="false" customHeight="false" outlineLevel="0" collapsed="false">
      <c r="A453" s="10" t="s">
        <v>2441</v>
      </c>
      <c r="B453" s="17" t="s">
        <v>60</v>
      </c>
      <c r="C453" s="18" t="s">
        <v>61</v>
      </c>
      <c r="D453" s="17" t="s">
        <v>19</v>
      </c>
      <c r="E453" s="17" t="s">
        <v>229</v>
      </c>
      <c r="F453" s="17" t="s">
        <v>2407</v>
      </c>
      <c r="G453" s="17" t="s">
        <v>2408</v>
      </c>
      <c r="H453" s="17" t="s">
        <v>32</v>
      </c>
      <c r="I453" s="17" t="s">
        <v>1413</v>
      </c>
      <c r="J453" s="17" t="s">
        <v>233</v>
      </c>
      <c r="K453" s="19"/>
      <c r="L453" s="19"/>
      <c r="M453" s="19"/>
      <c r="N453" s="19"/>
      <c r="O453" s="17" t="n">
        <v>3</v>
      </c>
      <c r="P453" s="18" t="s">
        <v>2435</v>
      </c>
      <c r="Q453" s="18" t="s">
        <v>2436</v>
      </c>
      <c r="R453" s="18" t="s">
        <v>2442</v>
      </c>
      <c r="S453" s="17" t="s">
        <v>2413</v>
      </c>
      <c r="T453" s="18" t="s">
        <v>2443</v>
      </c>
      <c r="U453" s="19"/>
      <c r="V453" s="18" t="s">
        <v>2444</v>
      </c>
      <c r="W453" s="17" t="s">
        <v>240</v>
      </c>
      <c r="X453" s="17" t="s">
        <v>2445</v>
      </c>
      <c r="Y453" s="17" t="s">
        <v>242</v>
      </c>
      <c r="Z453" s="19"/>
      <c r="AA453" s="19"/>
      <c r="AB453" s="17"/>
      <c r="AC453" s="19"/>
    </row>
    <row r="454" customFormat="false" ht="22.35" hidden="false" customHeight="false" outlineLevel="0" collapsed="false">
      <c r="A454" s="10" t="s">
        <v>2446</v>
      </c>
      <c r="B454" s="17" t="s">
        <v>60</v>
      </c>
      <c r="C454" s="18" t="s">
        <v>61</v>
      </c>
      <c r="D454" s="17" t="s">
        <v>19</v>
      </c>
      <c r="E454" s="17" t="s">
        <v>229</v>
      </c>
      <c r="F454" s="17" t="s">
        <v>2407</v>
      </c>
      <c r="G454" s="17" t="s">
        <v>2408</v>
      </c>
      <c r="H454" s="17" t="s">
        <v>32</v>
      </c>
      <c r="I454" s="17" t="s">
        <v>1413</v>
      </c>
      <c r="J454" s="17" t="s">
        <v>233</v>
      </c>
      <c r="K454" s="19"/>
      <c r="L454" s="19"/>
      <c r="M454" s="19"/>
      <c r="N454" s="19"/>
      <c r="O454" s="17" t="n">
        <v>3</v>
      </c>
      <c r="P454" s="18" t="s">
        <v>2435</v>
      </c>
      <c r="Q454" s="18" t="s">
        <v>2436</v>
      </c>
      <c r="R454" s="18" t="s">
        <v>2447</v>
      </c>
      <c r="S454" s="17" t="s">
        <v>2448</v>
      </c>
      <c r="T454" s="18" t="s">
        <v>2449</v>
      </c>
      <c r="U454" s="19"/>
      <c r="V454" s="18" t="s">
        <v>2450</v>
      </c>
      <c r="W454" s="17" t="s">
        <v>240</v>
      </c>
      <c r="X454" s="17" t="s">
        <v>2451</v>
      </c>
      <c r="Y454" s="17" t="s">
        <v>242</v>
      </c>
      <c r="Z454" s="19"/>
      <c r="AA454" s="19"/>
      <c r="AB454" s="17"/>
      <c r="AC454" s="19"/>
    </row>
    <row r="455" customFormat="false" ht="22.35" hidden="false" customHeight="false" outlineLevel="0" collapsed="false">
      <c r="A455" s="10" t="s">
        <v>2452</v>
      </c>
      <c r="B455" s="17" t="s">
        <v>60</v>
      </c>
      <c r="C455" s="18" t="s">
        <v>61</v>
      </c>
      <c r="D455" s="17" t="s">
        <v>19</v>
      </c>
      <c r="E455" s="17" t="s">
        <v>229</v>
      </c>
      <c r="F455" s="17" t="s">
        <v>2407</v>
      </c>
      <c r="G455" s="17" t="s">
        <v>2408</v>
      </c>
      <c r="H455" s="17" t="s">
        <v>32</v>
      </c>
      <c r="I455" s="17" t="s">
        <v>1413</v>
      </c>
      <c r="J455" s="17" t="s">
        <v>233</v>
      </c>
      <c r="K455" s="19"/>
      <c r="L455" s="19"/>
      <c r="M455" s="19"/>
      <c r="N455" s="19"/>
      <c r="O455" s="17" t="n">
        <v>3</v>
      </c>
      <c r="P455" s="18" t="s">
        <v>2435</v>
      </c>
      <c r="Q455" s="18" t="s">
        <v>2436</v>
      </c>
      <c r="R455" s="18" t="s">
        <v>2453</v>
      </c>
      <c r="S455" s="17" t="s">
        <v>2446</v>
      </c>
      <c r="T455" s="18" t="s">
        <v>2454</v>
      </c>
      <c r="U455" s="19"/>
      <c r="V455" s="18" t="s">
        <v>2455</v>
      </c>
      <c r="W455" s="17" t="s">
        <v>240</v>
      </c>
      <c r="X455" s="17" t="s">
        <v>2456</v>
      </c>
      <c r="Y455" s="17" t="s">
        <v>242</v>
      </c>
      <c r="Z455" s="19"/>
      <c r="AA455" s="19"/>
      <c r="AB455" s="17"/>
      <c r="AC455" s="19"/>
    </row>
    <row r="456" customFormat="false" ht="22.35" hidden="false" customHeight="false" outlineLevel="0" collapsed="false">
      <c r="A456" s="10" t="s">
        <v>2457</v>
      </c>
      <c r="B456" s="17" t="s">
        <v>60</v>
      </c>
      <c r="C456" s="18" t="s">
        <v>61</v>
      </c>
      <c r="D456" s="17" t="s">
        <v>19</v>
      </c>
      <c r="E456" s="17" t="s">
        <v>75</v>
      </c>
      <c r="F456" s="17" t="s">
        <v>2407</v>
      </c>
      <c r="G456" s="17" t="s">
        <v>2408</v>
      </c>
      <c r="H456" s="17" t="s">
        <v>32</v>
      </c>
      <c r="I456" s="17" t="s">
        <v>1413</v>
      </c>
      <c r="J456" s="17" t="s">
        <v>233</v>
      </c>
      <c r="K456" s="19"/>
      <c r="L456" s="19"/>
      <c r="M456" s="19"/>
      <c r="N456" s="19"/>
      <c r="O456" s="17" t="n">
        <v>3</v>
      </c>
      <c r="P456" s="18" t="s">
        <v>2435</v>
      </c>
      <c r="Q456" s="18" t="s">
        <v>2458</v>
      </c>
      <c r="R456" s="18" t="s">
        <v>2459</v>
      </c>
      <c r="S456" s="17" t="s">
        <v>2452</v>
      </c>
      <c r="T456" s="18" t="s">
        <v>2460</v>
      </c>
      <c r="U456" s="19"/>
      <c r="V456" s="18" t="s">
        <v>2461</v>
      </c>
      <c r="W456" s="17" t="s">
        <v>240</v>
      </c>
      <c r="X456" s="17" t="s">
        <v>2412</v>
      </c>
      <c r="Y456" s="17" t="s">
        <v>242</v>
      </c>
      <c r="Z456" s="19"/>
      <c r="AA456" s="19"/>
      <c r="AB456" s="17"/>
      <c r="AC456" s="19"/>
    </row>
    <row r="457" customFormat="false" ht="22.35" hidden="false" customHeight="false" outlineLevel="0" collapsed="false">
      <c r="A457" s="10" t="s">
        <v>2462</v>
      </c>
      <c r="B457" s="17" t="s">
        <v>60</v>
      </c>
      <c r="C457" s="18" t="s">
        <v>61</v>
      </c>
      <c r="D457" s="17" t="s">
        <v>19</v>
      </c>
      <c r="E457" s="17" t="s">
        <v>75</v>
      </c>
      <c r="F457" s="17" t="s">
        <v>2407</v>
      </c>
      <c r="G457" s="17" t="s">
        <v>2408</v>
      </c>
      <c r="H457" s="17" t="s">
        <v>32</v>
      </c>
      <c r="I457" s="17" t="s">
        <v>316</v>
      </c>
      <c r="J457" s="17" t="s">
        <v>233</v>
      </c>
      <c r="K457" s="19"/>
      <c r="L457" s="19"/>
      <c r="M457" s="19"/>
      <c r="N457" s="19"/>
      <c r="O457" s="17" t="n">
        <v>3</v>
      </c>
      <c r="P457" s="18" t="s">
        <v>2435</v>
      </c>
      <c r="Q457" s="18" t="s">
        <v>2458</v>
      </c>
      <c r="R457" s="18" t="s">
        <v>2463</v>
      </c>
      <c r="S457" s="17" t="s">
        <v>2457</v>
      </c>
      <c r="T457" s="18" t="s">
        <v>2464</v>
      </c>
      <c r="U457" s="19"/>
      <c r="V457" s="18" t="s">
        <v>2465</v>
      </c>
      <c r="W457" s="17" t="s">
        <v>240</v>
      </c>
      <c r="X457" s="17" t="s">
        <v>2440</v>
      </c>
      <c r="Y457" s="17" t="s">
        <v>242</v>
      </c>
      <c r="Z457" s="19"/>
      <c r="AA457" s="19"/>
      <c r="AB457" s="17"/>
      <c r="AC457" s="19"/>
    </row>
    <row r="458" customFormat="false" ht="22.35" hidden="false" customHeight="false" outlineLevel="0" collapsed="false">
      <c r="A458" s="10" t="s">
        <v>2466</v>
      </c>
      <c r="B458" s="17" t="s">
        <v>60</v>
      </c>
      <c r="C458" s="18" t="s">
        <v>61</v>
      </c>
      <c r="D458" s="17" t="s">
        <v>19</v>
      </c>
      <c r="E458" s="17" t="s">
        <v>229</v>
      </c>
      <c r="F458" s="17" t="s">
        <v>2407</v>
      </c>
      <c r="G458" s="17" t="s">
        <v>2408</v>
      </c>
      <c r="H458" s="17" t="s">
        <v>32</v>
      </c>
      <c r="I458" s="17" t="s">
        <v>1413</v>
      </c>
      <c r="J458" s="17" t="s">
        <v>233</v>
      </c>
      <c r="K458" s="19"/>
      <c r="L458" s="19"/>
      <c r="M458" s="19"/>
      <c r="N458" s="19"/>
      <c r="O458" s="17" t="n">
        <v>3</v>
      </c>
      <c r="P458" s="18" t="s">
        <v>2435</v>
      </c>
      <c r="Q458" s="18" t="s">
        <v>2458</v>
      </c>
      <c r="R458" s="18" t="s">
        <v>2467</v>
      </c>
      <c r="S458" s="17" t="s">
        <v>2468</v>
      </c>
      <c r="T458" s="18" t="s">
        <v>2469</v>
      </c>
      <c r="U458" s="19"/>
      <c r="V458" s="18" t="s">
        <v>2470</v>
      </c>
      <c r="W458" s="17" t="s">
        <v>240</v>
      </c>
      <c r="X458" s="17" t="s">
        <v>2471</v>
      </c>
      <c r="Y458" s="17" t="s">
        <v>242</v>
      </c>
      <c r="Z458" s="19"/>
      <c r="AA458" s="19"/>
      <c r="AB458" s="17"/>
      <c r="AC458" s="19"/>
    </row>
    <row r="459" customFormat="false" ht="22.35" hidden="false" customHeight="false" outlineLevel="0" collapsed="false">
      <c r="A459" s="10" t="s">
        <v>2472</v>
      </c>
      <c r="B459" s="17" t="s">
        <v>60</v>
      </c>
      <c r="C459" s="18" t="s">
        <v>61</v>
      </c>
      <c r="D459" s="17" t="s">
        <v>19</v>
      </c>
      <c r="E459" s="17" t="s">
        <v>229</v>
      </c>
      <c r="F459" s="17" t="s">
        <v>2407</v>
      </c>
      <c r="G459" s="17" t="s">
        <v>2408</v>
      </c>
      <c r="H459" s="17" t="s">
        <v>32</v>
      </c>
      <c r="I459" s="17" t="s">
        <v>1413</v>
      </c>
      <c r="J459" s="17" t="s">
        <v>233</v>
      </c>
      <c r="K459" s="19"/>
      <c r="L459" s="19"/>
      <c r="M459" s="19"/>
      <c r="N459" s="19"/>
      <c r="O459" s="17" t="n">
        <v>3</v>
      </c>
      <c r="P459" s="18" t="s">
        <v>2435</v>
      </c>
      <c r="Q459" s="18" t="s">
        <v>2458</v>
      </c>
      <c r="R459" s="18" t="s">
        <v>2473</v>
      </c>
      <c r="S459" s="17" t="s">
        <v>2457</v>
      </c>
      <c r="T459" s="18" t="s">
        <v>2474</v>
      </c>
      <c r="U459" s="19"/>
      <c r="V459" s="18" t="s">
        <v>2475</v>
      </c>
      <c r="W459" s="17" t="s">
        <v>240</v>
      </c>
      <c r="X459" s="17" t="s">
        <v>2445</v>
      </c>
      <c r="Y459" s="17" t="s">
        <v>242</v>
      </c>
      <c r="Z459" s="19"/>
      <c r="AA459" s="19"/>
      <c r="AB459" s="17"/>
      <c r="AC459" s="19"/>
    </row>
    <row r="460" customFormat="false" ht="22.35" hidden="false" customHeight="false" outlineLevel="0" collapsed="false">
      <c r="A460" s="10" t="s">
        <v>2476</v>
      </c>
      <c r="B460" s="17" t="s">
        <v>60</v>
      </c>
      <c r="C460" s="18" t="s">
        <v>61</v>
      </c>
      <c r="D460" s="17" t="s">
        <v>19</v>
      </c>
      <c r="E460" s="17" t="s">
        <v>75</v>
      </c>
      <c r="F460" s="17" t="s">
        <v>2407</v>
      </c>
      <c r="G460" s="17" t="s">
        <v>2408</v>
      </c>
      <c r="H460" s="17" t="s">
        <v>32</v>
      </c>
      <c r="I460" s="17" t="s">
        <v>1413</v>
      </c>
      <c r="J460" s="17" t="s">
        <v>233</v>
      </c>
      <c r="K460" s="19"/>
      <c r="L460" s="19"/>
      <c r="M460" s="19"/>
      <c r="N460" s="19"/>
      <c r="O460" s="17" t="n">
        <v>3</v>
      </c>
      <c r="P460" s="18" t="s">
        <v>2435</v>
      </c>
      <c r="Q460" s="18" t="s">
        <v>2458</v>
      </c>
      <c r="R460" s="18" t="s">
        <v>2477</v>
      </c>
      <c r="S460" s="17" t="s">
        <v>2457</v>
      </c>
      <c r="T460" s="18" t="s">
        <v>2478</v>
      </c>
      <c r="U460" s="19"/>
      <c r="V460" s="18" t="s">
        <v>2479</v>
      </c>
      <c r="W460" s="17" t="s">
        <v>240</v>
      </c>
      <c r="X460" s="17" t="s">
        <v>2480</v>
      </c>
      <c r="Y460" s="17" t="s">
        <v>242</v>
      </c>
      <c r="Z460" s="19"/>
      <c r="AA460" s="19"/>
      <c r="AB460" s="17"/>
      <c r="AC460" s="19"/>
    </row>
    <row r="461" customFormat="false" ht="22.35" hidden="false" customHeight="false" outlineLevel="0" collapsed="false">
      <c r="A461" s="10" t="s">
        <v>2481</v>
      </c>
      <c r="B461" s="17" t="s">
        <v>60</v>
      </c>
      <c r="C461" s="18" t="s">
        <v>61</v>
      </c>
      <c r="D461" s="17" t="s">
        <v>19</v>
      </c>
      <c r="E461" s="17" t="s">
        <v>229</v>
      </c>
      <c r="F461" s="17" t="s">
        <v>2407</v>
      </c>
      <c r="G461" s="17" t="s">
        <v>2408</v>
      </c>
      <c r="H461" s="17" t="s">
        <v>32</v>
      </c>
      <c r="I461" s="17" t="s">
        <v>893</v>
      </c>
      <c r="J461" s="17" t="s">
        <v>233</v>
      </c>
      <c r="K461" s="19"/>
      <c r="L461" s="19"/>
      <c r="M461" s="19"/>
      <c r="N461" s="19"/>
      <c r="O461" s="17" t="n">
        <v>3</v>
      </c>
      <c r="P461" s="18" t="s">
        <v>2435</v>
      </c>
      <c r="Q461" s="18" t="s">
        <v>2458</v>
      </c>
      <c r="R461" s="18" t="s">
        <v>2482</v>
      </c>
      <c r="S461" s="17" t="s">
        <v>2472</v>
      </c>
      <c r="T461" s="18" t="s">
        <v>2483</v>
      </c>
      <c r="U461" s="19"/>
      <c r="V461" s="18" t="s">
        <v>2484</v>
      </c>
      <c r="W461" s="17" t="s">
        <v>383</v>
      </c>
      <c r="X461" s="17" t="s">
        <v>2485</v>
      </c>
      <c r="Y461" s="17" t="s">
        <v>242</v>
      </c>
      <c r="Z461" s="19"/>
      <c r="AA461" s="19"/>
      <c r="AB461" s="17"/>
      <c r="AC461" s="19"/>
    </row>
    <row r="462" customFormat="false" ht="15" hidden="false" customHeight="false" outlineLevel="0" collapsed="false">
      <c r="A462" s="10" t="s">
        <v>2486</v>
      </c>
      <c r="B462" s="17" t="s">
        <v>60</v>
      </c>
      <c r="C462" s="18" t="s">
        <v>61</v>
      </c>
      <c r="D462" s="17" t="s">
        <v>19</v>
      </c>
      <c r="E462" s="17" t="s">
        <v>75</v>
      </c>
      <c r="F462" s="17" t="s">
        <v>2407</v>
      </c>
      <c r="G462" s="17" t="s">
        <v>2408</v>
      </c>
      <c r="H462" s="17" t="s">
        <v>32</v>
      </c>
      <c r="I462" s="17" t="s">
        <v>283</v>
      </c>
      <c r="J462" s="17" t="s">
        <v>233</v>
      </c>
      <c r="K462" s="19"/>
      <c r="L462" s="19"/>
      <c r="M462" s="19"/>
      <c r="N462" s="19"/>
      <c r="O462" s="17" t="n">
        <v>3</v>
      </c>
      <c r="P462" s="18" t="s">
        <v>2435</v>
      </c>
      <c r="Q462" s="18" t="s">
        <v>2458</v>
      </c>
      <c r="R462" s="18" t="s">
        <v>2487</v>
      </c>
      <c r="S462" s="17" t="s">
        <v>2481</v>
      </c>
      <c r="T462" s="18" t="s">
        <v>2105</v>
      </c>
      <c r="U462" s="19"/>
      <c r="V462" s="18" t="s">
        <v>2106</v>
      </c>
      <c r="W462" s="17" t="s">
        <v>240</v>
      </c>
      <c r="X462" s="17" t="s">
        <v>2107</v>
      </c>
      <c r="Y462" s="17" t="s">
        <v>242</v>
      </c>
      <c r="Z462" s="19"/>
      <c r="AA462" s="19"/>
      <c r="AB462" s="17"/>
      <c r="AC462" s="19"/>
    </row>
    <row r="463" customFormat="false" ht="32.8" hidden="false" customHeight="false" outlineLevel="0" collapsed="false">
      <c r="A463" s="10" t="s">
        <v>2488</v>
      </c>
      <c r="B463" s="17" t="s">
        <v>60</v>
      </c>
      <c r="C463" s="18" t="s">
        <v>61</v>
      </c>
      <c r="D463" s="17" t="s">
        <v>19</v>
      </c>
      <c r="E463" s="17" t="s">
        <v>229</v>
      </c>
      <c r="F463" s="17" t="s">
        <v>2407</v>
      </c>
      <c r="G463" s="17" t="s">
        <v>2408</v>
      </c>
      <c r="H463" s="17" t="s">
        <v>32</v>
      </c>
      <c r="I463" s="17" t="s">
        <v>1413</v>
      </c>
      <c r="J463" s="17" t="s">
        <v>233</v>
      </c>
      <c r="K463" s="19"/>
      <c r="L463" s="19"/>
      <c r="M463" s="19"/>
      <c r="N463" s="19"/>
      <c r="O463" s="17" t="n">
        <v>3</v>
      </c>
      <c r="P463" s="18" t="s">
        <v>2489</v>
      </c>
      <c r="Q463" s="18" t="s">
        <v>2490</v>
      </c>
      <c r="R463" s="18" t="s">
        <v>2491</v>
      </c>
      <c r="S463" s="17" t="s">
        <v>2434</v>
      </c>
      <c r="T463" s="18" t="s">
        <v>2492</v>
      </c>
      <c r="U463" s="19"/>
      <c r="V463" s="18" t="s">
        <v>2493</v>
      </c>
      <c r="W463" s="17" t="s">
        <v>240</v>
      </c>
      <c r="X463" s="17" t="s">
        <v>2494</v>
      </c>
      <c r="Y463" s="17" t="s">
        <v>242</v>
      </c>
      <c r="Z463" s="19"/>
      <c r="AA463" s="19"/>
      <c r="AB463" s="17"/>
      <c r="AC463" s="19"/>
    </row>
    <row r="464" customFormat="false" ht="22.35" hidden="false" customHeight="false" outlineLevel="0" collapsed="false">
      <c r="A464" s="10" t="s">
        <v>2495</v>
      </c>
      <c r="B464" s="17" t="s">
        <v>60</v>
      </c>
      <c r="C464" s="18" t="s">
        <v>61</v>
      </c>
      <c r="D464" s="17" t="s">
        <v>19</v>
      </c>
      <c r="E464" s="17" t="s">
        <v>229</v>
      </c>
      <c r="F464" s="17" t="s">
        <v>2407</v>
      </c>
      <c r="G464" s="17" t="s">
        <v>2408</v>
      </c>
      <c r="H464" s="17" t="s">
        <v>32</v>
      </c>
      <c r="I464" s="17" t="s">
        <v>1413</v>
      </c>
      <c r="J464" s="17" t="s">
        <v>233</v>
      </c>
      <c r="K464" s="19"/>
      <c r="L464" s="19"/>
      <c r="M464" s="19"/>
      <c r="N464" s="19"/>
      <c r="O464" s="17" t="n">
        <v>3</v>
      </c>
      <c r="P464" s="18" t="s">
        <v>2489</v>
      </c>
      <c r="Q464" s="18" t="s">
        <v>2490</v>
      </c>
      <c r="R464" s="18" t="s">
        <v>2496</v>
      </c>
      <c r="S464" s="17" t="s">
        <v>2476</v>
      </c>
      <c r="T464" s="18" t="s">
        <v>2497</v>
      </c>
      <c r="U464" s="19"/>
      <c r="V464" s="18" t="s">
        <v>2498</v>
      </c>
      <c r="W464" s="17" t="s">
        <v>240</v>
      </c>
      <c r="X464" s="17" t="s">
        <v>2494</v>
      </c>
      <c r="Y464" s="17" t="s">
        <v>242</v>
      </c>
      <c r="Z464" s="19"/>
      <c r="AA464" s="19"/>
      <c r="AB464" s="17"/>
      <c r="AC464" s="19"/>
    </row>
    <row r="465" customFormat="false" ht="22.35" hidden="false" customHeight="false" outlineLevel="0" collapsed="false">
      <c r="A465" s="10" t="s">
        <v>2499</v>
      </c>
      <c r="B465" s="17" t="s">
        <v>60</v>
      </c>
      <c r="C465" s="18" t="s">
        <v>61</v>
      </c>
      <c r="D465" s="17" t="s">
        <v>19</v>
      </c>
      <c r="E465" s="17" t="s">
        <v>229</v>
      </c>
      <c r="F465" s="17" t="s">
        <v>2407</v>
      </c>
      <c r="G465" s="17" t="s">
        <v>2408</v>
      </c>
      <c r="H465" s="17" t="s">
        <v>32</v>
      </c>
      <c r="I465" s="17" t="s">
        <v>333</v>
      </c>
      <c r="J465" s="17" t="s">
        <v>233</v>
      </c>
      <c r="K465" s="19"/>
      <c r="L465" s="19"/>
      <c r="M465" s="19"/>
      <c r="N465" s="19"/>
      <c r="O465" s="17" t="n">
        <v>3</v>
      </c>
      <c r="P465" s="18" t="s">
        <v>2489</v>
      </c>
      <c r="Q465" s="18" t="s">
        <v>2490</v>
      </c>
      <c r="R465" s="18" t="s">
        <v>2500</v>
      </c>
      <c r="S465" s="17" t="s">
        <v>2501</v>
      </c>
      <c r="T465" s="18" t="s">
        <v>2502</v>
      </c>
      <c r="U465" s="19"/>
      <c r="V465" s="18" t="s">
        <v>2503</v>
      </c>
      <c r="W465" s="17" t="s">
        <v>240</v>
      </c>
      <c r="X465" s="17" t="s">
        <v>2504</v>
      </c>
      <c r="Y465" s="17" t="s">
        <v>242</v>
      </c>
      <c r="Z465" s="19"/>
      <c r="AA465" s="19"/>
      <c r="AB465" s="17"/>
      <c r="AC465" s="19"/>
    </row>
    <row r="466" customFormat="false" ht="22.35" hidden="false" customHeight="false" outlineLevel="0" collapsed="false">
      <c r="A466" s="10" t="s">
        <v>2505</v>
      </c>
      <c r="B466" s="17" t="s">
        <v>60</v>
      </c>
      <c r="C466" s="18" t="s">
        <v>61</v>
      </c>
      <c r="D466" s="17" t="s">
        <v>19</v>
      </c>
      <c r="E466" s="17" t="s">
        <v>75</v>
      </c>
      <c r="F466" s="17" t="s">
        <v>2407</v>
      </c>
      <c r="G466" s="17" t="s">
        <v>2408</v>
      </c>
      <c r="H466" s="17" t="s">
        <v>32</v>
      </c>
      <c r="I466" s="17" t="s">
        <v>283</v>
      </c>
      <c r="J466" s="17" t="s">
        <v>233</v>
      </c>
      <c r="K466" s="19"/>
      <c r="L466" s="19"/>
      <c r="M466" s="19"/>
      <c r="N466" s="19"/>
      <c r="O466" s="17" t="n">
        <v>3</v>
      </c>
      <c r="P466" s="18" t="s">
        <v>2489</v>
      </c>
      <c r="Q466" s="18" t="s">
        <v>2490</v>
      </c>
      <c r="R466" s="18" t="s">
        <v>2506</v>
      </c>
      <c r="S466" s="17" t="s">
        <v>2499</v>
      </c>
      <c r="T466" s="18" t="s">
        <v>2105</v>
      </c>
      <c r="U466" s="19"/>
      <c r="V466" s="18" t="s">
        <v>2106</v>
      </c>
      <c r="W466" s="17" t="s">
        <v>240</v>
      </c>
      <c r="X466" s="17" t="s">
        <v>2107</v>
      </c>
      <c r="Y466" s="17" t="s">
        <v>242</v>
      </c>
      <c r="Z466" s="19"/>
      <c r="AA466" s="19"/>
      <c r="AB466" s="17"/>
      <c r="AC466" s="19"/>
    </row>
    <row r="467" customFormat="false" ht="22.35" hidden="false" customHeight="false" outlineLevel="0" collapsed="false">
      <c r="A467" s="10" t="s">
        <v>2507</v>
      </c>
      <c r="B467" s="17" t="s">
        <v>60</v>
      </c>
      <c r="C467" s="18" t="s">
        <v>61</v>
      </c>
      <c r="D467" s="17" t="s">
        <v>19</v>
      </c>
      <c r="E467" s="17" t="s">
        <v>229</v>
      </c>
      <c r="F467" s="17" t="s">
        <v>2407</v>
      </c>
      <c r="G467" s="17" t="s">
        <v>2408</v>
      </c>
      <c r="H467" s="17" t="s">
        <v>32</v>
      </c>
      <c r="I467" s="17" t="s">
        <v>1413</v>
      </c>
      <c r="J467" s="17" t="s">
        <v>233</v>
      </c>
      <c r="K467" s="19"/>
      <c r="L467" s="19"/>
      <c r="M467" s="19"/>
      <c r="N467" s="19"/>
      <c r="O467" s="17" t="n">
        <v>1</v>
      </c>
      <c r="P467" s="18" t="s">
        <v>2508</v>
      </c>
      <c r="Q467" s="18" t="s">
        <v>2509</v>
      </c>
      <c r="R467" s="18" t="s">
        <v>2510</v>
      </c>
      <c r="S467" s="17" t="s">
        <v>2511</v>
      </c>
      <c r="T467" s="18" t="s">
        <v>2512</v>
      </c>
      <c r="U467" s="19"/>
      <c r="V467" s="18" t="s">
        <v>2513</v>
      </c>
      <c r="W467" s="17" t="s">
        <v>240</v>
      </c>
      <c r="X467" s="17" t="s">
        <v>2514</v>
      </c>
      <c r="Y467" s="17" t="s">
        <v>242</v>
      </c>
      <c r="Z467" s="19"/>
      <c r="AA467" s="19"/>
      <c r="AB467" s="17"/>
      <c r="AC467" s="19"/>
    </row>
    <row r="468" customFormat="false" ht="22.35" hidden="false" customHeight="false" outlineLevel="0" collapsed="false">
      <c r="A468" s="10" t="s">
        <v>2515</v>
      </c>
      <c r="B468" s="17" t="s">
        <v>60</v>
      </c>
      <c r="C468" s="18" t="s">
        <v>61</v>
      </c>
      <c r="D468" s="17" t="s">
        <v>19</v>
      </c>
      <c r="E468" s="17" t="s">
        <v>229</v>
      </c>
      <c r="F468" s="17" t="s">
        <v>2407</v>
      </c>
      <c r="G468" s="17" t="s">
        <v>2408</v>
      </c>
      <c r="H468" s="17" t="s">
        <v>32</v>
      </c>
      <c r="I468" s="17" t="s">
        <v>1413</v>
      </c>
      <c r="J468" s="17" t="s">
        <v>233</v>
      </c>
      <c r="K468" s="19"/>
      <c r="L468" s="19"/>
      <c r="M468" s="19"/>
      <c r="N468" s="19"/>
      <c r="O468" s="17" t="n">
        <v>3</v>
      </c>
      <c r="P468" s="18" t="s">
        <v>2508</v>
      </c>
      <c r="Q468" s="18" t="s">
        <v>2509</v>
      </c>
      <c r="R468" s="18" t="s">
        <v>2516</v>
      </c>
      <c r="S468" s="17" t="s">
        <v>2507</v>
      </c>
      <c r="T468" s="18" t="s">
        <v>2517</v>
      </c>
      <c r="U468" s="19"/>
      <c r="V468" s="18" t="s">
        <v>2518</v>
      </c>
      <c r="W468" s="17" t="s">
        <v>240</v>
      </c>
      <c r="X468" s="17" t="s">
        <v>2519</v>
      </c>
      <c r="Y468" s="17" t="s">
        <v>242</v>
      </c>
      <c r="Z468" s="19"/>
      <c r="AA468" s="19"/>
      <c r="AB468" s="17"/>
      <c r="AC468" s="19"/>
    </row>
    <row r="469" customFormat="false" ht="22.35" hidden="false" customHeight="false" outlineLevel="0" collapsed="false">
      <c r="A469" s="10" t="s">
        <v>2520</v>
      </c>
      <c r="B469" s="17" t="s">
        <v>60</v>
      </c>
      <c r="C469" s="18" t="s">
        <v>61</v>
      </c>
      <c r="D469" s="17" t="s">
        <v>19</v>
      </c>
      <c r="E469" s="17" t="s">
        <v>229</v>
      </c>
      <c r="F469" s="17" t="s">
        <v>2407</v>
      </c>
      <c r="G469" s="17" t="s">
        <v>2408</v>
      </c>
      <c r="H469" s="17" t="s">
        <v>32</v>
      </c>
      <c r="I469" s="17" t="s">
        <v>1413</v>
      </c>
      <c r="J469" s="17" t="s">
        <v>233</v>
      </c>
      <c r="K469" s="19"/>
      <c r="L469" s="19"/>
      <c r="M469" s="19"/>
      <c r="N469" s="19"/>
      <c r="O469" s="17" t="n">
        <v>3</v>
      </c>
      <c r="P469" s="18" t="s">
        <v>2508</v>
      </c>
      <c r="Q469" s="18" t="s">
        <v>2509</v>
      </c>
      <c r="R469" s="18" t="s">
        <v>2521</v>
      </c>
      <c r="S469" s="17" t="s">
        <v>2522</v>
      </c>
      <c r="T469" s="18" t="s">
        <v>2523</v>
      </c>
      <c r="U469" s="19"/>
      <c r="V469" s="18" t="s">
        <v>2524</v>
      </c>
      <c r="W469" s="17" t="s">
        <v>240</v>
      </c>
      <c r="X469" s="17" t="s">
        <v>2525</v>
      </c>
      <c r="Y469" s="17" t="s">
        <v>242</v>
      </c>
      <c r="Z469" s="19"/>
      <c r="AA469" s="19"/>
      <c r="AB469" s="17"/>
      <c r="AC469" s="19"/>
    </row>
    <row r="470" customFormat="false" ht="15" hidden="false" customHeight="false" outlineLevel="0" collapsed="false">
      <c r="A470" s="10" t="s">
        <v>2526</v>
      </c>
      <c r="B470" s="17" t="s">
        <v>60</v>
      </c>
      <c r="C470" s="18" t="s">
        <v>61</v>
      </c>
      <c r="D470" s="17" t="s">
        <v>19</v>
      </c>
      <c r="E470" s="17" t="s">
        <v>75</v>
      </c>
      <c r="F470" s="17" t="s">
        <v>2407</v>
      </c>
      <c r="G470" s="17" t="s">
        <v>2408</v>
      </c>
      <c r="H470" s="17" t="s">
        <v>32</v>
      </c>
      <c r="I470" s="17" t="s">
        <v>289</v>
      </c>
      <c r="J470" s="17" t="s">
        <v>233</v>
      </c>
      <c r="K470" s="19"/>
      <c r="L470" s="19"/>
      <c r="M470" s="19"/>
      <c r="N470" s="19"/>
      <c r="O470" s="17" t="n">
        <v>3</v>
      </c>
      <c r="P470" s="18" t="s">
        <v>2508</v>
      </c>
      <c r="Q470" s="18" t="s">
        <v>2509</v>
      </c>
      <c r="R470" s="18" t="s">
        <v>2527</v>
      </c>
      <c r="S470" s="17" t="s">
        <v>2520</v>
      </c>
      <c r="T470" s="18" t="s">
        <v>2528</v>
      </c>
      <c r="U470" s="19"/>
      <c r="V470" s="18" t="s">
        <v>2529</v>
      </c>
      <c r="W470" s="17" t="s">
        <v>240</v>
      </c>
      <c r="X470" s="17" t="s">
        <v>2530</v>
      </c>
      <c r="Y470" s="17" t="s">
        <v>242</v>
      </c>
      <c r="Z470" s="19"/>
      <c r="AA470" s="19"/>
      <c r="AB470" s="17"/>
      <c r="AC470" s="19"/>
    </row>
    <row r="471" customFormat="false" ht="22.35" hidden="false" customHeight="false" outlineLevel="0" collapsed="false">
      <c r="A471" s="10" t="s">
        <v>2531</v>
      </c>
      <c r="B471" s="17" t="s">
        <v>60</v>
      </c>
      <c r="C471" s="18" t="s">
        <v>61</v>
      </c>
      <c r="D471" s="17" t="s">
        <v>19</v>
      </c>
      <c r="E471" s="17" t="s">
        <v>75</v>
      </c>
      <c r="F471" s="17" t="s">
        <v>2407</v>
      </c>
      <c r="G471" s="17" t="s">
        <v>2408</v>
      </c>
      <c r="H471" s="17" t="s">
        <v>32</v>
      </c>
      <c r="I471" s="17" t="s">
        <v>283</v>
      </c>
      <c r="J471" s="17" t="s">
        <v>233</v>
      </c>
      <c r="K471" s="19"/>
      <c r="L471" s="19"/>
      <c r="M471" s="19"/>
      <c r="N471" s="19"/>
      <c r="O471" s="17" t="n">
        <v>3</v>
      </c>
      <c r="P471" s="18" t="s">
        <v>2508</v>
      </c>
      <c r="Q471" s="18" t="s">
        <v>2509</v>
      </c>
      <c r="R471" s="18" t="s">
        <v>2532</v>
      </c>
      <c r="S471" s="17" t="s">
        <v>2520</v>
      </c>
      <c r="T471" s="18" t="s">
        <v>2533</v>
      </c>
      <c r="U471" s="19"/>
      <c r="V471" s="18" t="s">
        <v>2534</v>
      </c>
      <c r="W471" s="17" t="s">
        <v>240</v>
      </c>
      <c r="X471" s="17" t="s">
        <v>2535</v>
      </c>
      <c r="Y471" s="17" t="s">
        <v>242</v>
      </c>
      <c r="Z471" s="19"/>
      <c r="AA471" s="19"/>
      <c r="AB471" s="17"/>
      <c r="AC471" s="19"/>
    </row>
    <row r="472" customFormat="false" ht="15" hidden="false" customHeight="false" outlineLevel="0" collapsed="false">
      <c r="A472" s="10" t="s">
        <v>2536</v>
      </c>
      <c r="B472" s="17" t="s">
        <v>60</v>
      </c>
      <c r="C472" s="18" t="s">
        <v>61</v>
      </c>
      <c r="D472" s="17" t="s">
        <v>19</v>
      </c>
      <c r="E472" s="17" t="s">
        <v>75</v>
      </c>
      <c r="F472" s="17" t="s">
        <v>2407</v>
      </c>
      <c r="G472" s="17" t="s">
        <v>2408</v>
      </c>
      <c r="H472" s="17" t="s">
        <v>32</v>
      </c>
      <c r="I472" s="17" t="s">
        <v>283</v>
      </c>
      <c r="J472" s="17" t="s">
        <v>233</v>
      </c>
      <c r="K472" s="19"/>
      <c r="L472" s="19"/>
      <c r="M472" s="19"/>
      <c r="N472" s="19"/>
      <c r="O472" s="17" t="n">
        <v>3</v>
      </c>
      <c r="P472" s="18" t="s">
        <v>2508</v>
      </c>
      <c r="Q472" s="18" t="s">
        <v>2509</v>
      </c>
      <c r="R472" s="18" t="s">
        <v>2537</v>
      </c>
      <c r="S472" s="17" t="s">
        <v>2531</v>
      </c>
      <c r="T472" s="18" t="s">
        <v>2105</v>
      </c>
      <c r="U472" s="19"/>
      <c r="V472" s="18" t="s">
        <v>2106</v>
      </c>
      <c r="W472" s="17" t="s">
        <v>240</v>
      </c>
      <c r="X472" s="17" t="s">
        <v>2107</v>
      </c>
      <c r="Y472" s="17" t="s">
        <v>242</v>
      </c>
      <c r="Z472" s="19"/>
      <c r="AA472" s="19"/>
      <c r="AB472" s="17"/>
      <c r="AC472" s="19"/>
    </row>
    <row r="473" customFormat="false" ht="22.35" hidden="false" customHeight="false" outlineLevel="0" collapsed="false">
      <c r="A473" s="10" t="s">
        <v>2538</v>
      </c>
      <c r="B473" s="17" t="s">
        <v>60</v>
      </c>
      <c r="C473" s="18" t="s">
        <v>61</v>
      </c>
      <c r="D473" s="17" t="s">
        <v>19</v>
      </c>
      <c r="E473" s="17" t="s">
        <v>229</v>
      </c>
      <c r="F473" s="17" t="s">
        <v>2407</v>
      </c>
      <c r="G473" s="17" t="s">
        <v>2408</v>
      </c>
      <c r="H473" s="17" t="s">
        <v>32</v>
      </c>
      <c r="I473" s="17" t="s">
        <v>450</v>
      </c>
      <c r="J473" s="17" t="s">
        <v>233</v>
      </c>
      <c r="K473" s="19"/>
      <c r="L473" s="19"/>
      <c r="M473" s="19"/>
      <c r="N473" s="19"/>
      <c r="O473" s="17" t="n">
        <v>3</v>
      </c>
      <c r="P473" s="18" t="s">
        <v>2539</v>
      </c>
      <c r="Q473" s="18" t="s">
        <v>2540</v>
      </c>
      <c r="R473" s="18" t="s">
        <v>2541</v>
      </c>
      <c r="S473" s="17" t="s">
        <v>2472</v>
      </c>
      <c r="T473" s="18" t="s">
        <v>2542</v>
      </c>
      <c r="U473" s="19"/>
      <c r="V473" s="18" t="s">
        <v>2543</v>
      </c>
      <c r="W473" s="17" t="s">
        <v>240</v>
      </c>
      <c r="X473" s="17" t="s">
        <v>2544</v>
      </c>
      <c r="Y473" s="17" t="s">
        <v>242</v>
      </c>
      <c r="Z473" s="19"/>
      <c r="AA473" s="19"/>
      <c r="AB473" s="17"/>
      <c r="AC473" s="19"/>
    </row>
    <row r="474" customFormat="false" ht="15" hidden="false" customHeight="false" outlineLevel="0" collapsed="false">
      <c r="A474" s="10" t="s">
        <v>2545</v>
      </c>
      <c r="B474" s="17" t="s">
        <v>60</v>
      </c>
      <c r="C474" s="18" t="s">
        <v>61</v>
      </c>
      <c r="D474" s="17" t="s">
        <v>19</v>
      </c>
      <c r="E474" s="17" t="s">
        <v>75</v>
      </c>
      <c r="F474" s="17" t="s">
        <v>2407</v>
      </c>
      <c r="G474" s="17" t="s">
        <v>2408</v>
      </c>
      <c r="H474" s="17" t="s">
        <v>32</v>
      </c>
      <c r="I474" s="17" t="s">
        <v>450</v>
      </c>
      <c r="J474" s="17" t="s">
        <v>233</v>
      </c>
      <c r="K474" s="19"/>
      <c r="L474" s="19"/>
      <c r="M474" s="19"/>
      <c r="N474" s="19"/>
      <c r="O474" s="17" t="n">
        <v>3</v>
      </c>
      <c r="P474" s="18" t="s">
        <v>2539</v>
      </c>
      <c r="Q474" s="18" t="s">
        <v>2540</v>
      </c>
      <c r="R474" s="18" t="s">
        <v>2546</v>
      </c>
      <c r="S474" s="17" t="s">
        <v>2538</v>
      </c>
      <c r="T474" s="18" t="s">
        <v>2547</v>
      </c>
      <c r="U474" s="19"/>
      <c r="V474" s="18" t="s">
        <v>2548</v>
      </c>
      <c r="W474" s="17" t="s">
        <v>240</v>
      </c>
      <c r="X474" s="17" t="s">
        <v>2170</v>
      </c>
      <c r="Y474" s="17" t="s">
        <v>242</v>
      </c>
      <c r="Z474" s="19"/>
      <c r="AA474" s="19"/>
      <c r="AB474" s="17"/>
      <c r="AC474" s="19"/>
    </row>
    <row r="475" customFormat="false" ht="22.35" hidden="false" customHeight="false" outlineLevel="0" collapsed="false">
      <c r="A475" s="10" t="s">
        <v>2549</v>
      </c>
      <c r="B475" s="17" t="s">
        <v>60</v>
      </c>
      <c r="C475" s="18" t="s">
        <v>61</v>
      </c>
      <c r="D475" s="17" t="s">
        <v>19</v>
      </c>
      <c r="E475" s="17" t="s">
        <v>229</v>
      </c>
      <c r="F475" s="17" t="s">
        <v>2407</v>
      </c>
      <c r="G475" s="17" t="s">
        <v>2408</v>
      </c>
      <c r="H475" s="17" t="s">
        <v>32</v>
      </c>
      <c r="I475" s="17" t="s">
        <v>450</v>
      </c>
      <c r="J475" s="17" t="s">
        <v>233</v>
      </c>
      <c r="K475" s="19"/>
      <c r="L475" s="19"/>
      <c r="M475" s="19"/>
      <c r="N475" s="19"/>
      <c r="O475" s="17" t="n">
        <v>3</v>
      </c>
      <c r="P475" s="18" t="s">
        <v>2539</v>
      </c>
      <c r="Q475" s="18" t="s">
        <v>2540</v>
      </c>
      <c r="R475" s="18" t="s">
        <v>2550</v>
      </c>
      <c r="S475" s="17" t="s">
        <v>2452</v>
      </c>
      <c r="T475" s="18" t="s">
        <v>2344</v>
      </c>
      <c r="U475" s="19"/>
      <c r="V475" s="18" t="s">
        <v>2551</v>
      </c>
      <c r="W475" s="17" t="s">
        <v>240</v>
      </c>
      <c r="X475" s="17" t="s">
        <v>263</v>
      </c>
      <c r="Y475" s="17" t="s">
        <v>242</v>
      </c>
      <c r="Z475" s="19"/>
      <c r="AA475" s="19"/>
      <c r="AB475" s="17"/>
      <c r="AC475" s="19"/>
    </row>
    <row r="476" customFormat="false" ht="15" hidden="false" customHeight="false" outlineLevel="0" collapsed="false">
      <c r="A476" s="10" t="s">
        <v>2552</v>
      </c>
      <c r="B476" s="17" t="s">
        <v>60</v>
      </c>
      <c r="C476" s="18" t="s">
        <v>61</v>
      </c>
      <c r="D476" s="17" t="s">
        <v>19</v>
      </c>
      <c r="E476" s="17" t="s">
        <v>75</v>
      </c>
      <c r="F476" s="17" t="s">
        <v>2407</v>
      </c>
      <c r="G476" s="17" t="s">
        <v>2408</v>
      </c>
      <c r="H476" s="17" t="s">
        <v>32</v>
      </c>
      <c r="I476" s="17" t="s">
        <v>283</v>
      </c>
      <c r="J476" s="17" t="s">
        <v>233</v>
      </c>
      <c r="K476" s="19"/>
      <c r="L476" s="19"/>
      <c r="M476" s="19"/>
      <c r="N476" s="19"/>
      <c r="O476" s="17" t="n">
        <v>3</v>
      </c>
      <c r="P476" s="18" t="s">
        <v>2539</v>
      </c>
      <c r="Q476" s="18" t="s">
        <v>2540</v>
      </c>
      <c r="R476" s="18" t="s">
        <v>2553</v>
      </c>
      <c r="S476" s="17" t="s">
        <v>2549</v>
      </c>
      <c r="T476" s="18" t="s">
        <v>2105</v>
      </c>
      <c r="U476" s="19"/>
      <c r="V476" s="18" t="s">
        <v>2106</v>
      </c>
      <c r="W476" s="17" t="s">
        <v>240</v>
      </c>
      <c r="X476" s="17" t="s">
        <v>2107</v>
      </c>
      <c r="Y476" s="17" t="s">
        <v>242</v>
      </c>
      <c r="Z476" s="19"/>
      <c r="AA476" s="19"/>
      <c r="AB476" s="17"/>
      <c r="AC476" s="19"/>
    </row>
    <row r="477" customFormat="false" ht="32.8" hidden="false" customHeight="false" outlineLevel="0" collapsed="false">
      <c r="A477" s="10" t="s">
        <v>2554</v>
      </c>
      <c r="B477" s="17" t="s">
        <v>60</v>
      </c>
      <c r="C477" s="18" t="s">
        <v>61</v>
      </c>
      <c r="D477" s="17" t="s">
        <v>19</v>
      </c>
      <c r="E477" s="17" t="s">
        <v>75</v>
      </c>
      <c r="F477" s="17" t="s">
        <v>2407</v>
      </c>
      <c r="G477" s="17" t="s">
        <v>2408</v>
      </c>
      <c r="H477" s="17" t="s">
        <v>32</v>
      </c>
      <c r="I477" s="17" t="s">
        <v>333</v>
      </c>
      <c r="J477" s="17" t="s">
        <v>233</v>
      </c>
      <c r="K477" s="19"/>
      <c r="L477" s="19"/>
      <c r="M477" s="19"/>
      <c r="N477" s="19"/>
      <c r="O477" s="17" t="n">
        <v>3</v>
      </c>
      <c r="P477" s="18" t="s">
        <v>2555</v>
      </c>
      <c r="Q477" s="18" t="s">
        <v>2556</v>
      </c>
      <c r="R477" s="18" t="s">
        <v>2557</v>
      </c>
      <c r="S477" s="17" t="s">
        <v>2457</v>
      </c>
      <c r="T477" s="18" t="s">
        <v>2558</v>
      </c>
      <c r="U477" s="19"/>
      <c r="V477" s="18" t="s">
        <v>2559</v>
      </c>
      <c r="W477" s="17" t="s">
        <v>240</v>
      </c>
      <c r="X477" s="17" t="s">
        <v>2560</v>
      </c>
      <c r="Y477" s="17" t="s">
        <v>242</v>
      </c>
      <c r="Z477" s="19"/>
      <c r="AA477" s="19"/>
      <c r="AB477" s="17"/>
      <c r="AC477" s="19"/>
    </row>
    <row r="478" customFormat="false" ht="22.35" hidden="false" customHeight="false" outlineLevel="0" collapsed="false">
      <c r="A478" s="10" t="s">
        <v>2561</v>
      </c>
      <c r="B478" s="17" t="s">
        <v>60</v>
      </c>
      <c r="C478" s="18" t="s">
        <v>61</v>
      </c>
      <c r="D478" s="17" t="s">
        <v>19</v>
      </c>
      <c r="E478" s="17" t="s">
        <v>75</v>
      </c>
      <c r="F478" s="17" t="s">
        <v>2407</v>
      </c>
      <c r="G478" s="17" t="s">
        <v>2408</v>
      </c>
      <c r="H478" s="17" t="s">
        <v>32</v>
      </c>
      <c r="I478" s="17" t="s">
        <v>333</v>
      </c>
      <c r="J478" s="17" t="s">
        <v>233</v>
      </c>
      <c r="K478" s="19"/>
      <c r="L478" s="19"/>
      <c r="M478" s="19"/>
      <c r="N478" s="19"/>
      <c r="O478" s="17" t="n">
        <v>3</v>
      </c>
      <c r="P478" s="18" t="s">
        <v>2555</v>
      </c>
      <c r="Q478" s="18" t="s">
        <v>2556</v>
      </c>
      <c r="R478" s="18" t="s">
        <v>2562</v>
      </c>
      <c r="S478" s="17" t="s">
        <v>2434</v>
      </c>
      <c r="T478" s="18" t="s">
        <v>2563</v>
      </c>
      <c r="U478" s="19"/>
      <c r="V478" s="18" t="s">
        <v>2564</v>
      </c>
      <c r="W478" s="17" t="s">
        <v>240</v>
      </c>
      <c r="X478" s="17" t="s">
        <v>2188</v>
      </c>
      <c r="Y478" s="17" t="s">
        <v>242</v>
      </c>
      <c r="Z478" s="19"/>
      <c r="AA478" s="19"/>
      <c r="AB478" s="17"/>
      <c r="AC478" s="19"/>
    </row>
    <row r="479" customFormat="false" ht="22.35" hidden="false" customHeight="false" outlineLevel="0" collapsed="false">
      <c r="A479" s="10" t="s">
        <v>2565</v>
      </c>
      <c r="B479" s="17" t="s">
        <v>60</v>
      </c>
      <c r="C479" s="18" t="s">
        <v>61</v>
      </c>
      <c r="D479" s="17" t="s">
        <v>19</v>
      </c>
      <c r="E479" s="17" t="s">
        <v>75</v>
      </c>
      <c r="F479" s="17" t="s">
        <v>2407</v>
      </c>
      <c r="G479" s="17" t="s">
        <v>2408</v>
      </c>
      <c r="H479" s="17" t="s">
        <v>32</v>
      </c>
      <c r="I479" s="17" t="s">
        <v>289</v>
      </c>
      <c r="J479" s="17" t="s">
        <v>233</v>
      </c>
      <c r="K479" s="19"/>
      <c r="L479" s="19"/>
      <c r="M479" s="19"/>
      <c r="N479" s="19"/>
      <c r="O479" s="17" t="n">
        <v>3</v>
      </c>
      <c r="P479" s="18" t="s">
        <v>2555</v>
      </c>
      <c r="Q479" s="18" t="s">
        <v>2556</v>
      </c>
      <c r="R479" s="18" t="s">
        <v>2566</v>
      </c>
      <c r="S479" s="17" t="s">
        <v>237</v>
      </c>
      <c r="T479" s="18" t="s">
        <v>2567</v>
      </c>
      <c r="U479" s="19"/>
      <c r="V479" s="18" t="s">
        <v>2568</v>
      </c>
      <c r="W479" s="17" t="s">
        <v>240</v>
      </c>
      <c r="X479" s="17" t="s">
        <v>2188</v>
      </c>
      <c r="Y479" s="17" t="s">
        <v>242</v>
      </c>
      <c r="Z479" s="19"/>
      <c r="AA479" s="19"/>
      <c r="AB479" s="17"/>
      <c r="AC479" s="19"/>
    </row>
    <row r="480" customFormat="false" ht="15" hidden="false" customHeight="false" outlineLevel="0" collapsed="false">
      <c r="A480" s="10" t="s">
        <v>2569</v>
      </c>
      <c r="B480" s="17" t="s">
        <v>60</v>
      </c>
      <c r="C480" s="18" t="s">
        <v>61</v>
      </c>
      <c r="D480" s="17" t="s">
        <v>19</v>
      </c>
      <c r="E480" s="17" t="s">
        <v>75</v>
      </c>
      <c r="F480" s="17" t="s">
        <v>2407</v>
      </c>
      <c r="G480" s="17" t="s">
        <v>2408</v>
      </c>
      <c r="H480" s="17" t="s">
        <v>32</v>
      </c>
      <c r="I480" s="17" t="s">
        <v>283</v>
      </c>
      <c r="J480" s="17" t="s">
        <v>233</v>
      </c>
      <c r="K480" s="19"/>
      <c r="L480" s="19"/>
      <c r="M480" s="19"/>
      <c r="N480" s="19"/>
      <c r="O480" s="17" t="n">
        <v>3</v>
      </c>
      <c r="P480" s="18" t="s">
        <v>2555</v>
      </c>
      <c r="Q480" s="18" t="s">
        <v>2556</v>
      </c>
      <c r="R480" s="18" t="s">
        <v>2570</v>
      </c>
      <c r="S480" s="17" t="s">
        <v>2565</v>
      </c>
      <c r="T480" s="18" t="s">
        <v>2105</v>
      </c>
      <c r="U480" s="19"/>
      <c r="V480" s="18" t="s">
        <v>2106</v>
      </c>
      <c r="W480" s="17" t="s">
        <v>240</v>
      </c>
      <c r="X480" s="17" t="s">
        <v>2107</v>
      </c>
      <c r="Y480" s="17" t="s">
        <v>242</v>
      </c>
      <c r="Z480" s="19"/>
      <c r="AA480" s="19"/>
      <c r="AB480" s="17"/>
      <c r="AC480" s="19"/>
    </row>
    <row r="481" customFormat="false" ht="22.35" hidden="false" customHeight="false" outlineLevel="0" collapsed="false">
      <c r="A481" s="10" t="s">
        <v>2571</v>
      </c>
      <c r="B481" s="17" t="s">
        <v>60</v>
      </c>
      <c r="C481" s="18" t="s">
        <v>61</v>
      </c>
      <c r="D481" s="17" t="s">
        <v>19</v>
      </c>
      <c r="E481" s="17" t="s">
        <v>75</v>
      </c>
      <c r="F481" s="17" t="s">
        <v>2407</v>
      </c>
      <c r="G481" s="17" t="s">
        <v>2408</v>
      </c>
      <c r="H481" s="17" t="s">
        <v>32</v>
      </c>
      <c r="I481" s="17" t="s">
        <v>316</v>
      </c>
      <c r="J481" s="17" t="s">
        <v>233</v>
      </c>
      <c r="K481" s="19"/>
      <c r="L481" s="19"/>
      <c r="M481" s="19"/>
      <c r="N481" s="19"/>
      <c r="O481" s="17" t="n">
        <v>3</v>
      </c>
      <c r="P481" s="18" t="s">
        <v>2572</v>
      </c>
      <c r="Q481" s="18" t="s">
        <v>2573</v>
      </c>
      <c r="R481" s="18" t="s">
        <v>2574</v>
      </c>
      <c r="S481" s="17" t="s">
        <v>2486</v>
      </c>
      <c r="T481" s="18" t="s">
        <v>2575</v>
      </c>
      <c r="U481" s="19"/>
      <c r="V481" s="18" t="s">
        <v>2576</v>
      </c>
      <c r="W481" s="17" t="s">
        <v>240</v>
      </c>
      <c r="X481" s="17" t="s">
        <v>2206</v>
      </c>
      <c r="Y481" s="17" t="s">
        <v>242</v>
      </c>
      <c r="Z481" s="19"/>
      <c r="AA481" s="19"/>
      <c r="AB481" s="17"/>
      <c r="AC481" s="19"/>
    </row>
    <row r="482" customFormat="false" ht="22.35" hidden="false" customHeight="false" outlineLevel="0" collapsed="false">
      <c r="A482" s="10" t="s">
        <v>2577</v>
      </c>
      <c r="B482" s="17" t="s">
        <v>60</v>
      </c>
      <c r="C482" s="18" t="s">
        <v>61</v>
      </c>
      <c r="D482" s="17" t="s">
        <v>19</v>
      </c>
      <c r="E482" s="17" t="s">
        <v>229</v>
      </c>
      <c r="F482" s="17" t="s">
        <v>2407</v>
      </c>
      <c r="G482" s="17" t="s">
        <v>2408</v>
      </c>
      <c r="H482" s="17" t="s">
        <v>32</v>
      </c>
      <c r="I482" s="17" t="s">
        <v>289</v>
      </c>
      <c r="J482" s="17" t="s">
        <v>233</v>
      </c>
      <c r="K482" s="19"/>
      <c r="L482" s="19"/>
      <c r="M482" s="19"/>
      <c r="N482" s="19"/>
      <c r="O482" s="17" t="n">
        <v>3</v>
      </c>
      <c r="P482" s="18" t="s">
        <v>2572</v>
      </c>
      <c r="Q482" s="18" t="s">
        <v>2573</v>
      </c>
      <c r="R482" s="18" t="s">
        <v>2578</v>
      </c>
      <c r="S482" s="17" t="s">
        <v>2571</v>
      </c>
      <c r="T482" s="18" t="s">
        <v>2374</v>
      </c>
      <c r="U482" s="19"/>
      <c r="V482" s="18" t="s">
        <v>2579</v>
      </c>
      <c r="W482" s="17" t="s">
        <v>240</v>
      </c>
      <c r="X482" s="17" t="s">
        <v>2580</v>
      </c>
      <c r="Y482" s="17" t="s">
        <v>242</v>
      </c>
      <c r="Z482" s="19"/>
      <c r="AA482" s="19"/>
      <c r="AB482" s="17"/>
      <c r="AC482" s="19"/>
    </row>
    <row r="483" customFormat="false" ht="32.8" hidden="false" customHeight="false" outlineLevel="0" collapsed="false">
      <c r="A483" s="10" t="s">
        <v>2581</v>
      </c>
      <c r="B483" s="17" t="s">
        <v>60</v>
      </c>
      <c r="C483" s="18" t="s">
        <v>61</v>
      </c>
      <c r="D483" s="17" t="s">
        <v>19</v>
      </c>
      <c r="E483" s="17" t="s">
        <v>75</v>
      </c>
      <c r="F483" s="17" t="s">
        <v>2407</v>
      </c>
      <c r="G483" s="17" t="s">
        <v>2408</v>
      </c>
      <c r="H483" s="17" t="s">
        <v>32</v>
      </c>
      <c r="I483" s="17" t="s">
        <v>1413</v>
      </c>
      <c r="J483" s="17" t="s">
        <v>233</v>
      </c>
      <c r="K483" s="19"/>
      <c r="L483" s="19"/>
      <c r="M483" s="19"/>
      <c r="N483" s="19"/>
      <c r="O483" s="17" t="n">
        <v>3</v>
      </c>
      <c r="P483" s="18" t="s">
        <v>2572</v>
      </c>
      <c r="Q483" s="18" t="s">
        <v>2573</v>
      </c>
      <c r="R483" s="18" t="s">
        <v>2582</v>
      </c>
      <c r="S483" s="17" t="s">
        <v>2448</v>
      </c>
      <c r="T483" s="18" t="s">
        <v>2583</v>
      </c>
      <c r="U483" s="19"/>
      <c r="V483" s="18" t="s">
        <v>2584</v>
      </c>
      <c r="W483" s="17" t="s">
        <v>240</v>
      </c>
      <c r="X483" s="17" t="s">
        <v>2585</v>
      </c>
      <c r="Y483" s="17" t="s">
        <v>242</v>
      </c>
      <c r="Z483" s="19"/>
      <c r="AA483" s="19"/>
      <c r="AB483" s="17"/>
      <c r="AC483" s="19"/>
    </row>
    <row r="484" customFormat="false" ht="22.35" hidden="false" customHeight="false" outlineLevel="0" collapsed="false">
      <c r="A484" s="10" t="s">
        <v>2586</v>
      </c>
      <c r="B484" s="17" t="s">
        <v>60</v>
      </c>
      <c r="C484" s="18" t="s">
        <v>61</v>
      </c>
      <c r="D484" s="17" t="s">
        <v>19</v>
      </c>
      <c r="E484" s="17" t="s">
        <v>75</v>
      </c>
      <c r="F484" s="17" t="s">
        <v>2407</v>
      </c>
      <c r="G484" s="17" t="s">
        <v>2408</v>
      </c>
      <c r="H484" s="17" t="s">
        <v>32</v>
      </c>
      <c r="I484" s="17" t="s">
        <v>283</v>
      </c>
      <c r="J484" s="17" t="s">
        <v>233</v>
      </c>
      <c r="K484" s="19"/>
      <c r="L484" s="19"/>
      <c r="M484" s="19"/>
      <c r="N484" s="19"/>
      <c r="O484" s="17" t="n">
        <v>3</v>
      </c>
      <c r="P484" s="18" t="s">
        <v>2572</v>
      </c>
      <c r="Q484" s="18" t="s">
        <v>2573</v>
      </c>
      <c r="R484" s="18" t="s">
        <v>2587</v>
      </c>
      <c r="S484" s="17" t="s">
        <v>2581</v>
      </c>
      <c r="T484" s="18" t="s">
        <v>2105</v>
      </c>
      <c r="U484" s="19"/>
      <c r="V484" s="18" t="s">
        <v>2106</v>
      </c>
      <c r="W484" s="17" t="s">
        <v>240</v>
      </c>
      <c r="X484" s="17" t="s">
        <v>2107</v>
      </c>
      <c r="Y484" s="17" t="s">
        <v>242</v>
      </c>
      <c r="Z484" s="19"/>
      <c r="AA484" s="19"/>
      <c r="AB484" s="17"/>
      <c r="AC484" s="19"/>
    </row>
    <row r="485" customFormat="false" ht="22.35" hidden="false" customHeight="false" outlineLevel="0" collapsed="false">
      <c r="A485" s="10" t="s">
        <v>2588</v>
      </c>
      <c r="B485" s="17" t="s">
        <v>60</v>
      </c>
      <c r="C485" s="18" t="s">
        <v>61</v>
      </c>
      <c r="D485" s="17" t="s">
        <v>19</v>
      </c>
      <c r="E485" s="17" t="s">
        <v>75</v>
      </c>
      <c r="F485" s="17" t="s">
        <v>2407</v>
      </c>
      <c r="G485" s="17" t="s">
        <v>2408</v>
      </c>
      <c r="H485" s="17" t="s">
        <v>32</v>
      </c>
      <c r="I485" s="17" t="s">
        <v>289</v>
      </c>
      <c r="J485" s="17" t="s">
        <v>233</v>
      </c>
      <c r="K485" s="19"/>
      <c r="L485" s="19"/>
      <c r="M485" s="19"/>
      <c r="N485" s="19"/>
      <c r="O485" s="17" t="n">
        <v>3</v>
      </c>
      <c r="P485" s="18" t="s">
        <v>2589</v>
      </c>
      <c r="Q485" s="18" t="s">
        <v>2590</v>
      </c>
      <c r="R485" s="18" t="s">
        <v>2591</v>
      </c>
      <c r="S485" s="17" t="s">
        <v>2526</v>
      </c>
      <c r="T485" s="18" t="s">
        <v>2592</v>
      </c>
      <c r="U485" s="19"/>
      <c r="V485" s="18" t="s">
        <v>2593</v>
      </c>
      <c r="W485" s="17" t="s">
        <v>240</v>
      </c>
      <c r="X485" s="17" t="s">
        <v>2227</v>
      </c>
      <c r="Y485" s="17" t="s">
        <v>242</v>
      </c>
      <c r="Z485" s="19"/>
      <c r="AA485" s="19"/>
      <c r="AB485" s="17"/>
      <c r="AC485" s="19"/>
    </row>
    <row r="486" customFormat="false" ht="22.35" hidden="false" customHeight="false" outlineLevel="0" collapsed="false">
      <c r="A486" s="10" t="s">
        <v>2594</v>
      </c>
      <c r="B486" s="17" t="s">
        <v>60</v>
      </c>
      <c r="C486" s="18" t="s">
        <v>61</v>
      </c>
      <c r="D486" s="17" t="s">
        <v>19</v>
      </c>
      <c r="E486" s="17" t="s">
        <v>229</v>
      </c>
      <c r="F486" s="17" t="s">
        <v>2407</v>
      </c>
      <c r="G486" s="17" t="s">
        <v>2408</v>
      </c>
      <c r="H486" s="17" t="s">
        <v>32</v>
      </c>
      <c r="I486" s="17" t="s">
        <v>289</v>
      </c>
      <c r="J486" s="17" t="s">
        <v>233</v>
      </c>
      <c r="K486" s="19"/>
      <c r="L486" s="19"/>
      <c r="M486" s="19"/>
      <c r="N486" s="19"/>
      <c r="O486" s="17" t="n">
        <v>3</v>
      </c>
      <c r="P486" s="18" t="s">
        <v>2589</v>
      </c>
      <c r="Q486" s="18" t="s">
        <v>2590</v>
      </c>
      <c r="R486" s="18" t="s">
        <v>2595</v>
      </c>
      <c r="S486" s="17" t="s">
        <v>2588</v>
      </c>
      <c r="T486" s="18" t="s">
        <v>2389</v>
      </c>
      <c r="U486" s="19"/>
      <c r="V486" s="18" t="s">
        <v>2596</v>
      </c>
      <c r="W486" s="17" t="s">
        <v>383</v>
      </c>
      <c r="X486" s="17" t="s">
        <v>2597</v>
      </c>
      <c r="Y486" s="17" t="s">
        <v>242</v>
      </c>
      <c r="Z486" s="19"/>
      <c r="AA486" s="19"/>
      <c r="AB486" s="17"/>
      <c r="AC486" s="19"/>
    </row>
    <row r="487" customFormat="false" ht="22.35" hidden="false" customHeight="false" outlineLevel="0" collapsed="false">
      <c r="A487" s="10" t="s">
        <v>2598</v>
      </c>
      <c r="B487" s="17" t="s">
        <v>60</v>
      </c>
      <c r="C487" s="18" t="s">
        <v>61</v>
      </c>
      <c r="D487" s="17" t="s">
        <v>19</v>
      </c>
      <c r="E487" s="17" t="s">
        <v>75</v>
      </c>
      <c r="F487" s="17" t="s">
        <v>2407</v>
      </c>
      <c r="G487" s="17" t="s">
        <v>2408</v>
      </c>
      <c r="H487" s="17" t="s">
        <v>32</v>
      </c>
      <c r="I487" s="17" t="s">
        <v>1413</v>
      </c>
      <c r="J487" s="17" t="s">
        <v>233</v>
      </c>
      <c r="K487" s="19"/>
      <c r="L487" s="19"/>
      <c r="M487" s="19"/>
      <c r="N487" s="19"/>
      <c r="O487" s="17" t="n">
        <v>3</v>
      </c>
      <c r="P487" s="18" t="s">
        <v>2589</v>
      </c>
      <c r="Q487" s="18" t="s">
        <v>2590</v>
      </c>
      <c r="R487" s="18" t="s">
        <v>2599</v>
      </c>
      <c r="S487" s="17" t="s">
        <v>2446</v>
      </c>
      <c r="T487" s="18" t="s">
        <v>2393</v>
      </c>
      <c r="U487" s="19"/>
      <c r="V487" s="18" t="s">
        <v>2600</v>
      </c>
      <c r="W487" s="17" t="s">
        <v>240</v>
      </c>
      <c r="X487" s="17" t="s">
        <v>2412</v>
      </c>
      <c r="Y487" s="17" t="s">
        <v>242</v>
      </c>
      <c r="Z487" s="19"/>
      <c r="AA487" s="19"/>
      <c r="AB487" s="17"/>
      <c r="AC487" s="19"/>
    </row>
    <row r="488" customFormat="false" ht="15" hidden="false" customHeight="false" outlineLevel="0" collapsed="false">
      <c r="A488" s="10" t="s">
        <v>2601</v>
      </c>
      <c r="B488" s="17" t="s">
        <v>60</v>
      </c>
      <c r="C488" s="18" t="s">
        <v>61</v>
      </c>
      <c r="D488" s="17" t="s">
        <v>19</v>
      </c>
      <c r="E488" s="17" t="s">
        <v>75</v>
      </c>
      <c r="F488" s="17" t="s">
        <v>2407</v>
      </c>
      <c r="G488" s="17" t="s">
        <v>2408</v>
      </c>
      <c r="H488" s="17" t="s">
        <v>32</v>
      </c>
      <c r="I488" s="17" t="s">
        <v>369</v>
      </c>
      <c r="J488" s="17" t="s">
        <v>233</v>
      </c>
      <c r="K488" s="19"/>
      <c r="L488" s="19"/>
      <c r="M488" s="19"/>
      <c r="N488" s="19"/>
      <c r="O488" s="17" t="n">
        <v>3</v>
      </c>
      <c r="P488" s="18" t="s">
        <v>2589</v>
      </c>
      <c r="Q488" s="18" t="s">
        <v>2590</v>
      </c>
      <c r="R488" s="18" t="s">
        <v>2602</v>
      </c>
      <c r="S488" s="17" t="s">
        <v>2486</v>
      </c>
      <c r="T488" s="18" t="s">
        <v>544</v>
      </c>
      <c r="U488" s="19"/>
      <c r="V488" s="18" t="s">
        <v>2603</v>
      </c>
      <c r="W488" s="17" t="s">
        <v>240</v>
      </c>
      <c r="X488" s="17" t="s">
        <v>2243</v>
      </c>
      <c r="Y488" s="17" t="s">
        <v>242</v>
      </c>
      <c r="Z488" s="19"/>
      <c r="AA488" s="19"/>
      <c r="AB488" s="17"/>
      <c r="AC488" s="19"/>
    </row>
    <row r="489" customFormat="false" ht="22.35" hidden="false" customHeight="false" outlineLevel="0" collapsed="false">
      <c r="A489" s="10" t="s">
        <v>2604</v>
      </c>
      <c r="B489" s="17" t="s">
        <v>60</v>
      </c>
      <c r="C489" s="18" t="s">
        <v>61</v>
      </c>
      <c r="D489" s="17" t="s">
        <v>19</v>
      </c>
      <c r="E489" s="17" t="s">
        <v>75</v>
      </c>
      <c r="F489" s="17" t="s">
        <v>2407</v>
      </c>
      <c r="G489" s="17" t="s">
        <v>2408</v>
      </c>
      <c r="H489" s="17" t="s">
        <v>32</v>
      </c>
      <c r="I489" s="17" t="s">
        <v>283</v>
      </c>
      <c r="J489" s="17" t="s">
        <v>233</v>
      </c>
      <c r="K489" s="19"/>
      <c r="L489" s="19"/>
      <c r="M489" s="19"/>
      <c r="N489" s="19"/>
      <c r="O489" s="17" t="n">
        <v>3</v>
      </c>
      <c r="P489" s="18" t="s">
        <v>2589</v>
      </c>
      <c r="Q489" s="18" t="s">
        <v>2590</v>
      </c>
      <c r="R489" s="18" t="s">
        <v>2605</v>
      </c>
      <c r="S489" s="17" t="s">
        <v>2601</v>
      </c>
      <c r="T489" s="18" t="s">
        <v>2105</v>
      </c>
      <c r="U489" s="19"/>
      <c r="V489" s="18" t="s">
        <v>2106</v>
      </c>
      <c r="W489" s="17" t="s">
        <v>240</v>
      </c>
      <c r="X489" s="17" t="s">
        <v>2107</v>
      </c>
      <c r="Y489" s="17" t="s">
        <v>242</v>
      </c>
      <c r="Z489" s="19"/>
      <c r="AA489" s="19"/>
      <c r="AB489" s="17"/>
      <c r="AC489" s="19"/>
    </row>
    <row r="490" customFormat="false" ht="32.8" hidden="false" customHeight="false" outlineLevel="0" collapsed="false">
      <c r="A490" s="10" t="s">
        <v>2606</v>
      </c>
      <c r="B490" s="17" t="s">
        <v>124</v>
      </c>
      <c r="C490" s="18" t="s">
        <v>125</v>
      </c>
      <c r="D490" s="17" t="s">
        <v>19</v>
      </c>
      <c r="E490" s="17" t="s">
        <v>229</v>
      </c>
      <c r="F490" s="17" t="s">
        <v>2407</v>
      </c>
      <c r="G490" s="17" t="s">
        <v>2607</v>
      </c>
      <c r="H490" s="17" t="s">
        <v>32</v>
      </c>
      <c r="I490" s="17" t="s">
        <v>232</v>
      </c>
      <c r="J490" s="17" t="s">
        <v>233</v>
      </c>
      <c r="K490" s="19"/>
      <c r="L490" s="19"/>
      <c r="M490" s="19"/>
      <c r="N490" s="19"/>
      <c r="O490" s="17" t="n">
        <v>0</v>
      </c>
      <c r="P490" s="18" t="s">
        <v>2608</v>
      </c>
      <c r="Q490" s="18" t="s">
        <v>2609</v>
      </c>
      <c r="R490" s="18" t="s">
        <v>2610</v>
      </c>
      <c r="S490" s="17" t="s">
        <v>2611</v>
      </c>
      <c r="T490" s="18" t="s">
        <v>2076</v>
      </c>
      <c r="U490" s="19"/>
      <c r="V490" s="18" t="s">
        <v>2612</v>
      </c>
      <c r="W490" s="17" t="s">
        <v>240</v>
      </c>
      <c r="X490" s="17" t="s">
        <v>2613</v>
      </c>
      <c r="Y490" s="17" t="s">
        <v>242</v>
      </c>
      <c r="Z490" s="19"/>
      <c r="AA490" s="19"/>
      <c r="AB490" s="17"/>
      <c r="AC490" s="19"/>
    </row>
    <row r="491" customFormat="false" ht="22.35" hidden="false" customHeight="false" outlineLevel="0" collapsed="false">
      <c r="A491" s="10" t="s">
        <v>2614</v>
      </c>
      <c r="B491" s="17" t="s">
        <v>124</v>
      </c>
      <c r="C491" s="18" t="s">
        <v>125</v>
      </c>
      <c r="D491" s="17" t="s">
        <v>19</v>
      </c>
      <c r="E491" s="17" t="s">
        <v>229</v>
      </c>
      <c r="F491" s="17" t="s">
        <v>2407</v>
      </c>
      <c r="G491" s="17" t="s">
        <v>2607</v>
      </c>
      <c r="H491" s="17" t="s">
        <v>32</v>
      </c>
      <c r="I491" s="17" t="s">
        <v>232</v>
      </c>
      <c r="J491" s="17" t="s">
        <v>233</v>
      </c>
      <c r="K491" s="19"/>
      <c r="L491" s="19"/>
      <c r="M491" s="19"/>
      <c r="N491" s="19"/>
      <c r="O491" s="17" t="n">
        <v>0</v>
      </c>
      <c r="P491" s="18" t="s">
        <v>2608</v>
      </c>
      <c r="Q491" s="18" t="s">
        <v>2609</v>
      </c>
      <c r="R491" s="18" t="s">
        <v>2615</v>
      </c>
      <c r="S491" s="17" t="s">
        <v>443</v>
      </c>
      <c r="T491" s="18" t="s">
        <v>2616</v>
      </c>
      <c r="U491" s="19"/>
      <c r="V491" s="18" t="s">
        <v>2617</v>
      </c>
      <c r="W491" s="17" t="s">
        <v>240</v>
      </c>
      <c r="X491" s="17" t="s">
        <v>2618</v>
      </c>
      <c r="Y491" s="17" t="s">
        <v>242</v>
      </c>
      <c r="Z491" s="19"/>
      <c r="AA491" s="19"/>
      <c r="AB491" s="17"/>
      <c r="AC491" s="19"/>
    </row>
    <row r="492" customFormat="false" ht="22.35" hidden="false" customHeight="false" outlineLevel="0" collapsed="false">
      <c r="A492" s="10" t="s">
        <v>2619</v>
      </c>
      <c r="B492" s="17" t="s">
        <v>124</v>
      </c>
      <c r="C492" s="18" t="s">
        <v>125</v>
      </c>
      <c r="D492" s="17" t="s">
        <v>19</v>
      </c>
      <c r="E492" s="17" t="s">
        <v>229</v>
      </c>
      <c r="F492" s="17" t="s">
        <v>2407</v>
      </c>
      <c r="G492" s="17" t="s">
        <v>2607</v>
      </c>
      <c r="H492" s="17" t="s">
        <v>32</v>
      </c>
      <c r="I492" s="17" t="s">
        <v>232</v>
      </c>
      <c r="J492" s="17" t="s">
        <v>233</v>
      </c>
      <c r="K492" s="19"/>
      <c r="L492" s="19"/>
      <c r="M492" s="19"/>
      <c r="N492" s="19"/>
      <c r="O492" s="17" t="n">
        <v>0</v>
      </c>
      <c r="P492" s="18" t="s">
        <v>2608</v>
      </c>
      <c r="Q492" s="18" t="s">
        <v>2609</v>
      </c>
      <c r="R492" s="18" t="s">
        <v>2620</v>
      </c>
      <c r="S492" s="17" t="s">
        <v>443</v>
      </c>
      <c r="T492" s="18" t="s">
        <v>2621</v>
      </c>
      <c r="U492" s="19"/>
      <c r="V492" s="18" t="s">
        <v>2622</v>
      </c>
      <c r="W492" s="17" t="s">
        <v>240</v>
      </c>
      <c r="X492" s="17" t="s">
        <v>2623</v>
      </c>
      <c r="Y492" s="17" t="s">
        <v>242</v>
      </c>
      <c r="Z492" s="19"/>
      <c r="AA492" s="19"/>
      <c r="AB492" s="17"/>
      <c r="AC492" s="19"/>
    </row>
    <row r="493" customFormat="false" ht="22.35" hidden="false" customHeight="false" outlineLevel="0" collapsed="false">
      <c r="A493" s="10" t="s">
        <v>2624</v>
      </c>
      <c r="B493" s="17" t="s">
        <v>124</v>
      </c>
      <c r="C493" s="18" t="s">
        <v>125</v>
      </c>
      <c r="D493" s="17" t="s">
        <v>19</v>
      </c>
      <c r="E493" s="17" t="s">
        <v>229</v>
      </c>
      <c r="F493" s="17" t="s">
        <v>2407</v>
      </c>
      <c r="G493" s="17" t="s">
        <v>2607</v>
      </c>
      <c r="H493" s="17" t="s">
        <v>32</v>
      </c>
      <c r="I493" s="17" t="s">
        <v>333</v>
      </c>
      <c r="J493" s="17" t="s">
        <v>233</v>
      </c>
      <c r="K493" s="19"/>
      <c r="L493" s="19"/>
      <c r="M493" s="19"/>
      <c r="N493" s="19"/>
      <c r="O493" s="17" t="n">
        <v>0</v>
      </c>
      <c r="P493" s="18" t="s">
        <v>2608</v>
      </c>
      <c r="Q493" s="18" t="s">
        <v>2609</v>
      </c>
      <c r="R493" s="18" t="s">
        <v>2625</v>
      </c>
      <c r="S493" s="17" t="s">
        <v>237</v>
      </c>
      <c r="T493" s="18" t="s">
        <v>2626</v>
      </c>
      <c r="U493" s="19"/>
      <c r="V493" s="18" t="s">
        <v>2627</v>
      </c>
      <c r="W493" s="17" t="s">
        <v>240</v>
      </c>
      <c r="X493" s="17" t="s">
        <v>2628</v>
      </c>
      <c r="Y493" s="17" t="s">
        <v>242</v>
      </c>
      <c r="Z493" s="19"/>
      <c r="AA493" s="19"/>
      <c r="AB493" s="17"/>
      <c r="AC493" s="19"/>
    </row>
    <row r="494" customFormat="false" ht="22.35" hidden="false" customHeight="false" outlineLevel="0" collapsed="false">
      <c r="A494" s="10" t="s">
        <v>2629</v>
      </c>
      <c r="B494" s="17" t="s">
        <v>124</v>
      </c>
      <c r="C494" s="18" t="s">
        <v>125</v>
      </c>
      <c r="D494" s="17" t="s">
        <v>19</v>
      </c>
      <c r="E494" s="17" t="s">
        <v>229</v>
      </c>
      <c r="F494" s="17" t="s">
        <v>2407</v>
      </c>
      <c r="G494" s="17" t="s">
        <v>2607</v>
      </c>
      <c r="H494" s="17" t="s">
        <v>32</v>
      </c>
      <c r="I494" s="17" t="s">
        <v>333</v>
      </c>
      <c r="J494" s="17" t="s">
        <v>233</v>
      </c>
      <c r="K494" s="19"/>
      <c r="L494" s="19"/>
      <c r="M494" s="19"/>
      <c r="N494" s="19"/>
      <c r="O494" s="17" t="n">
        <v>0</v>
      </c>
      <c r="P494" s="18" t="s">
        <v>2608</v>
      </c>
      <c r="Q494" s="18" t="s">
        <v>2609</v>
      </c>
      <c r="R494" s="18" t="s">
        <v>2630</v>
      </c>
      <c r="S494" s="17" t="s">
        <v>237</v>
      </c>
      <c r="T494" s="18" t="s">
        <v>2631</v>
      </c>
      <c r="U494" s="19"/>
      <c r="V494" s="18" t="s">
        <v>2632</v>
      </c>
      <c r="W494" s="17" t="s">
        <v>240</v>
      </c>
      <c r="X494" s="17" t="s">
        <v>2628</v>
      </c>
      <c r="Y494" s="17" t="s">
        <v>242</v>
      </c>
      <c r="Z494" s="19"/>
      <c r="AA494" s="19"/>
      <c r="AB494" s="17"/>
      <c r="AC494" s="19"/>
    </row>
    <row r="495" customFormat="false" ht="15" hidden="false" customHeight="false" outlineLevel="0" collapsed="false">
      <c r="A495" s="10" t="s">
        <v>2633</v>
      </c>
      <c r="B495" s="17" t="s">
        <v>124</v>
      </c>
      <c r="C495" s="18" t="s">
        <v>125</v>
      </c>
      <c r="D495" s="17" t="s">
        <v>19</v>
      </c>
      <c r="E495" s="17" t="s">
        <v>229</v>
      </c>
      <c r="F495" s="17" t="s">
        <v>2407</v>
      </c>
      <c r="G495" s="17" t="s">
        <v>2607</v>
      </c>
      <c r="H495" s="17" t="s">
        <v>32</v>
      </c>
      <c r="I495" s="17" t="s">
        <v>277</v>
      </c>
      <c r="J495" s="17" t="s">
        <v>233</v>
      </c>
      <c r="K495" s="19"/>
      <c r="L495" s="19"/>
      <c r="M495" s="19"/>
      <c r="N495" s="19"/>
      <c r="O495" s="17" t="n">
        <v>0</v>
      </c>
      <c r="P495" s="18" t="s">
        <v>2608</v>
      </c>
      <c r="Q495" s="18" t="s">
        <v>2609</v>
      </c>
      <c r="R495" s="18" t="s">
        <v>2634</v>
      </c>
      <c r="S495" s="17" t="s">
        <v>2606</v>
      </c>
      <c r="T495" s="18" t="s">
        <v>2284</v>
      </c>
      <c r="U495" s="19"/>
      <c r="V495" s="18" t="s">
        <v>2285</v>
      </c>
      <c r="W495" s="17" t="s">
        <v>240</v>
      </c>
      <c r="X495" s="17" t="s">
        <v>2102</v>
      </c>
      <c r="Y495" s="17" t="s">
        <v>242</v>
      </c>
      <c r="Z495" s="19"/>
      <c r="AA495" s="19"/>
      <c r="AB495" s="17"/>
      <c r="AC495" s="19"/>
    </row>
    <row r="496" customFormat="false" ht="15" hidden="false" customHeight="false" outlineLevel="0" collapsed="false">
      <c r="A496" s="10" t="s">
        <v>2635</v>
      </c>
      <c r="B496" s="17" t="s">
        <v>124</v>
      </c>
      <c r="C496" s="18" t="s">
        <v>125</v>
      </c>
      <c r="D496" s="17" t="s">
        <v>19</v>
      </c>
      <c r="E496" s="17" t="s">
        <v>229</v>
      </c>
      <c r="F496" s="17" t="s">
        <v>2407</v>
      </c>
      <c r="G496" s="17" t="s">
        <v>2607</v>
      </c>
      <c r="H496" s="17" t="s">
        <v>32</v>
      </c>
      <c r="I496" s="17" t="s">
        <v>283</v>
      </c>
      <c r="J496" s="17" t="s">
        <v>233</v>
      </c>
      <c r="K496" s="19"/>
      <c r="L496" s="19"/>
      <c r="M496" s="19"/>
      <c r="N496" s="19"/>
      <c r="O496" s="17" t="n">
        <v>0</v>
      </c>
      <c r="P496" s="18" t="s">
        <v>2608</v>
      </c>
      <c r="Q496" s="18" t="s">
        <v>2609</v>
      </c>
      <c r="R496" s="18" t="s">
        <v>2636</v>
      </c>
      <c r="S496" s="17" t="s">
        <v>2633</v>
      </c>
      <c r="T496" s="18" t="s">
        <v>2105</v>
      </c>
      <c r="U496" s="19"/>
      <c r="V496" s="18" t="s">
        <v>2106</v>
      </c>
      <c r="W496" s="17" t="s">
        <v>240</v>
      </c>
      <c r="X496" s="17" t="s">
        <v>2107</v>
      </c>
      <c r="Y496" s="17" t="s">
        <v>242</v>
      </c>
      <c r="Z496" s="19"/>
      <c r="AA496" s="19"/>
      <c r="AB496" s="17"/>
      <c r="AC496" s="19"/>
    </row>
    <row r="497" customFormat="false" ht="22.35" hidden="false" customHeight="false" outlineLevel="0" collapsed="false">
      <c r="A497" s="10" t="s">
        <v>2637</v>
      </c>
      <c r="B497" s="17" t="s">
        <v>124</v>
      </c>
      <c r="C497" s="18" t="s">
        <v>125</v>
      </c>
      <c r="D497" s="17" t="s">
        <v>19</v>
      </c>
      <c r="E497" s="17" t="s">
        <v>75</v>
      </c>
      <c r="F497" s="17" t="s">
        <v>2407</v>
      </c>
      <c r="G497" s="17" t="s">
        <v>2607</v>
      </c>
      <c r="H497" s="17" t="s">
        <v>32</v>
      </c>
      <c r="I497" s="17" t="s">
        <v>2638</v>
      </c>
      <c r="J497" s="17" t="s">
        <v>233</v>
      </c>
      <c r="K497" s="19"/>
      <c r="L497" s="19"/>
      <c r="M497" s="19"/>
      <c r="N497" s="19"/>
      <c r="O497" s="17" t="n">
        <v>3</v>
      </c>
      <c r="P497" s="18" t="s">
        <v>2639</v>
      </c>
      <c r="Q497" s="18" t="s">
        <v>2640</v>
      </c>
      <c r="R497" s="18" t="s">
        <v>2641</v>
      </c>
      <c r="S497" s="17" t="s">
        <v>2606</v>
      </c>
      <c r="T497" s="18" t="s">
        <v>2642</v>
      </c>
      <c r="U497" s="19"/>
      <c r="V497" s="18" t="s">
        <v>2643</v>
      </c>
      <c r="W497" s="17" t="s">
        <v>240</v>
      </c>
      <c r="X497" s="17" t="s">
        <v>2644</v>
      </c>
      <c r="Y497" s="17" t="s">
        <v>242</v>
      </c>
      <c r="Z497" s="19"/>
      <c r="AA497" s="19"/>
      <c r="AB497" s="17"/>
      <c r="AC497" s="19"/>
    </row>
    <row r="498" customFormat="false" ht="32.8" hidden="false" customHeight="false" outlineLevel="0" collapsed="false">
      <c r="A498" s="10" t="s">
        <v>2645</v>
      </c>
      <c r="B498" s="17" t="s">
        <v>124</v>
      </c>
      <c r="C498" s="18" t="s">
        <v>125</v>
      </c>
      <c r="D498" s="17" t="s">
        <v>19</v>
      </c>
      <c r="E498" s="17" t="s">
        <v>75</v>
      </c>
      <c r="F498" s="17" t="s">
        <v>2407</v>
      </c>
      <c r="G498" s="17" t="s">
        <v>2607</v>
      </c>
      <c r="H498" s="17" t="s">
        <v>32</v>
      </c>
      <c r="I498" s="17" t="s">
        <v>2638</v>
      </c>
      <c r="J498" s="17" t="s">
        <v>233</v>
      </c>
      <c r="K498" s="19"/>
      <c r="L498" s="19"/>
      <c r="M498" s="19"/>
      <c r="N498" s="19"/>
      <c r="O498" s="17" t="n">
        <v>3</v>
      </c>
      <c r="P498" s="18" t="s">
        <v>2639</v>
      </c>
      <c r="Q498" s="18" t="s">
        <v>2640</v>
      </c>
      <c r="R498" s="18" t="s">
        <v>2646</v>
      </c>
      <c r="S498" s="17" t="s">
        <v>2637</v>
      </c>
      <c r="T498" s="18" t="s">
        <v>2647</v>
      </c>
      <c r="U498" s="19"/>
      <c r="V498" s="18" t="s">
        <v>2648</v>
      </c>
      <c r="W498" s="17" t="s">
        <v>240</v>
      </c>
      <c r="X498" s="17" t="s">
        <v>2649</v>
      </c>
      <c r="Y498" s="17" t="s">
        <v>242</v>
      </c>
      <c r="Z498" s="19"/>
      <c r="AA498" s="19"/>
      <c r="AB498" s="17"/>
      <c r="AC498" s="19"/>
    </row>
    <row r="499" customFormat="false" ht="22.35" hidden="false" customHeight="false" outlineLevel="0" collapsed="false">
      <c r="A499" s="10" t="s">
        <v>2650</v>
      </c>
      <c r="B499" s="17" t="s">
        <v>124</v>
      </c>
      <c r="C499" s="18" t="s">
        <v>125</v>
      </c>
      <c r="D499" s="17" t="s">
        <v>19</v>
      </c>
      <c r="E499" s="17" t="s">
        <v>75</v>
      </c>
      <c r="F499" s="17" t="s">
        <v>2407</v>
      </c>
      <c r="G499" s="17" t="s">
        <v>2607</v>
      </c>
      <c r="H499" s="17" t="s">
        <v>32</v>
      </c>
      <c r="I499" s="17" t="s">
        <v>2638</v>
      </c>
      <c r="J499" s="17" t="s">
        <v>233</v>
      </c>
      <c r="K499" s="19"/>
      <c r="L499" s="19"/>
      <c r="M499" s="19"/>
      <c r="N499" s="19"/>
      <c r="O499" s="17" t="n">
        <v>3</v>
      </c>
      <c r="P499" s="18" t="s">
        <v>2639</v>
      </c>
      <c r="Q499" s="18" t="s">
        <v>2640</v>
      </c>
      <c r="R499" s="18" t="s">
        <v>2651</v>
      </c>
      <c r="S499" s="17" t="s">
        <v>2629</v>
      </c>
      <c r="T499" s="18" t="s">
        <v>2652</v>
      </c>
      <c r="U499" s="19"/>
      <c r="V499" s="18" t="s">
        <v>2653</v>
      </c>
      <c r="W499" s="17" t="s">
        <v>240</v>
      </c>
      <c r="X499" s="17" t="s">
        <v>2644</v>
      </c>
      <c r="Y499" s="17" t="s">
        <v>242</v>
      </c>
      <c r="Z499" s="19"/>
      <c r="AA499" s="19"/>
      <c r="AB499" s="17"/>
      <c r="AC499" s="19"/>
    </row>
    <row r="500" customFormat="false" ht="15" hidden="false" customHeight="false" outlineLevel="0" collapsed="false">
      <c r="A500" s="10" t="s">
        <v>2654</v>
      </c>
      <c r="B500" s="17" t="s">
        <v>124</v>
      </c>
      <c r="C500" s="18" t="s">
        <v>125</v>
      </c>
      <c r="D500" s="17" t="s">
        <v>19</v>
      </c>
      <c r="E500" s="17" t="s">
        <v>75</v>
      </c>
      <c r="F500" s="17" t="s">
        <v>2407</v>
      </c>
      <c r="G500" s="17" t="s">
        <v>2607</v>
      </c>
      <c r="H500" s="17" t="s">
        <v>32</v>
      </c>
      <c r="I500" s="17" t="s">
        <v>277</v>
      </c>
      <c r="J500" s="17" t="s">
        <v>233</v>
      </c>
      <c r="K500" s="19"/>
      <c r="L500" s="19"/>
      <c r="M500" s="19"/>
      <c r="N500" s="19"/>
      <c r="O500" s="17" t="n">
        <v>3</v>
      </c>
      <c r="P500" s="18" t="s">
        <v>2639</v>
      </c>
      <c r="Q500" s="18" t="s">
        <v>2640</v>
      </c>
      <c r="R500" s="18" t="s">
        <v>2655</v>
      </c>
      <c r="S500" s="17" t="s">
        <v>2645</v>
      </c>
      <c r="T500" s="18" t="s">
        <v>2656</v>
      </c>
      <c r="U500" s="19"/>
      <c r="V500" s="18" t="s">
        <v>2657</v>
      </c>
      <c r="W500" s="17" t="s">
        <v>240</v>
      </c>
      <c r="X500" s="17" t="s">
        <v>2644</v>
      </c>
      <c r="Y500" s="17" t="s">
        <v>242</v>
      </c>
      <c r="Z500" s="19"/>
      <c r="AA500" s="19"/>
      <c r="AB500" s="17"/>
      <c r="AC500" s="19"/>
    </row>
    <row r="501" customFormat="false" ht="15" hidden="false" customHeight="false" outlineLevel="0" collapsed="false">
      <c r="A501" s="10" t="s">
        <v>2658</v>
      </c>
      <c r="B501" s="17" t="s">
        <v>124</v>
      </c>
      <c r="C501" s="18" t="s">
        <v>125</v>
      </c>
      <c r="D501" s="17" t="s">
        <v>19</v>
      </c>
      <c r="E501" s="17" t="s">
        <v>75</v>
      </c>
      <c r="F501" s="17" t="s">
        <v>2407</v>
      </c>
      <c r="G501" s="17" t="s">
        <v>2607</v>
      </c>
      <c r="H501" s="17" t="s">
        <v>32</v>
      </c>
      <c r="I501" s="17" t="s">
        <v>316</v>
      </c>
      <c r="J501" s="17" t="s">
        <v>233</v>
      </c>
      <c r="K501" s="19"/>
      <c r="L501" s="19"/>
      <c r="M501" s="19"/>
      <c r="N501" s="19"/>
      <c r="O501" s="17" t="n">
        <v>3</v>
      </c>
      <c r="P501" s="18" t="s">
        <v>2639</v>
      </c>
      <c r="Q501" s="18" t="s">
        <v>2640</v>
      </c>
      <c r="R501" s="18" t="s">
        <v>2659</v>
      </c>
      <c r="S501" s="17" t="s">
        <v>2624</v>
      </c>
      <c r="T501" s="18" t="s">
        <v>2438</v>
      </c>
      <c r="U501" s="19"/>
      <c r="V501" s="18" t="s">
        <v>2660</v>
      </c>
      <c r="W501" s="17" t="s">
        <v>240</v>
      </c>
      <c r="X501" s="17" t="s">
        <v>2644</v>
      </c>
      <c r="Y501" s="17" t="s">
        <v>242</v>
      </c>
      <c r="Z501" s="19"/>
      <c r="AA501" s="19"/>
      <c r="AB501" s="17"/>
      <c r="AC501" s="19"/>
    </row>
    <row r="502" customFormat="false" ht="15" hidden="false" customHeight="false" outlineLevel="0" collapsed="false">
      <c r="A502" s="10" t="s">
        <v>2661</v>
      </c>
      <c r="B502" s="17" t="s">
        <v>124</v>
      </c>
      <c r="C502" s="18" t="s">
        <v>125</v>
      </c>
      <c r="D502" s="17" t="s">
        <v>19</v>
      </c>
      <c r="E502" s="17" t="s">
        <v>75</v>
      </c>
      <c r="F502" s="17" t="s">
        <v>2407</v>
      </c>
      <c r="G502" s="17" t="s">
        <v>2607</v>
      </c>
      <c r="H502" s="17" t="s">
        <v>32</v>
      </c>
      <c r="I502" s="17" t="s">
        <v>283</v>
      </c>
      <c r="J502" s="17" t="s">
        <v>233</v>
      </c>
      <c r="K502" s="19"/>
      <c r="L502" s="19"/>
      <c r="M502" s="19"/>
      <c r="N502" s="19"/>
      <c r="O502" s="17" t="n">
        <v>3</v>
      </c>
      <c r="P502" s="18" t="s">
        <v>2639</v>
      </c>
      <c r="Q502" s="18" t="s">
        <v>2640</v>
      </c>
      <c r="R502" s="18" t="s">
        <v>2662</v>
      </c>
      <c r="S502" s="17" t="s">
        <v>2658</v>
      </c>
      <c r="T502" s="18" t="s">
        <v>2105</v>
      </c>
      <c r="U502" s="19"/>
      <c r="V502" s="18" t="s">
        <v>2106</v>
      </c>
      <c r="W502" s="17" t="s">
        <v>240</v>
      </c>
      <c r="X502" s="17" t="s">
        <v>2107</v>
      </c>
      <c r="Y502" s="17" t="s">
        <v>242</v>
      </c>
      <c r="Z502" s="19"/>
      <c r="AA502" s="19"/>
      <c r="AB502" s="17"/>
      <c r="AC502" s="19"/>
    </row>
    <row r="503" customFormat="false" ht="15" hidden="false" customHeight="false" outlineLevel="0" collapsed="false">
      <c r="A503" s="10" t="s">
        <v>2663</v>
      </c>
      <c r="B503" s="17" t="s">
        <v>124</v>
      </c>
      <c r="C503" s="18" t="s">
        <v>125</v>
      </c>
      <c r="D503" s="17" t="s">
        <v>19</v>
      </c>
      <c r="E503" s="17" t="s">
        <v>75</v>
      </c>
      <c r="F503" s="17" t="s">
        <v>2407</v>
      </c>
      <c r="G503" s="17" t="s">
        <v>2607</v>
      </c>
      <c r="H503" s="17" t="s">
        <v>32</v>
      </c>
      <c r="I503" s="17" t="s">
        <v>2638</v>
      </c>
      <c r="J503" s="17" t="s">
        <v>233</v>
      </c>
      <c r="K503" s="19"/>
      <c r="L503" s="19"/>
      <c r="M503" s="19"/>
      <c r="N503" s="19"/>
      <c r="O503" s="17" t="n">
        <v>3</v>
      </c>
      <c r="P503" s="18" t="s">
        <v>2664</v>
      </c>
      <c r="Q503" s="18" t="s">
        <v>2665</v>
      </c>
      <c r="R503" s="18" t="s">
        <v>2666</v>
      </c>
      <c r="S503" s="17" t="s">
        <v>2606</v>
      </c>
      <c r="T503" s="18" t="s">
        <v>2667</v>
      </c>
      <c r="U503" s="19"/>
      <c r="V503" s="18" t="s">
        <v>2668</v>
      </c>
      <c r="W503" s="17" t="s">
        <v>240</v>
      </c>
      <c r="X503" s="17" t="s">
        <v>2628</v>
      </c>
      <c r="Y503" s="17" t="s">
        <v>242</v>
      </c>
      <c r="Z503" s="19"/>
      <c r="AA503" s="19"/>
      <c r="AB503" s="17"/>
      <c r="AC503" s="19"/>
    </row>
    <row r="504" customFormat="false" ht="22.35" hidden="false" customHeight="false" outlineLevel="0" collapsed="false">
      <c r="A504" s="10" t="s">
        <v>2669</v>
      </c>
      <c r="B504" s="17" t="s">
        <v>124</v>
      </c>
      <c r="C504" s="18" t="s">
        <v>125</v>
      </c>
      <c r="D504" s="17" t="s">
        <v>19</v>
      </c>
      <c r="E504" s="17" t="s">
        <v>229</v>
      </c>
      <c r="F504" s="17" t="s">
        <v>2407</v>
      </c>
      <c r="G504" s="17" t="s">
        <v>2607</v>
      </c>
      <c r="H504" s="17" t="s">
        <v>32</v>
      </c>
      <c r="I504" s="17" t="s">
        <v>2638</v>
      </c>
      <c r="J504" s="17" t="s">
        <v>233</v>
      </c>
      <c r="K504" s="19"/>
      <c r="L504" s="19"/>
      <c r="M504" s="19"/>
      <c r="N504" s="19"/>
      <c r="O504" s="17" t="n">
        <v>3</v>
      </c>
      <c r="P504" s="18" t="s">
        <v>2664</v>
      </c>
      <c r="Q504" s="18" t="s">
        <v>2665</v>
      </c>
      <c r="R504" s="18" t="s">
        <v>2670</v>
      </c>
      <c r="S504" s="17" t="s">
        <v>2663</v>
      </c>
      <c r="T504" s="18" t="s">
        <v>2671</v>
      </c>
      <c r="U504" s="19"/>
      <c r="V504" s="18" t="s">
        <v>2672</v>
      </c>
      <c r="W504" s="17" t="s">
        <v>240</v>
      </c>
      <c r="X504" s="17" t="s">
        <v>2673</v>
      </c>
      <c r="Y504" s="17" t="s">
        <v>242</v>
      </c>
      <c r="Z504" s="19"/>
      <c r="AA504" s="19"/>
      <c r="AB504" s="17"/>
      <c r="AC504" s="19"/>
    </row>
    <row r="505" customFormat="false" ht="15" hidden="false" customHeight="false" outlineLevel="0" collapsed="false">
      <c r="A505" s="10" t="s">
        <v>2674</v>
      </c>
      <c r="B505" s="17" t="s">
        <v>124</v>
      </c>
      <c r="C505" s="18" t="s">
        <v>125</v>
      </c>
      <c r="D505" s="17" t="s">
        <v>19</v>
      </c>
      <c r="E505" s="17" t="s">
        <v>75</v>
      </c>
      <c r="F505" s="17" t="s">
        <v>2407</v>
      </c>
      <c r="G505" s="17" t="s">
        <v>2607</v>
      </c>
      <c r="H505" s="17" t="s">
        <v>32</v>
      </c>
      <c r="I505" s="17" t="s">
        <v>2638</v>
      </c>
      <c r="J505" s="17" t="s">
        <v>233</v>
      </c>
      <c r="K505" s="19"/>
      <c r="L505" s="19"/>
      <c r="M505" s="19"/>
      <c r="N505" s="19"/>
      <c r="O505" s="17" t="n">
        <v>3</v>
      </c>
      <c r="P505" s="18" t="s">
        <v>2664</v>
      </c>
      <c r="Q505" s="18" t="s">
        <v>2665</v>
      </c>
      <c r="R505" s="18" t="s">
        <v>2675</v>
      </c>
      <c r="S505" s="17" t="s">
        <v>2669</v>
      </c>
      <c r="T505" s="18" t="s">
        <v>2676</v>
      </c>
      <c r="U505" s="19"/>
      <c r="V505" s="18" t="s">
        <v>2677</v>
      </c>
      <c r="W505" s="17" t="s">
        <v>240</v>
      </c>
      <c r="X505" s="17" t="s">
        <v>2678</v>
      </c>
      <c r="Y505" s="17" t="s">
        <v>242</v>
      </c>
      <c r="Z505" s="19"/>
      <c r="AA505" s="19"/>
      <c r="AB505" s="17"/>
      <c r="AC505" s="19"/>
    </row>
    <row r="506" customFormat="false" ht="22.35" hidden="false" customHeight="false" outlineLevel="0" collapsed="false">
      <c r="A506" s="10" t="s">
        <v>2679</v>
      </c>
      <c r="B506" s="17" t="s">
        <v>124</v>
      </c>
      <c r="C506" s="18" t="s">
        <v>125</v>
      </c>
      <c r="D506" s="17" t="s">
        <v>19</v>
      </c>
      <c r="E506" s="17" t="s">
        <v>75</v>
      </c>
      <c r="F506" s="17" t="s">
        <v>2407</v>
      </c>
      <c r="G506" s="17" t="s">
        <v>2607</v>
      </c>
      <c r="H506" s="17" t="s">
        <v>32</v>
      </c>
      <c r="I506" s="17" t="s">
        <v>2638</v>
      </c>
      <c r="J506" s="17" t="s">
        <v>233</v>
      </c>
      <c r="K506" s="19"/>
      <c r="L506" s="19"/>
      <c r="M506" s="19"/>
      <c r="N506" s="19"/>
      <c r="O506" s="17" t="n">
        <v>3</v>
      </c>
      <c r="P506" s="18" t="s">
        <v>2664</v>
      </c>
      <c r="Q506" s="18" t="s">
        <v>2665</v>
      </c>
      <c r="R506" s="18" t="s">
        <v>2680</v>
      </c>
      <c r="S506" s="17" t="s">
        <v>2629</v>
      </c>
      <c r="T506" s="18" t="s">
        <v>2681</v>
      </c>
      <c r="U506" s="19"/>
      <c r="V506" s="18" t="s">
        <v>2682</v>
      </c>
      <c r="W506" s="17" t="s">
        <v>240</v>
      </c>
      <c r="X506" s="17" t="s">
        <v>2628</v>
      </c>
      <c r="Y506" s="17" t="s">
        <v>242</v>
      </c>
      <c r="Z506" s="19"/>
      <c r="AA506" s="19"/>
      <c r="AB506" s="17"/>
      <c r="AC506" s="19"/>
    </row>
    <row r="507" customFormat="false" ht="22.35" hidden="false" customHeight="false" outlineLevel="0" collapsed="false">
      <c r="A507" s="10" t="s">
        <v>2683</v>
      </c>
      <c r="B507" s="17" t="s">
        <v>124</v>
      </c>
      <c r="C507" s="18" t="s">
        <v>125</v>
      </c>
      <c r="D507" s="17" t="s">
        <v>19</v>
      </c>
      <c r="E507" s="17" t="s">
        <v>75</v>
      </c>
      <c r="F507" s="17" t="s">
        <v>2407</v>
      </c>
      <c r="G507" s="17" t="s">
        <v>2607</v>
      </c>
      <c r="H507" s="17" t="s">
        <v>32</v>
      </c>
      <c r="I507" s="17" t="s">
        <v>283</v>
      </c>
      <c r="J507" s="17" t="s">
        <v>233</v>
      </c>
      <c r="K507" s="19"/>
      <c r="L507" s="19"/>
      <c r="M507" s="19"/>
      <c r="N507" s="19"/>
      <c r="O507" s="17" t="n">
        <v>3</v>
      </c>
      <c r="P507" s="18" t="s">
        <v>2664</v>
      </c>
      <c r="Q507" s="18" t="s">
        <v>2665</v>
      </c>
      <c r="R507" s="18" t="s">
        <v>2684</v>
      </c>
      <c r="S507" s="17" t="s">
        <v>2679</v>
      </c>
      <c r="T507" s="18" t="s">
        <v>2105</v>
      </c>
      <c r="U507" s="19"/>
      <c r="V507" s="18" t="s">
        <v>2106</v>
      </c>
      <c r="W507" s="17" t="s">
        <v>240</v>
      </c>
      <c r="X507" s="17" t="s">
        <v>2107</v>
      </c>
      <c r="Y507" s="17" t="s">
        <v>242</v>
      </c>
      <c r="Z507" s="19"/>
      <c r="AA507" s="19"/>
      <c r="AB507" s="17"/>
      <c r="AC507" s="19"/>
    </row>
    <row r="508" customFormat="false" ht="22.35" hidden="false" customHeight="false" outlineLevel="0" collapsed="false">
      <c r="A508" s="10" t="s">
        <v>2685</v>
      </c>
      <c r="B508" s="17" t="s">
        <v>124</v>
      </c>
      <c r="C508" s="18" t="s">
        <v>125</v>
      </c>
      <c r="D508" s="17" t="s">
        <v>19</v>
      </c>
      <c r="E508" s="17" t="s">
        <v>229</v>
      </c>
      <c r="F508" s="17" t="s">
        <v>2407</v>
      </c>
      <c r="G508" s="17" t="s">
        <v>2607</v>
      </c>
      <c r="H508" s="17" t="s">
        <v>32</v>
      </c>
      <c r="I508" s="17" t="s">
        <v>2638</v>
      </c>
      <c r="J508" s="17" t="s">
        <v>233</v>
      </c>
      <c r="K508" s="19"/>
      <c r="L508" s="19"/>
      <c r="M508" s="19"/>
      <c r="N508" s="19"/>
      <c r="O508" s="17" t="n">
        <v>3</v>
      </c>
      <c r="P508" s="18" t="s">
        <v>2686</v>
      </c>
      <c r="Q508" s="18" t="s">
        <v>2687</v>
      </c>
      <c r="R508" s="18" t="s">
        <v>2688</v>
      </c>
      <c r="S508" s="17" t="s">
        <v>2689</v>
      </c>
      <c r="T508" s="18" t="s">
        <v>2690</v>
      </c>
      <c r="U508" s="19"/>
      <c r="V508" s="18" t="s">
        <v>2691</v>
      </c>
      <c r="W508" s="17" t="s">
        <v>240</v>
      </c>
      <c r="X508" s="17" t="s">
        <v>2673</v>
      </c>
      <c r="Y508" s="17" t="s">
        <v>242</v>
      </c>
      <c r="Z508" s="19"/>
      <c r="AA508" s="19"/>
      <c r="AB508" s="17"/>
      <c r="AC508" s="19"/>
    </row>
    <row r="509" customFormat="false" ht="22.35" hidden="false" customHeight="false" outlineLevel="0" collapsed="false">
      <c r="A509" s="10" t="s">
        <v>2692</v>
      </c>
      <c r="B509" s="17" t="s">
        <v>124</v>
      </c>
      <c r="C509" s="18" t="s">
        <v>125</v>
      </c>
      <c r="D509" s="17" t="s">
        <v>19</v>
      </c>
      <c r="E509" s="17" t="s">
        <v>229</v>
      </c>
      <c r="F509" s="17" t="s">
        <v>2407</v>
      </c>
      <c r="G509" s="17" t="s">
        <v>2607</v>
      </c>
      <c r="H509" s="17" t="s">
        <v>32</v>
      </c>
      <c r="I509" s="17" t="s">
        <v>316</v>
      </c>
      <c r="J509" s="17" t="s">
        <v>233</v>
      </c>
      <c r="K509" s="19"/>
      <c r="L509" s="19"/>
      <c r="M509" s="19"/>
      <c r="N509" s="19"/>
      <c r="O509" s="17" t="n">
        <v>3</v>
      </c>
      <c r="P509" s="18" t="s">
        <v>2686</v>
      </c>
      <c r="Q509" s="18" t="s">
        <v>2687</v>
      </c>
      <c r="R509" s="18" t="s">
        <v>2693</v>
      </c>
      <c r="S509" s="17" t="s">
        <v>2694</v>
      </c>
      <c r="T509" s="18" t="s">
        <v>2695</v>
      </c>
      <c r="U509" s="19"/>
      <c r="V509" s="18" t="s">
        <v>2696</v>
      </c>
      <c r="W509" s="17" t="s">
        <v>240</v>
      </c>
      <c r="X509" s="17" t="s">
        <v>2697</v>
      </c>
      <c r="Y509" s="17" t="s">
        <v>242</v>
      </c>
      <c r="Z509" s="19"/>
      <c r="AA509" s="19"/>
      <c r="AB509" s="17"/>
      <c r="AC509" s="19"/>
    </row>
    <row r="510" customFormat="false" ht="22.35" hidden="false" customHeight="false" outlineLevel="0" collapsed="false">
      <c r="A510" s="10" t="s">
        <v>2698</v>
      </c>
      <c r="B510" s="17" t="s">
        <v>124</v>
      </c>
      <c r="C510" s="18" t="s">
        <v>125</v>
      </c>
      <c r="D510" s="17" t="s">
        <v>19</v>
      </c>
      <c r="E510" s="17" t="s">
        <v>229</v>
      </c>
      <c r="F510" s="17" t="s">
        <v>2407</v>
      </c>
      <c r="G510" s="17" t="s">
        <v>2607</v>
      </c>
      <c r="H510" s="17" t="s">
        <v>32</v>
      </c>
      <c r="I510" s="17" t="s">
        <v>316</v>
      </c>
      <c r="J510" s="17" t="s">
        <v>233</v>
      </c>
      <c r="K510" s="19"/>
      <c r="L510" s="19"/>
      <c r="M510" s="19"/>
      <c r="N510" s="19"/>
      <c r="O510" s="17" t="n">
        <v>3</v>
      </c>
      <c r="P510" s="18" t="s">
        <v>2686</v>
      </c>
      <c r="Q510" s="18" t="s">
        <v>2687</v>
      </c>
      <c r="R510" s="18" t="s">
        <v>2699</v>
      </c>
      <c r="S510" s="17" t="s">
        <v>2692</v>
      </c>
      <c r="T510" s="18" t="s">
        <v>2700</v>
      </c>
      <c r="U510" s="19"/>
      <c r="V510" s="18" t="s">
        <v>2701</v>
      </c>
      <c r="W510" s="17" t="s">
        <v>240</v>
      </c>
      <c r="X510" s="17" t="s">
        <v>2673</v>
      </c>
      <c r="Y510" s="17" t="s">
        <v>242</v>
      </c>
      <c r="Z510" s="19"/>
      <c r="AA510" s="19"/>
      <c r="AB510" s="17"/>
      <c r="AC510" s="19"/>
    </row>
    <row r="511" customFormat="false" ht="22.35" hidden="false" customHeight="false" outlineLevel="0" collapsed="false">
      <c r="A511" s="10" t="s">
        <v>2702</v>
      </c>
      <c r="B511" s="17" t="s">
        <v>124</v>
      </c>
      <c r="C511" s="18" t="s">
        <v>125</v>
      </c>
      <c r="D511" s="17" t="s">
        <v>19</v>
      </c>
      <c r="E511" s="17" t="s">
        <v>229</v>
      </c>
      <c r="F511" s="17" t="s">
        <v>2407</v>
      </c>
      <c r="G511" s="17" t="s">
        <v>2607</v>
      </c>
      <c r="H511" s="17" t="s">
        <v>32</v>
      </c>
      <c r="I511" s="17" t="s">
        <v>316</v>
      </c>
      <c r="J511" s="17" t="s">
        <v>233</v>
      </c>
      <c r="K511" s="19"/>
      <c r="L511" s="19"/>
      <c r="M511" s="19"/>
      <c r="N511" s="19"/>
      <c r="O511" s="17" t="n">
        <v>3</v>
      </c>
      <c r="P511" s="18" t="s">
        <v>2686</v>
      </c>
      <c r="Q511" s="18" t="s">
        <v>2687</v>
      </c>
      <c r="R511" s="18" t="s">
        <v>2703</v>
      </c>
      <c r="S511" s="17" t="s">
        <v>2614</v>
      </c>
      <c r="T511" s="18" t="s">
        <v>665</v>
      </c>
      <c r="U511" s="19"/>
      <c r="V511" s="18" t="s">
        <v>2704</v>
      </c>
      <c r="W511" s="17" t="s">
        <v>240</v>
      </c>
      <c r="X511" s="17" t="s">
        <v>2618</v>
      </c>
      <c r="Y511" s="17" t="s">
        <v>242</v>
      </c>
      <c r="Z511" s="19"/>
      <c r="AA511" s="19"/>
      <c r="AB511" s="17"/>
      <c r="AC511" s="19"/>
    </row>
    <row r="512" customFormat="false" ht="22.35" hidden="false" customHeight="false" outlineLevel="0" collapsed="false">
      <c r="A512" s="10" t="s">
        <v>2705</v>
      </c>
      <c r="B512" s="17" t="s">
        <v>124</v>
      </c>
      <c r="C512" s="18" t="s">
        <v>125</v>
      </c>
      <c r="D512" s="17" t="s">
        <v>19</v>
      </c>
      <c r="E512" s="17" t="s">
        <v>75</v>
      </c>
      <c r="F512" s="17" t="s">
        <v>2407</v>
      </c>
      <c r="G512" s="17" t="s">
        <v>2607</v>
      </c>
      <c r="H512" s="17" t="s">
        <v>32</v>
      </c>
      <c r="I512" s="17" t="s">
        <v>316</v>
      </c>
      <c r="J512" s="17" t="s">
        <v>233</v>
      </c>
      <c r="K512" s="19"/>
      <c r="L512" s="19"/>
      <c r="M512" s="19"/>
      <c r="N512" s="19"/>
      <c r="O512" s="17" t="n">
        <v>3</v>
      </c>
      <c r="P512" s="18" t="s">
        <v>2686</v>
      </c>
      <c r="Q512" s="18" t="s">
        <v>2687</v>
      </c>
      <c r="R512" s="18" t="s">
        <v>2706</v>
      </c>
      <c r="S512" s="17" t="s">
        <v>2707</v>
      </c>
      <c r="T512" s="18" t="s">
        <v>2708</v>
      </c>
      <c r="U512" s="19"/>
      <c r="V512" s="18" t="s">
        <v>2709</v>
      </c>
      <c r="W512" s="17" t="s">
        <v>240</v>
      </c>
      <c r="X512" s="17" t="s">
        <v>2678</v>
      </c>
      <c r="Y512" s="17" t="s">
        <v>242</v>
      </c>
      <c r="Z512" s="19"/>
      <c r="AA512" s="19"/>
      <c r="AB512" s="17"/>
      <c r="AC512" s="19"/>
    </row>
    <row r="513" customFormat="false" ht="32.8" hidden="false" customHeight="false" outlineLevel="0" collapsed="false">
      <c r="A513" s="10" t="s">
        <v>2710</v>
      </c>
      <c r="B513" s="17" t="s">
        <v>124</v>
      </c>
      <c r="C513" s="18" t="s">
        <v>125</v>
      </c>
      <c r="D513" s="17" t="s">
        <v>19</v>
      </c>
      <c r="E513" s="17" t="s">
        <v>229</v>
      </c>
      <c r="F513" s="17" t="s">
        <v>2407</v>
      </c>
      <c r="G513" s="17" t="s">
        <v>2607</v>
      </c>
      <c r="H513" s="17" t="s">
        <v>32</v>
      </c>
      <c r="I513" s="17" t="s">
        <v>283</v>
      </c>
      <c r="J513" s="17" t="s">
        <v>233</v>
      </c>
      <c r="K513" s="19"/>
      <c r="L513" s="19"/>
      <c r="M513" s="19"/>
      <c r="N513" s="19"/>
      <c r="O513" s="17" t="n">
        <v>3</v>
      </c>
      <c r="P513" s="18" t="s">
        <v>2686</v>
      </c>
      <c r="Q513" s="18" t="s">
        <v>2687</v>
      </c>
      <c r="R513" s="18" t="s">
        <v>2711</v>
      </c>
      <c r="S513" s="17" t="s">
        <v>2712</v>
      </c>
      <c r="T513" s="18" t="s">
        <v>2713</v>
      </c>
      <c r="U513" s="19"/>
      <c r="V513" s="18" t="s">
        <v>2714</v>
      </c>
      <c r="W513" s="17" t="s">
        <v>240</v>
      </c>
      <c r="X513" s="17" t="s">
        <v>2715</v>
      </c>
      <c r="Y513" s="17" t="s">
        <v>242</v>
      </c>
      <c r="Z513" s="19"/>
      <c r="AA513" s="19"/>
      <c r="AB513" s="17"/>
      <c r="AC513" s="19"/>
    </row>
    <row r="514" customFormat="false" ht="32.8" hidden="false" customHeight="false" outlineLevel="0" collapsed="false">
      <c r="A514" s="10" t="s">
        <v>2716</v>
      </c>
      <c r="B514" s="17" t="s">
        <v>124</v>
      </c>
      <c r="C514" s="18" t="s">
        <v>125</v>
      </c>
      <c r="D514" s="17" t="s">
        <v>19</v>
      </c>
      <c r="E514" s="17" t="s">
        <v>75</v>
      </c>
      <c r="F514" s="17" t="s">
        <v>2407</v>
      </c>
      <c r="G514" s="17" t="s">
        <v>2607</v>
      </c>
      <c r="H514" s="17" t="s">
        <v>32</v>
      </c>
      <c r="I514" s="17" t="s">
        <v>277</v>
      </c>
      <c r="J514" s="17" t="s">
        <v>233</v>
      </c>
      <c r="K514" s="19"/>
      <c r="L514" s="19"/>
      <c r="M514" s="19"/>
      <c r="N514" s="19"/>
      <c r="O514" s="17" t="n">
        <v>3</v>
      </c>
      <c r="P514" s="18" t="s">
        <v>2686</v>
      </c>
      <c r="Q514" s="18" t="s">
        <v>2687</v>
      </c>
      <c r="R514" s="18" t="s">
        <v>2717</v>
      </c>
      <c r="S514" s="17" t="s">
        <v>2710</v>
      </c>
      <c r="T514" s="18" t="s">
        <v>2718</v>
      </c>
      <c r="U514" s="19"/>
      <c r="V514" s="18" t="s">
        <v>2719</v>
      </c>
      <c r="W514" s="17" t="s">
        <v>240</v>
      </c>
      <c r="X514" s="17" t="s">
        <v>2678</v>
      </c>
      <c r="Y514" s="17" t="s">
        <v>242</v>
      </c>
      <c r="Z514" s="19"/>
      <c r="AA514" s="19"/>
      <c r="AB514" s="17"/>
      <c r="AC514" s="19"/>
    </row>
    <row r="515" customFormat="false" ht="22.35" hidden="false" customHeight="false" outlineLevel="0" collapsed="false">
      <c r="A515" s="10" t="s">
        <v>2720</v>
      </c>
      <c r="B515" s="17" t="s">
        <v>124</v>
      </c>
      <c r="C515" s="18" t="s">
        <v>125</v>
      </c>
      <c r="D515" s="17" t="s">
        <v>19</v>
      </c>
      <c r="E515" s="17" t="s">
        <v>229</v>
      </c>
      <c r="F515" s="17" t="s">
        <v>2407</v>
      </c>
      <c r="G515" s="17" t="s">
        <v>2607</v>
      </c>
      <c r="H515" s="17" t="s">
        <v>32</v>
      </c>
      <c r="I515" s="17" t="s">
        <v>316</v>
      </c>
      <c r="J515" s="17" t="s">
        <v>233</v>
      </c>
      <c r="K515" s="19"/>
      <c r="L515" s="19"/>
      <c r="M515" s="19"/>
      <c r="N515" s="19"/>
      <c r="O515" s="17" t="n">
        <v>3</v>
      </c>
      <c r="P515" s="18" t="s">
        <v>2686</v>
      </c>
      <c r="Q515" s="18" t="s">
        <v>2687</v>
      </c>
      <c r="R515" s="18" t="s">
        <v>2721</v>
      </c>
      <c r="S515" s="17" t="s">
        <v>2692</v>
      </c>
      <c r="T515" s="18" t="s">
        <v>2209</v>
      </c>
      <c r="U515" s="19"/>
      <c r="V515" s="18" t="s">
        <v>2722</v>
      </c>
      <c r="W515" s="17" t="s">
        <v>240</v>
      </c>
      <c r="X515" s="17" t="s">
        <v>2723</v>
      </c>
      <c r="Y515" s="17" t="s">
        <v>242</v>
      </c>
      <c r="Z515" s="19"/>
      <c r="AA515" s="19"/>
      <c r="AB515" s="17"/>
      <c r="AC515" s="19"/>
    </row>
    <row r="516" customFormat="false" ht="22.35" hidden="false" customHeight="false" outlineLevel="0" collapsed="false">
      <c r="A516" s="10" t="s">
        <v>2724</v>
      </c>
      <c r="B516" s="17" t="s">
        <v>124</v>
      </c>
      <c r="C516" s="18" t="s">
        <v>125</v>
      </c>
      <c r="D516" s="17" t="s">
        <v>19</v>
      </c>
      <c r="E516" s="17" t="s">
        <v>75</v>
      </c>
      <c r="F516" s="17" t="s">
        <v>2407</v>
      </c>
      <c r="G516" s="17" t="s">
        <v>2607</v>
      </c>
      <c r="H516" s="17" t="s">
        <v>32</v>
      </c>
      <c r="I516" s="17" t="s">
        <v>283</v>
      </c>
      <c r="J516" s="17" t="s">
        <v>233</v>
      </c>
      <c r="K516" s="19"/>
      <c r="L516" s="19"/>
      <c r="M516" s="19"/>
      <c r="N516" s="19"/>
      <c r="O516" s="17" t="n">
        <v>3</v>
      </c>
      <c r="P516" s="18" t="s">
        <v>2686</v>
      </c>
      <c r="Q516" s="18" t="s">
        <v>2687</v>
      </c>
      <c r="R516" s="18" t="s">
        <v>2725</v>
      </c>
      <c r="S516" s="17" t="s">
        <v>2716</v>
      </c>
      <c r="T516" s="18" t="s">
        <v>2105</v>
      </c>
      <c r="U516" s="19"/>
      <c r="V516" s="18" t="s">
        <v>2106</v>
      </c>
      <c r="W516" s="17" t="s">
        <v>240</v>
      </c>
      <c r="X516" s="17" t="s">
        <v>2107</v>
      </c>
      <c r="Y516" s="17" t="s">
        <v>242</v>
      </c>
      <c r="Z516" s="19"/>
      <c r="AA516" s="19"/>
      <c r="AB516" s="17"/>
      <c r="AC516" s="19"/>
    </row>
    <row r="517" customFormat="false" ht="22.35" hidden="false" customHeight="false" outlineLevel="0" collapsed="false">
      <c r="A517" s="10" t="s">
        <v>2726</v>
      </c>
      <c r="B517" s="17" t="s">
        <v>124</v>
      </c>
      <c r="C517" s="18" t="s">
        <v>125</v>
      </c>
      <c r="D517" s="17" t="s">
        <v>19</v>
      </c>
      <c r="E517" s="17" t="s">
        <v>75</v>
      </c>
      <c r="F517" s="17" t="s">
        <v>2407</v>
      </c>
      <c r="G517" s="17" t="s">
        <v>2607</v>
      </c>
      <c r="H517" s="17" t="s">
        <v>32</v>
      </c>
      <c r="I517" s="17" t="s">
        <v>289</v>
      </c>
      <c r="J517" s="17" t="s">
        <v>233</v>
      </c>
      <c r="K517" s="19"/>
      <c r="L517" s="19"/>
      <c r="M517" s="19"/>
      <c r="N517" s="19"/>
      <c r="O517" s="17" t="n">
        <v>3</v>
      </c>
      <c r="P517" s="18" t="s">
        <v>2727</v>
      </c>
      <c r="Q517" s="18" t="s">
        <v>2728</v>
      </c>
      <c r="R517" s="18" t="s">
        <v>2729</v>
      </c>
      <c r="S517" s="17" t="s">
        <v>2624</v>
      </c>
      <c r="T517" s="18" t="s">
        <v>2730</v>
      </c>
      <c r="U517" s="19"/>
      <c r="V517" s="18" t="s">
        <v>2731</v>
      </c>
      <c r="W517" s="17" t="s">
        <v>240</v>
      </c>
      <c r="X517" s="17" t="s">
        <v>2628</v>
      </c>
      <c r="Y517" s="17" t="s">
        <v>242</v>
      </c>
      <c r="Z517" s="19"/>
      <c r="AA517" s="19"/>
      <c r="AB517" s="17"/>
      <c r="AC517" s="19"/>
    </row>
    <row r="518" customFormat="false" ht="22.35" hidden="false" customHeight="false" outlineLevel="0" collapsed="false">
      <c r="A518" s="10" t="s">
        <v>2732</v>
      </c>
      <c r="B518" s="17" t="s">
        <v>124</v>
      </c>
      <c r="C518" s="18" t="s">
        <v>125</v>
      </c>
      <c r="D518" s="17" t="s">
        <v>19</v>
      </c>
      <c r="E518" s="17" t="s">
        <v>75</v>
      </c>
      <c r="F518" s="17" t="s">
        <v>2407</v>
      </c>
      <c r="G518" s="17" t="s">
        <v>2607</v>
      </c>
      <c r="H518" s="17" t="s">
        <v>32</v>
      </c>
      <c r="I518" s="17" t="s">
        <v>2638</v>
      </c>
      <c r="J518" s="17" t="s">
        <v>233</v>
      </c>
      <c r="K518" s="19"/>
      <c r="L518" s="19"/>
      <c r="M518" s="19"/>
      <c r="N518" s="19"/>
      <c r="O518" s="17" t="n">
        <v>3</v>
      </c>
      <c r="P518" s="18" t="s">
        <v>2727</v>
      </c>
      <c r="Q518" s="18" t="s">
        <v>2728</v>
      </c>
      <c r="R518" s="18" t="s">
        <v>2733</v>
      </c>
      <c r="S518" s="17" t="s">
        <v>2726</v>
      </c>
      <c r="T518" s="18" t="s">
        <v>2041</v>
      </c>
      <c r="U518" s="19"/>
      <c r="V518" s="18" t="s">
        <v>2734</v>
      </c>
      <c r="W518" s="17" t="s">
        <v>240</v>
      </c>
      <c r="X518" s="17" t="s">
        <v>2678</v>
      </c>
      <c r="Y518" s="17" t="s">
        <v>242</v>
      </c>
      <c r="Z518" s="19"/>
      <c r="AA518" s="19"/>
      <c r="AB518" s="17"/>
      <c r="AC518" s="19"/>
    </row>
    <row r="519" customFormat="false" ht="22.35" hidden="false" customHeight="false" outlineLevel="0" collapsed="false">
      <c r="A519" s="10" t="s">
        <v>2735</v>
      </c>
      <c r="B519" s="17" t="s">
        <v>124</v>
      </c>
      <c r="C519" s="18" t="s">
        <v>125</v>
      </c>
      <c r="D519" s="17" t="s">
        <v>19</v>
      </c>
      <c r="E519" s="17" t="s">
        <v>75</v>
      </c>
      <c r="F519" s="17" t="s">
        <v>2407</v>
      </c>
      <c r="G519" s="17" t="s">
        <v>2607</v>
      </c>
      <c r="H519" s="17" t="s">
        <v>32</v>
      </c>
      <c r="I519" s="17" t="s">
        <v>333</v>
      </c>
      <c r="J519" s="17" t="s">
        <v>233</v>
      </c>
      <c r="K519" s="19"/>
      <c r="L519" s="19"/>
      <c r="M519" s="19"/>
      <c r="N519" s="19"/>
      <c r="O519" s="17" t="n">
        <v>3</v>
      </c>
      <c r="P519" s="18" t="s">
        <v>2727</v>
      </c>
      <c r="Q519" s="18" t="s">
        <v>2728</v>
      </c>
      <c r="R519" s="18" t="s">
        <v>2736</v>
      </c>
      <c r="S519" s="17" t="s">
        <v>2663</v>
      </c>
      <c r="T519" s="18" t="s">
        <v>2737</v>
      </c>
      <c r="U519" s="19"/>
      <c r="V519" s="18" t="s">
        <v>2738</v>
      </c>
      <c r="W519" s="17" t="s">
        <v>240</v>
      </c>
      <c r="X519" s="17" t="s">
        <v>2739</v>
      </c>
      <c r="Y519" s="17" t="s">
        <v>242</v>
      </c>
      <c r="Z519" s="19"/>
      <c r="AA519" s="19"/>
      <c r="AB519" s="17"/>
      <c r="AC519" s="19"/>
    </row>
    <row r="520" customFormat="false" ht="22.35" hidden="false" customHeight="false" outlineLevel="0" collapsed="false">
      <c r="A520" s="10" t="s">
        <v>2740</v>
      </c>
      <c r="B520" s="17" t="s">
        <v>124</v>
      </c>
      <c r="C520" s="18" t="s">
        <v>125</v>
      </c>
      <c r="D520" s="17" t="s">
        <v>19</v>
      </c>
      <c r="E520" s="17" t="s">
        <v>75</v>
      </c>
      <c r="F520" s="17" t="s">
        <v>2407</v>
      </c>
      <c r="G520" s="17" t="s">
        <v>2607</v>
      </c>
      <c r="H520" s="17" t="s">
        <v>32</v>
      </c>
      <c r="I520" s="17" t="s">
        <v>283</v>
      </c>
      <c r="J520" s="17" t="s">
        <v>233</v>
      </c>
      <c r="K520" s="19"/>
      <c r="L520" s="19"/>
      <c r="M520" s="19"/>
      <c r="N520" s="19"/>
      <c r="O520" s="17" t="n">
        <v>3</v>
      </c>
      <c r="P520" s="18" t="s">
        <v>2727</v>
      </c>
      <c r="Q520" s="18" t="s">
        <v>2728</v>
      </c>
      <c r="R520" s="18" t="s">
        <v>2741</v>
      </c>
      <c r="S520" s="17" t="s">
        <v>2735</v>
      </c>
      <c r="T520" s="18" t="s">
        <v>2105</v>
      </c>
      <c r="U520" s="19"/>
      <c r="V520" s="18" t="s">
        <v>2106</v>
      </c>
      <c r="W520" s="17" t="s">
        <v>240</v>
      </c>
      <c r="X520" s="17" t="s">
        <v>2107</v>
      </c>
      <c r="Y520" s="17" t="s">
        <v>242</v>
      </c>
      <c r="Z520" s="19"/>
      <c r="AA520" s="19"/>
      <c r="AB520" s="17"/>
      <c r="AC520" s="19"/>
    </row>
    <row r="521" customFormat="false" ht="22.35" hidden="false" customHeight="false" outlineLevel="0" collapsed="false">
      <c r="A521" s="10" t="s">
        <v>2742</v>
      </c>
      <c r="B521" s="17" t="s">
        <v>124</v>
      </c>
      <c r="C521" s="18" t="s">
        <v>125</v>
      </c>
      <c r="D521" s="17" t="s">
        <v>19</v>
      </c>
      <c r="E521" s="17" t="s">
        <v>229</v>
      </c>
      <c r="F521" s="17" t="s">
        <v>2407</v>
      </c>
      <c r="G521" s="17" t="s">
        <v>2607</v>
      </c>
      <c r="H521" s="17" t="s">
        <v>32</v>
      </c>
      <c r="I521" s="17" t="s">
        <v>450</v>
      </c>
      <c r="J521" s="17" t="s">
        <v>233</v>
      </c>
      <c r="K521" s="19"/>
      <c r="L521" s="19"/>
      <c r="M521" s="19"/>
      <c r="N521" s="19"/>
      <c r="O521" s="17" t="n">
        <v>3</v>
      </c>
      <c r="P521" s="18" t="s">
        <v>2743</v>
      </c>
      <c r="Q521" s="18" t="s">
        <v>2744</v>
      </c>
      <c r="R521" s="18" t="s">
        <v>2745</v>
      </c>
      <c r="S521" s="17" t="s">
        <v>2658</v>
      </c>
      <c r="T521" s="18" t="s">
        <v>2344</v>
      </c>
      <c r="U521" s="19"/>
      <c r="V521" s="18" t="s">
        <v>2551</v>
      </c>
      <c r="W521" s="17" t="s">
        <v>240</v>
      </c>
      <c r="X521" s="17" t="s">
        <v>2165</v>
      </c>
      <c r="Y521" s="17" t="s">
        <v>242</v>
      </c>
      <c r="Z521" s="19"/>
      <c r="AA521" s="19"/>
      <c r="AB521" s="17"/>
      <c r="AC521" s="19"/>
    </row>
    <row r="522" customFormat="false" ht="22.35" hidden="false" customHeight="false" outlineLevel="0" collapsed="false">
      <c r="A522" s="10" t="s">
        <v>2746</v>
      </c>
      <c r="B522" s="17" t="s">
        <v>124</v>
      </c>
      <c r="C522" s="18" t="s">
        <v>125</v>
      </c>
      <c r="D522" s="17" t="s">
        <v>19</v>
      </c>
      <c r="E522" s="17" t="s">
        <v>75</v>
      </c>
      <c r="F522" s="17" t="s">
        <v>2407</v>
      </c>
      <c r="G522" s="17" t="s">
        <v>2607</v>
      </c>
      <c r="H522" s="17" t="s">
        <v>32</v>
      </c>
      <c r="I522" s="17" t="s">
        <v>289</v>
      </c>
      <c r="J522" s="17" t="s">
        <v>233</v>
      </c>
      <c r="K522" s="19"/>
      <c r="L522" s="19"/>
      <c r="M522" s="19"/>
      <c r="N522" s="19"/>
      <c r="O522" s="17" t="n">
        <v>3</v>
      </c>
      <c r="P522" s="18" t="s">
        <v>2743</v>
      </c>
      <c r="Q522" s="18" t="s">
        <v>2744</v>
      </c>
      <c r="R522" s="18" t="s">
        <v>2747</v>
      </c>
      <c r="S522" s="17" t="s">
        <v>2720</v>
      </c>
      <c r="T522" s="18" t="s">
        <v>2748</v>
      </c>
      <c r="U522" s="19"/>
      <c r="V522" s="18" t="s">
        <v>2749</v>
      </c>
      <c r="W522" s="17" t="s">
        <v>240</v>
      </c>
      <c r="X522" s="17" t="s">
        <v>2206</v>
      </c>
      <c r="Y522" s="17" t="s">
        <v>242</v>
      </c>
      <c r="Z522" s="19"/>
      <c r="AA522" s="19"/>
      <c r="AB522" s="17"/>
      <c r="AC522" s="19"/>
    </row>
    <row r="523" customFormat="false" ht="15" hidden="false" customHeight="false" outlineLevel="0" collapsed="false">
      <c r="A523" s="10" t="s">
        <v>2750</v>
      </c>
      <c r="B523" s="17" t="s">
        <v>124</v>
      </c>
      <c r="C523" s="18" t="s">
        <v>125</v>
      </c>
      <c r="D523" s="17" t="s">
        <v>19</v>
      </c>
      <c r="E523" s="17" t="s">
        <v>75</v>
      </c>
      <c r="F523" s="17" t="s">
        <v>2407</v>
      </c>
      <c r="G523" s="17" t="s">
        <v>2607</v>
      </c>
      <c r="H523" s="17" t="s">
        <v>32</v>
      </c>
      <c r="I523" s="17" t="s">
        <v>289</v>
      </c>
      <c r="J523" s="17" t="s">
        <v>233</v>
      </c>
      <c r="K523" s="19"/>
      <c r="L523" s="19"/>
      <c r="M523" s="19"/>
      <c r="N523" s="19"/>
      <c r="O523" s="17" t="n">
        <v>3</v>
      </c>
      <c r="P523" s="18" t="s">
        <v>2743</v>
      </c>
      <c r="Q523" s="18" t="s">
        <v>2744</v>
      </c>
      <c r="R523" s="18" t="s">
        <v>2751</v>
      </c>
      <c r="S523" s="17" t="s">
        <v>2710</v>
      </c>
      <c r="T523" s="18" t="s">
        <v>2378</v>
      </c>
      <c r="U523" s="19"/>
      <c r="V523" s="18" t="s">
        <v>2752</v>
      </c>
      <c r="W523" s="17" t="s">
        <v>240</v>
      </c>
      <c r="X523" s="17" t="s">
        <v>2206</v>
      </c>
      <c r="Y523" s="17" t="s">
        <v>242</v>
      </c>
      <c r="Z523" s="19"/>
      <c r="AA523" s="19"/>
      <c r="AB523" s="17"/>
      <c r="AC523" s="19"/>
    </row>
    <row r="524" customFormat="false" ht="22.35" hidden="false" customHeight="false" outlineLevel="0" collapsed="false">
      <c r="A524" s="10" t="s">
        <v>2753</v>
      </c>
      <c r="B524" s="17" t="s">
        <v>124</v>
      </c>
      <c r="C524" s="18" t="s">
        <v>125</v>
      </c>
      <c r="D524" s="17" t="s">
        <v>19</v>
      </c>
      <c r="E524" s="17" t="s">
        <v>75</v>
      </c>
      <c r="F524" s="17" t="s">
        <v>2407</v>
      </c>
      <c r="G524" s="17" t="s">
        <v>2607</v>
      </c>
      <c r="H524" s="17" t="s">
        <v>32</v>
      </c>
      <c r="I524" s="17" t="s">
        <v>283</v>
      </c>
      <c r="J524" s="17" t="s">
        <v>233</v>
      </c>
      <c r="K524" s="19"/>
      <c r="L524" s="19"/>
      <c r="M524" s="19"/>
      <c r="N524" s="19"/>
      <c r="O524" s="17" t="n">
        <v>3</v>
      </c>
      <c r="P524" s="18" t="s">
        <v>2743</v>
      </c>
      <c r="Q524" s="18" t="s">
        <v>2744</v>
      </c>
      <c r="R524" s="18" t="s">
        <v>2754</v>
      </c>
      <c r="S524" s="17" t="s">
        <v>2750</v>
      </c>
      <c r="T524" s="18" t="s">
        <v>2105</v>
      </c>
      <c r="U524" s="19"/>
      <c r="V524" s="18" t="s">
        <v>2106</v>
      </c>
      <c r="W524" s="17" t="s">
        <v>240</v>
      </c>
      <c r="X524" s="17" t="s">
        <v>2107</v>
      </c>
      <c r="Y524" s="17" t="s">
        <v>242</v>
      </c>
      <c r="Z524" s="19"/>
      <c r="AA524" s="19"/>
      <c r="AB524" s="17"/>
      <c r="AC524" s="19"/>
    </row>
    <row r="525" customFormat="false" ht="22.35" hidden="false" customHeight="false" outlineLevel="0" collapsed="false">
      <c r="A525" s="10" t="s">
        <v>2755</v>
      </c>
      <c r="B525" s="17" t="s">
        <v>124</v>
      </c>
      <c r="C525" s="18" t="s">
        <v>125</v>
      </c>
      <c r="D525" s="17" t="s">
        <v>19</v>
      </c>
      <c r="E525" s="17" t="s">
        <v>75</v>
      </c>
      <c r="F525" s="17" t="s">
        <v>2407</v>
      </c>
      <c r="G525" s="17" t="s">
        <v>2607</v>
      </c>
      <c r="H525" s="17" t="s">
        <v>32</v>
      </c>
      <c r="I525" s="17" t="s">
        <v>289</v>
      </c>
      <c r="J525" s="17" t="s">
        <v>233</v>
      </c>
      <c r="K525" s="19"/>
      <c r="L525" s="19"/>
      <c r="M525" s="19"/>
      <c r="N525" s="19"/>
      <c r="O525" s="17" t="n">
        <v>3</v>
      </c>
      <c r="P525" s="18" t="s">
        <v>2756</v>
      </c>
      <c r="Q525" s="18" t="s">
        <v>2757</v>
      </c>
      <c r="R525" s="18" t="s">
        <v>2758</v>
      </c>
      <c r="S525" s="17" t="s">
        <v>2726</v>
      </c>
      <c r="T525" s="18" t="s">
        <v>2759</v>
      </c>
      <c r="U525" s="19"/>
      <c r="V525" s="18" t="s">
        <v>2760</v>
      </c>
      <c r="W525" s="17" t="s">
        <v>240</v>
      </c>
      <c r="X525" s="17" t="s">
        <v>2227</v>
      </c>
      <c r="Y525" s="17" t="s">
        <v>242</v>
      </c>
      <c r="Z525" s="19"/>
      <c r="AA525" s="19"/>
      <c r="AB525" s="17"/>
      <c r="AC525" s="19"/>
    </row>
    <row r="526" customFormat="false" ht="22.35" hidden="false" customHeight="false" outlineLevel="0" collapsed="false">
      <c r="A526" s="10" t="s">
        <v>2761</v>
      </c>
      <c r="B526" s="17" t="s">
        <v>124</v>
      </c>
      <c r="C526" s="18" t="s">
        <v>125</v>
      </c>
      <c r="D526" s="17" t="s">
        <v>19</v>
      </c>
      <c r="E526" s="17" t="s">
        <v>229</v>
      </c>
      <c r="F526" s="17" t="s">
        <v>2407</v>
      </c>
      <c r="G526" s="17" t="s">
        <v>2607</v>
      </c>
      <c r="H526" s="17" t="s">
        <v>32</v>
      </c>
      <c r="I526" s="17" t="s">
        <v>289</v>
      </c>
      <c r="J526" s="17" t="s">
        <v>233</v>
      </c>
      <c r="K526" s="19"/>
      <c r="L526" s="19"/>
      <c r="M526" s="19"/>
      <c r="N526" s="19"/>
      <c r="O526" s="17" t="n">
        <v>3</v>
      </c>
      <c r="P526" s="18" t="s">
        <v>2756</v>
      </c>
      <c r="Q526" s="18" t="s">
        <v>2757</v>
      </c>
      <c r="R526" s="18" t="s">
        <v>2762</v>
      </c>
      <c r="S526" s="17" t="s">
        <v>2755</v>
      </c>
      <c r="T526" s="18" t="s">
        <v>2389</v>
      </c>
      <c r="U526" s="19"/>
      <c r="V526" s="18" t="s">
        <v>2763</v>
      </c>
      <c r="W526" s="17" t="s">
        <v>383</v>
      </c>
      <c r="X526" s="17" t="s">
        <v>2597</v>
      </c>
      <c r="Y526" s="17" t="s">
        <v>242</v>
      </c>
      <c r="Z526" s="19"/>
      <c r="AA526" s="19"/>
      <c r="AB526" s="17"/>
      <c r="AC526" s="19"/>
    </row>
    <row r="527" customFormat="false" ht="15" hidden="false" customHeight="false" outlineLevel="0" collapsed="false">
      <c r="A527" s="10" t="s">
        <v>2764</v>
      </c>
      <c r="B527" s="17" t="s">
        <v>124</v>
      </c>
      <c r="C527" s="18" t="s">
        <v>125</v>
      </c>
      <c r="D527" s="17" t="s">
        <v>19</v>
      </c>
      <c r="E527" s="17" t="s">
        <v>75</v>
      </c>
      <c r="F527" s="17" t="s">
        <v>2407</v>
      </c>
      <c r="G527" s="17" t="s">
        <v>2607</v>
      </c>
      <c r="H527" s="17" t="s">
        <v>32</v>
      </c>
      <c r="I527" s="17" t="s">
        <v>289</v>
      </c>
      <c r="J527" s="17" t="s">
        <v>233</v>
      </c>
      <c r="K527" s="19"/>
      <c r="L527" s="19"/>
      <c r="M527" s="19"/>
      <c r="N527" s="19"/>
      <c r="O527" s="17" t="n">
        <v>3</v>
      </c>
      <c r="P527" s="18" t="s">
        <v>2756</v>
      </c>
      <c r="Q527" s="18" t="s">
        <v>2757</v>
      </c>
      <c r="R527" s="18" t="s">
        <v>2765</v>
      </c>
      <c r="S527" s="17" t="s">
        <v>2755</v>
      </c>
      <c r="T527" s="18" t="s">
        <v>2393</v>
      </c>
      <c r="U527" s="19"/>
      <c r="V527" s="18" t="s">
        <v>2766</v>
      </c>
      <c r="W527" s="17" t="s">
        <v>240</v>
      </c>
      <c r="X527" s="17" t="s">
        <v>2227</v>
      </c>
      <c r="Y527" s="17" t="s">
        <v>242</v>
      </c>
      <c r="Z527" s="19"/>
      <c r="AA527" s="19"/>
      <c r="AB527" s="17"/>
      <c r="AC527" s="19"/>
    </row>
    <row r="528" customFormat="false" ht="22.35" hidden="false" customHeight="false" outlineLevel="0" collapsed="false">
      <c r="A528" s="10" t="s">
        <v>2767</v>
      </c>
      <c r="B528" s="17" t="s">
        <v>124</v>
      </c>
      <c r="C528" s="18" t="s">
        <v>125</v>
      </c>
      <c r="D528" s="17" t="s">
        <v>19</v>
      </c>
      <c r="E528" s="17" t="s">
        <v>75</v>
      </c>
      <c r="F528" s="17" t="s">
        <v>2407</v>
      </c>
      <c r="G528" s="17" t="s">
        <v>2607</v>
      </c>
      <c r="H528" s="17" t="s">
        <v>32</v>
      </c>
      <c r="I528" s="17" t="s">
        <v>369</v>
      </c>
      <c r="J528" s="17" t="s">
        <v>233</v>
      </c>
      <c r="K528" s="19"/>
      <c r="L528" s="19"/>
      <c r="M528" s="19"/>
      <c r="N528" s="19"/>
      <c r="O528" s="17" t="n">
        <v>3</v>
      </c>
      <c r="P528" s="18" t="s">
        <v>2756</v>
      </c>
      <c r="Q528" s="18" t="s">
        <v>2757</v>
      </c>
      <c r="R528" s="18" t="s">
        <v>2768</v>
      </c>
      <c r="S528" s="17" t="s">
        <v>2769</v>
      </c>
      <c r="T528" s="18" t="s">
        <v>2770</v>
      </c>
      <c r="U528" s="19"/>
      <c r="V528" s="18" t="s">
        <v>2771</v>
      </c>
      <c r="W528" s="17" t="s">
        <v>240</v>
      </c>
      <c r="X528" s="17" t="s">
        <v>2739</v>
      </c>
      <c r="Y528" s="17" t="s">
        <v>242</v>
      </c>
      <c r="Z528" s="19"/>
      <c r="AA528" s="19"/>
      <c r="AB528" s="17"/>
      <c r="AC528" s="19"/>
    </row>
    <row r="529" customFormat="false" ht="15" hidden="false" customHeight="false" outlineLevel="0" collapsed="false">
      <c r="A529" s="10" t="s">
        <v>2772</v>
      </c>
      <c r="B529" s="17" t="s">
        <v>124</v>
      </c>
      <c r="C529" s="18" t="s">
        <v>125</v>
      </c>
      <c r="D529" s="17" t="s">
        <v>19</v>
      </c>
      <c r="E529" s="17" t="s">
        <v>75</v>
      </c>
      <c r="F529" s="17" t="s">
        <v>2407</v>
      </c>
      <c r="G529" s="17" t="s">
        <v>2607</v>
      </c>
      <c r="H529" s="17" t="s">
        <v>32</v>
      </c>
      <c r="I529" s="17" t="s">
        <v>369</v>
      </c>
      <c r="J529" s="17" t="s">
        <v>233</v>
      </c>
      <c r="K529" s="19"/>
      <c r="L529" s="19"/>
      <c r="M529" s="19"/>
      <c r="N529" s="19"/>
      <c r="O529" s="17" t="n">
        <v>3</v>
      </c>
      <c r="P529" s="18" t="s">
        <v>2756</v>
      </c>
      <c r="Q529" s="18" t="s">
        <v>2757</v>
      </c>
      <c r="R529" s="18" t="s">
        <v>2773</v>
      </c>
      <c r="S529" s="17" t="s">
        <v>2658</v>
      </c>
      <c r="T529" s="18" t="s">
        <v>544</v>
      </c>
      <c r="U529" s="19"/>
      <c r="V529" s="18" t="s">
        <v>2774</v>
      </c>
      <c r="W529" s="17" t="s">
        <v>240</v>
      </c>
      <c r="X529" s="17" t="s">
        <v>2243</v>
      </c>
      <c r="Y529" s="17" t="s">
        <v>242</v>
      </c>
      <c r="Z529" s="19"/>
      <c r="AA529" s="19"/>
      <c r="AB529" s="17"/>
      <c r="AC529" s="19"/>
    </row>
    <row r="530" customFormat="false" ht="22.35" hidden="false" customHeight="false" outlineLevel="0" collapsed="false">
      <c r="A530" s="10" t="s">
        <v>2775</v>
      </c>
      <c r="B530" s="17" t="s">
        <v>124</v>
      </c>
      <c r="C530" s="18" t="s">
        <v>125</v>
      </c>
      <c r="D530" s="17" t="s">
        <v>19</v>
      </c>
      <c r="E530" s="17" t="s">
        <v>75</v>
      </c>
      <c r="F530" s="17" t="s">
        <v>2407</v>
      </c>
      <c r="G530" s="17" t="s">
        <v>2607</v>
      </c>
      <c r="H530" s="17" t="s">
        <v>32</v>
      </c>
      <c r="I530" s="17" t="s">
        <v>283</v>
      </c>
      <c r="J530" s="17" t="s">
        <v>233</v>
      </c>
      <c r="K530" s="19"/>
      <c r="L530" s="19"/>
      <c r="M530" s="19"/>
      <c r="N530" s="19"/>
      <c r="O530" s="17" t="n">
        <v>3</v>
      </c>
      <c r="P530" s="18" t="s">
        <v>2756</v>
      </c>
      <c r="Q530" s="18" t="s">
        <v>2757</v>
      </c>
      <c r="R530" s="18" t="s">
        <v>2776</v>
      </c>
      <c r="S530" s="17" t="s">
        <v>2772</v>
      </c>
      <c r="T530" s="18" t="s">
        <v>2105</v>
      </c>
      <c r="U530" s="19"/>
      <c r="V530" s="18" t="s">
        <v>2106</v>
      </c>
      <c r="W530" s="17" t="s">
        <v>240</v>
      </c>
      <c r="X530" s="17" t="s">
        <v>2107</v>
      </c>
      <c r="Y530" s="17" t="s">
        <v>242</v>
      </c>
      <c r="Z530" s="19"/>
      <c r="AA530" s="19"/>
      <c r="AB530" s="17"/>
      <c r="AC530" s="19"/>
    </row>
    <row r="531" customFormat="false" ht="32.8" hidden="false" customHeight="false" outlineLevel="0" collapsed="false">
      <c r="A531" s="10" t="s">
        <v>1938</v>
      </c>
      <c r="B531" s="17" t="s">
        <v>88</v>
      </c>
      <c r="C531" s="18" t="s">
        <v>89</v>
      </c>
      <c r="D531" s="17" t="s">
        <v>19</v>
      </c>
      <c r="E531" s="17" t="s">
        <v>244</v>
      </c>
      <c r="F531" s="17" t="s">
        <v>2777</v>
      </c>
      <c r="G531" s="17" t="s">
        <v>90</v>
      </c>
      <c r="H531" s="17" t="s">
        <v>31</v>
      </c>
      <c r="I531" s="17" t="s">
        <v>232</v>
      </c>
      <c r="J531" s="17" t="s">
        <v>233</v>
      </c>
      <c r="K531" s="19"/>
      <c r="L531" s="19"/>
      <c r="M531" s="19"/>
      <c r="N531" s="19"/>
      <c r="O531" s="17" t="n">
        <v>0</v>
      </c>
      <c r="P531" s="18" t="s">
        <v>2778</v>
      </c>
      <c r="Q531" s="18" t="s">
        <v>2779</v>
      </c>
      <c r="R531" s="18" t="s">
        <v>2780</v>
      </c>
      <c r="S531" s="17" t="s">
        <v>237</v>
      </c>
      <c r="T531" s="18" t="s">
        <v>2781</v>
      </c>
      <c r="U531" s="19"/>
      <c r="V531" s="18" t="s">
        <v>2782</v>
      </c>
      <c r="W531" s="17" t="s">
        <v>240</v>
      </c>
      <c r="X531" s="17" t="s">
        <v>2783</v>
      </c>
      <c r="Y531" s="17" t="s">
        <v>242</v>
      </c>
      <c r="Z531" s="19"/>
      <c r="AA531" s="19"/>
      <c r="AB531" s="17"/>
      <c r="AC531" s="19"/>
    </row>
    <row r="532" customFormat="false" ht="22.35" hidden="false" customHeight="false" outlineLevel="0" collapsed="false">
      <c r="A532" s="10" t="s">
        <v>2784</v>
      </c>
      <c r="B532" s="17" t="s">
        <v>88</v>
      </c>
      <c r="C532" s="18" t="s">
        <v>89</v>
      </c>
      <c r="D532" s="17" t="s">
        <v>19</v>
      </c>
      <c r="E532" s="17" t="s">
        <v>229</v>
      </c>
      <c r="F532" s="17" t="s">
        <v>2777</v>
      </c>
      <c r="G532" s="17" t="s">
        <v>90</v>
      </c>
      <c r="H532" s="17" t="s">
        <v>31</v>
      </c>
      <c r="I532" s="17" t="s">
        <v>232</v>
      </c>
      <c r="J532" s="17" t="s">
        <v>233</v>
      </c>
      <c r="K532" s="19"/>
      <c r="L532" s="19"/>
      <c r="M532" s="19"/>
      <c r="N532" s="19"/>
      <c r="O532" s="17" t="n">
        <v>0</v>
      </c>
      <c r="P532" s="18" t="s">
        <v>2778</v>
      </c>
      <c r="Q532" s="18" t="s">
        <v>2779</v>
      </c>
      <c r="R532" s="18" t="s">
        <v>2785</v>
      </c>
      <c r="S532" s="17" t="s">
        <v>1938</v>
      </c>
      <c r="T532" s="18" t="s">
        <v>2786</v>
      </c>
      <c r="U532" s="19"/>
      <c r="V532" s="18" t="s">
        <v>2787</v>
      </c>
      <c r="W532" s="17" t="s">
        <v>240</v>
      </c>
      <c r="X532" s="17" t="s">
        <v>2788</v>
      </c>
      <c r="Y532" s="17" t="s">
        <v>242</v>
      </c>
      <c r="Z532" s="19"/>
      <c r="AA532" s="19"/>
      <c r="AB532" s="17"/>
      <c r="AC532" s="19"/>
    </row>
    <row r="533" customFormat="false" ht="22.35" hidden="false" customHeight="false" outlineLevel="0" collapsed="false">
      <c r="A533" s="10" t="s">
        <v>2789</v>
      </c>
      <c r="B533" s="17" t="s">
        <v>88</v>
      </c>
      <c r="C533" s="18" t="s">
        <v>89</v>
      </c>
      <c r="D533" s="17" t="s">
        <v>19</v>
      </c>
      <c r="E533" s="17" t="s">
        <v>229</v>
      </c>
      <c r="F533" s="17" t="s">
        <v>2777</v>
      </c>
      <c r="G533" s="17" t="s">
        <v>90</v>
      </c>
      <c r="H533" s="17" t="s">
        <v>31</v>
      </c>
      <c r="I533" s="17" t="s">
        <v>232</v>
      </c>
      <c r="J533" s="17" t="s">
        <v>233</v>
      </c>
      <c r="K533" s="19"/>
      <c r="L533" s="19"/>
      <c r="M533" s="19"/>
      <c r="N533" s="19"/>
      <c r="O533" s="17" t="n">
        <v>0</v>
      </c>
      <c r="P533" s="18" t="s">
        <v>2778</v>
      </c>
      <c r="Q533" s="18" t="s">
        <v>2779</v>
      </c>
      <c r="R533" s="18" t="s">
        <v>2790</v>
      </c>
      <c r="S533" s="17" t="s">
        <v>1938</v>
      </c>
      <c r="T533" s="18" t="s">
        <v>2791</v>
      </c>
      <c r="U533" s="19"/>
      <c r="V533" s="18" t="s">
        <v>2792</v>
      </c>
      <c r="W533" s="17" t="s">
        <v>240</v>
      </c>
      <c r="X533" s="17" t="s">
        <v>2793</v>
      </c>
      <c r="Y533" s="17" t="s">
        <v>242</v>
      </c>
      <c r="Z533" s="19"/>
      <c r="AA533" s="19"/>
      <c r="AB533" s="17"/>
      <c r="AC533" s="19"/>
    </row>
    <row r="534" customFormat="false" ht="22.35" hidden="false" customHeight="false" outlineLevel="0" collapsed="false">
      <c r="A534" s="10" t="s">
        <v>2794</v>
      </c>
      <c r="B534" s="17" t="s">
        <v>88</v>
      </c>
      <c r="C534" s="18" t="s">
        <v>89</v>
      </c>
      <c r="D534" s="17" t="s">
        <v>19</v>
      </c>
      <c r="E534" s="17" t="s">
        <v>229</v>
      </c>
      <c r="F534" s="17" t="s">
        <v>2777</v>
      </c>
      <c r="G534" s="17" t="s">
        <v>90</v>
      </c>
      <c r="H534" s="17" t="s">
        <v>31</v>
      </c>
      <c r="I534" s="17" t="s">
        <v>232</v>
      </c>
      <c r="J534" s="17" t="s">
        <v>233</v>
      </c>
      <c r="K534" s="19"/>
      <c r="L534" s="19"/>
      <c r="M534" s="19"/>
      <c r="N534" s="19"/>
      <c r="O534" s="17" t="n">
        <v>0</v>
      </c>
      <c r="P534" s="18" t="s">
        <v>2778</v>
      </c>
      <c r="Q534" s="18" t="s">
        <v>2779</v>
      </c>
      <c r="R534" s="18" t="s">
        <v>2795</v>
      </c>
      <c r="S534" s="17" t="s">
        <v>1938</v>
      </c>
      <c r="T534" s="18" t="s">
        <v>2796</v>
      </c>
      <c r="U534" s="19"/>
      <c r="V534" s="18" t="s">
        <v>2797</v>
      </c>
      <c r="W534" s="17" t="s">
        <v>240</v>
      </c>
      <c r="X534" s="17" t="s">
        <v>2798</v>
      </c>
      <c r="Y534" s="17" t="s">
        <v>242</v>
      </c>
      <c r="Z534" s="19"/>
      <c r="AA534" s="19"/>
      <c r="AB534" s="17"/>
      <c r="AC534" s="19"/>
    </row>
    <row r="535" customFormat="false" ht="22.35" hidden="false" customHeight="false" outlineLevel="0" collapsed="false">
      <c r="A535" s="10" t="s">
        <v>2799</v>
      </c>
      <c r="B535" s="17" t="s">
        <v>88</v>
      </c>
      <c r="C535" s="18" t="s">
        <v>89</v>
      </c>
      <c r="D535" s="17" t="s">
        <v>19</v>
      </c>
      <c r="E535" s="17" t="s">
        <v>229</v>
      </c>
      <c r="F535" s="17" t="s">
        <v>2777</v>
      </c>
      <c r="G535" s="17" t="s">
        <v>90</v>
      </c>
      <c r="H535" s="17" t="s">
        <v>31</v>
      </c>
      <c r="I535" s="17" t="s">
        <v>1028</v>
      </c>
      <c r="J535" s="17" t="s">
        <v>233</v>
      </c>
      <c r="K535" s="19"/>
      <c r="L535" s="19"/>
      <c r="M535" s="19"/>
      <c r="N535" s="19"/>
      <c r="O535" s="17" t="n">
        <v>0</v>
      </c>
      <c r="P535" s="18" t="s">
        <v>2778</v>
      </c>
      <c r="Q535" s="18" t="s">
        <v>2779</v>
      </c>
      <c r="R535" s="18" t="s">
        <v>2800</v>
      </c>
      <c r="S535" s="17" t="s">
        <v>1938</v>
      </c>
      <c r="T535" s="18" t="s">
        <v>2801</v>
      </c>
      <c r="U535" s="19"/>
      <c r="V535" s="18" t="s">
        <v>2802</v>
      </c>
      <c r="W535" s="17" t="s">
        <v>240</v>
      </c>
      <c r="X535" s="17" t="s">
        <v>2803</v>
      </c>
      <c r="Y535" s="17" t="s">
        <v>242</v>
      </c>
      <c r="Z535" s="19"/>
      <c r="AA535" s="19"/>
      <c r="AB535" s="17"/>
      <c r="AC535" s="19"/>
    </row>
    <row r="536" customFormat="false" ht="22.35" hidden="false" customHeight="false" outlineLevel="0" collapsed="false">
      <c r="A536" s="10" t="s">
        <v>2804</v>
      </c>
      <c r="B536" s="17" t="s">
        <v>88</v>
      </c>
      <c r="C536" s="18" t="s">
        <v>89</v>
      </c>
      <c r="D536" s="17" t="s">
        <v>19</v>
      </c>
      <c r="E536" s="17" t="s">
        <v>229</v>
      </c>
      <c r="F536" s="17" t="s">
        <v>2777</v>
      </c>
      <c r="G536" s="17" t="s">
        <v>90</v>
      </c>
      <c r="H536" s="17" t="s">
        <v>31</v>
      </c>
      <c r="I536" s="17" t="s">
        <v>232</v>
      </c>
      <c r="J536" s="17" t="s">
        <v>233</v>
      </c>
      <c r="K536" s="19"/>
      <c r="L536" s="19"/>
      <c r="M536" s="19"/>
      <c r="N536" s="19"/>
      <c r="O536" s="17" t="n">
        <v>0</v>
      </c>
      <c r="P536" s="18" t="s">
        <v>2778</v>
      </c>
      <c r="Q536" s="18" t="s">
        <v>2805</v>
      </c>
      <c r="R536" s="18" t="s">
        <v>2806</v>
      </c>
      <c r="S536" s="17" t="s">
        <v>1938</v>
      </c>
      <c r="T536" s="18" t="s">
        <v>2807</v>
      </c>
      <c r="U536" s="19"/>
      <c r="V536" s="18" t="s">
        <v>2808</v>
      </c>
      <c r="W536" s="17" t="s">
        <v>240</v>
      </c>
      <c r="X536" s="17" t="s">
        <v>2809</v>
      </c>
      <c r="Y536" s="17" t="s">
        <v>242</v>
      </c>
      <c r="Z536" s="19"/>
      <c r="AA536" s="19"/>
      <c r="AB536" s="17"/>
      <c r="AC536" s="19"/>
    </row>
    <row r="537" customFormat="false" ht="32.8" hidden="false" customHeight="false" outlineLevel="0" collapsed="false">
      <c r="A537" s="10" t="s">
        <v>2810</v>
      </c>
      <c r="B537" s="17" t="s">
        <v>88</v>
      </c>
      <c r="C537" s="18" t="s">
        <v>89</v>
      </c>
      <c r="D537" s="17" t="s">
        <v>19</v>
      </c>
      <c r="E537" s="17" t="s">
        <v>229</v>
      </c>
      <c r="F537" s="17" t="s">
        <v>2777</v>
      </c>
      <c r="G537" s="17" t="s">
        <v>90</v>
      </c>
      <c r="H537" s="17" t="s">
        <v>31</v>
      </c>
      <c r="I537" s="17" t="s">
        <v>232</v>
      </c>
      <c r="J537" s="17" t="s">
        <v>233</v>
      </c>
      <c r="K537" s="19"/>
      <c r="L537" s="19"/>
      <c r="M537" s="19"/>
      <c r="N537" s="19"/>
      <c r="O537" s="17" t="n">
        <v>0</v>
      </c>
      <c r="P537" s="18" t="s">
        <v>2778</v>
      </c>
      <c r="Q537" s="18" t="s">
        <v>2805</v>
      </c>
      <c r="R537" s="18" t="s">
        <v>2811</v>
      </c>
      <c r="S537" s="17" t="s">
        <v>2804</v>
      </c>
      <c r="T537" s="18" t="s">
        <v>2812</v>
      </c>
      <c r="U537" s="19"/>
      <c r="V537" s="18" t="s">
        <v>2813</v>
      </c>
      <c r="W537" s="17" t="s">
        <v>240</v>
      </c>
      <c r="X537" s="17" t="s">
        <v>2814</v>
      </c>
      <c r="Y537" s="17" t="s">
        <v>242</v>
      </c>
      <c r="Z537" s="19"/>
      <c r="AA537" s="19"/>
      <c r="AB537" s="17"/>
      <c r="AC537" s="19"/>
    </row>
    <row r="538" customFormat="false" ht="22.35" hidden="false" customHeight="false" outlineLevel="0" collapsed="false">
      <c r="A538" s="10" t="s">
        <v>2815</v>
      </c>
      <c r="B538" s="17" t="s">
        <v>88</v>
      </c>
      <c r="C538" s="18" t="s">
        <v>89</v>
      </c>
      <c r="D538" s="17" t="s">
        <v>19</v>
      </c>
      <c r="E538" s="17" t="s">
        <v>229</v>
      </c>
      <c r="F538" s="17" t="s">
        <v>2777</v>
      </c>
      <c r="G538" s="17" t="s">
        <v>90</v>
      </c>
      <c r="H538" s="17" t="s">
        <v>31</v>
      </c>
      <c r="I538" s="17" t="s">
        <v>232</v>
      </c>
      <c r="J538" s="17" t="s">
        <v>233</v>
      </c>
      <c r="K538" s="19"/>
      <c r="L538" s="19"/>
      <c r="M538" s="19"/>
      <c r="N538" s="19"/>
      <c r="O538" s="17" t="n">
        <v>0</v>
      </c>
      <c r="P538" s="18" t="s">
        <v>2778</v>
      </c>
      <c r="Q538" s="18" t="s">
        <v>2805</v>
      </c>
      <c r="R538" s="18" t="s">
        <v>2816</v>
      </c>
      <c r="S538" s="17" t="s">
        <v>2810</v>
      </c>
      <c r="T538" s="18" t="s">
        <v>2817</v>
      </c>
      <c r="U538" s="19"/>
      <c r="V538" s="18" t="s">
        <v>2818</v>
      </c>
      <c r="W538" s="17" t="s">
        <v>240</v>
      </c>
      <c r="X538" s="17" t="s">
        <v>2819</v>
      </c>
      <c r="Y538" s="17" t="s">
        <v>242</v>
      </c>
      <c r="Z538" s="19"/>
      <c r="AA538" s="19"/>
      <c r="AB538" s="17"/>
      <c r="AC538" s="19"/>
    </row>
    <row r="539" customFormat="false" ht="22.35" hidden="false" customHeight="false" outlineLevel="0" collapsed="false">
      <c r="A539" s="10" t="s">
        <v>2820</v>
      </c>
      <c r="B539" s="17" t="s">
        <v>88</v>
      </c>
      <c r="C539" s="18" t="s">
        <v>89</v>
      </c>
      <c r="D539" s="17" t="s">
        <v>19</v>
      </c>
      <c r="E539" s="17" t="s">
        <v>229</v>
      </c>
      <c r="F539" s="17" t="s">
        <v>2777</v>
      </c>
      <c r="G539" s="17" t="s">
        <v>90</v>
      </c>
      <c r="H539" s="17" t="s">
        <v>31</v>
      </c>
      <c r="I539" s="17" t="s">
        <v>232</v>
      </c>
      <c r="J539" s="17" t="s">
        <v>233</v>
      </c>
      <c r="K539" s="19"/>
      <c r="L539" s="19"/>
      <c r="M539" s="19"/>
      <c r="N539" s="19"/>
      <c r="O539" s="17" t="n">
        <v>0</v>
      </c>
      <c r="P539" s="18" t="s">
        <v>2778</v>
      </c>
      <c r="Q539" s="18" t="s">
        <v>2805</v>
      </c>
      <c r="R539" s="18" t="s">
        <v>2821</v>
      </c>
      <c r="S539" s="17" t="s">
        <v>2804</v>
      </c>
      <c r="T539" s="18" t="s">
        <v>2822</v>
      </c>
      <c r="U539" s="19"/>
      <c r="V539" s="18" t="s">
        <v>2823</v>
      </c>
      <c r="W539" s="17" t="s">
        <v>383</v>
      </c>
      <c r="X539" s="17" t="s">
        <v>2824</v>
      </c>
      <c r="Y539" s="17" t="s">
        <v>242</v>
      </c>
      <c r="Z539" s="19"/>
      <c r="AA539" s="19"/>
      <c r="AB539" s="17"/>
      <c r="AC539" s="19"/>
    </row>
    <row r="540" customFormat="false" ht="22.35" hidden="false" customHeight="false" outlineLevel="0" collapsed="false">
      <c r="A540" s="10" t="s">
        <v>2825</v>
      </c>
      <c r="B540" s="17" t="s">
        <v>88</v>
      </c>
      <c r="C540" s="18" t="s">
        <v>89</v>
      </c>
      <c r="D540" s="17" t="s">
        <v>19</v>
      </c>
      <c r="E540" s="17" t="s">
        <v>244</v>
      </c>
      <c r="F540" s="17" t="s">
        <v>2777</v>
      </c>
      <c r="G540" s="17" t="s">
        <v>90</v>
      </c>
      <c r="H540" s="17" t="s">
        <v>31</v>
      </c>
      <c r="I540" s="17" t="s">
        <v>232</v>
      </c>
      <c r="J540" s="17" t="s">
        <v>233</v>
      </c>
      <c r="K540" s="19"/>
      <c r="L540" s="19"/>
      <c r="M540" s="19"/>
      <c r="N540" s="19"/>
      <c r="O540" s="17" t="n">
        <v>0</v>
      </c>
      <c r="P540" s="18" t="s">
        <v>2778</v>
      </c>
      <c r="Q540" s="18" t="s">
        <v>2826</v>
      </c>
      <c r="R540" s="18" t="s">
        <v>2827</v>
      </c>
      <c r="S540" s="17" t="s">
        <v>2815</v>
      </c>
      <c r="T540" s="18" t="s">
        <v>2828</v>
      </c>
      <c r="U540" s="19"/>
      <c r="V540" s="18" t="s">
        <v>2829</v>
      </c>
      <c r="W540" s="17" t="s">
        <v>240</v>
      </c>
      <c r="X540" s="17" t="s">
        <v>2830</v>
      </c>
      <c r="Y540" s="17" t="s">
        <v>242</v>
      </c>
      <c r="Z540" s="19"/>
      <c r="AA540" s="19"/>
      <c r="AB540" s="17"/>
      <c r="AC540" s="19"/>
    </row>
    <row r="541" customFormat="false" ht="22.35" hidden="false" customHeight="false" outlineLevel="0" collapsed="false">
      <c r="A541" s="10" t="s">
        <v>2831</v>
      </c>
      <c r="B541" s="17" t="s">
        <v>88</v>
      </c>
      <c r="C541" s="18" t="s">
        <v>89</v>
      </c>
      <c r="D541" s="17" t="s">
        <v>19</v>
      </c>
      <c r="E541" s="17" t="s">
        <v>229</v>
      </c>
      <c r="F541" s="17" t="s">
        <v>2777</v>
      </c>
      <c r="G541" s="17" t="s">
        <v>90</v>
      </c>
      <c r="H541" s="17" t="s">
        <v>31</v>
      </c>
      <c r="I541" s="17" t="s">
        <v>277</v>
      </c>
      <c r="J541" s="17" t="s">
        <v>233</v>
      </c>
      <c r="K541" s="19"/>
      <c r="L541" s="19"/>
      <c r="M541" s="19"/>
      <c r="N541" s="19"/>
      <c r="O541" s="17" t="n">
        <v>0</v>
      </c>
      <c r="P541" s="18" t="s">
        <v>2778</v>
      </c>
      <c r="Q541" s="18" t="s">
        <v>2826</v>
      </c>
      <c r="R541" s="18" t="s">
        <v>2832</v>
      </c>
      <c r="S541" s="17" t="s">
        <v>2825</v>
      </c>
      <c r="T541" s="18" t="s">
        <v>2833</v>
      </c>
      <c r="U541" s="19"/>
      <c r="V541" s="18" t="s">
        <v>2834</v>
      </c>
      <c r="W541" s="17" t="s">
        <v>240</v>
      </c>
      <c r="X541" s="17" t="s">
        <v>2835</v>
      </c>
      <c r="Y541" s="17" t="s">
        <v>242</v>
      </c>
      <c r="Z541" s="19"/>
      <c r="AA541" s="19"/>
      <c r="AB541" s="17"/>
      <c r="AC541" s="19"/>
    </row>
    <row r="542" customFormat="false" ht="22.35" hidden="false" customHeight="false" outlineLevel="0" collapsed="false">
      <c r="A542" s="10" t="s">
        <v>2836</v>
      </c>
      <c r="B542" s="17" t="s">
        <v>88</v>
      </c>
      <c r="C542" s="18" t="s">
        <v>89</v>
      </c>
      <c r="D542" s="17" t="s">
        <v>19</v>
      </c>
      <c r="E542" s="17" t="s">
        <v>229</v>
      </c>
      <c r="F542" s="17" t="s">
        <v>2777</v>
      </c>
      <c r="G542" s="17" t="s">
        <v>90</v>
      </c>
      <c r="H542" s="17" t="s">
        <v>31</v>
      </c>
      <c r="I542" s="17" t="s">
        <v>283</v>
      </c>
      <c r="J542" s="17" t="s">
        <v>233</v>
      </c>
      <c r="K542" s="19"/>
      <c r="L542" s="19"/>
      <c r="M542" s="19"/>
      <c r="N542" s="19"/>
      <c r="O542" s="17" t="n">
        <v>0</v>
      </c>
      <c r="P542" s="18" t="s">
        <v>2778</v>
      </c>
      <c r="Q542" s="18" t="s">
        <v>2826</v>
      </c>
      <c r="R542" s="18" t="s">
        <v>2837</v>
      </c>
      <c r="S542" s="17" t="s">
        <v>2825</v>
      </c>
      <c r="T542" s="18" t="s">
        <v>2838</v>
      </c>
      <c r="U542" s="19"/>
      <c r="V542" s="18" t="s">
        <v>2839</v>
      </c>
      <c r="W542" s="17" t="s">
        <v>240</v>
      </c>
      <c r="X542" s="17" t="s">
        <v>2840</v>
      </c>
      <c r="Y542" s="17" t="s">
        <v>242</v>
      </c>
      <c r="Z542" s="19"/>
      <c r="AA542" s="19"/>
      <c r="AB542" s="17"/>
      <c r="AC542" s="19"/>
    </row>
    <row r="543" customFormat="false" ht="22.35" hidden="false" customHeight="false" outlineLevel="0" collapsed="false">
      <c r="A543" s="10" t="s">
        <v>2841</v>
      </c>
      <c r="B543" s="17" t="s">
        <v>88</v>
      </c>
      <c r="C543" s="18" t="s">
        <v>89</v>
      </c>
      <c r="D543" s="17" t="s">
        <v>19</v>
      </c>
      <c r="E543" s="17" t="s">
        <v>229</v>
      </c>
      <c r="F543" s="17" t="s">
        <v>2777</v>
      </c>
      <c r="G543" s="17" t="s">
        <v>90</v>
      </c>
      <c r="H543" s="17" t="s">
        <v>31</v>
      </c>
      <c r="I543" s="17" t="s">
        <v>232</v>
      </c>
      <c r="J543" s="17" t="s">
        <v>233</v>
      </c>
      <c r="K543" s="19"/>
      <c r="L543" s="19"/>
      <c r="M543" s="19"/>
      <c r="N543" s="19"/>
      <c r="O543" s="17" t="n">
        <v>0</v>
      </c>
      <c r="P543" s="18" t="s">
        <v>2778</v>
      </c>
      <c r="Q543" s="18" t="s">
        <v>2826</v>
      </c>
      <c r="R543" s="18" t="s">
        <v>2842</v>
      </c>
      <c r="S543" s="17" t="s">
        <v>2825</v>
      </c>
      <c r="T543" s="18" t="s">
        <v>2843</v>
      </c>
      <c r="U543" s="19"/>
      <c r="V543" s="18" t="s">
        <v>2844</v>
      </c>
      <c r="W543" s="17" t="s">
        <v>240</v>
      </c>
      <c r="X543" s="17" t="s">
        <v>2845</v>
      </c>
      <c r="Y543" s="17" t="s">
        <v>242</v>
      </c>
      <c r="Z543" s="19"/>
      <c r="AA543" s="19"/>
      <c r="AB543" s="17"/>
      <c r="AC543" s="19"/>
    </row>
    <row r="544" customFormat="false" ht="22.35" hidden="false" customHeight="false" outlineLevel="0" collapsed="false">
      <c r="A544" s="10" t="s">
        <v>2846</v>
      </c>
      <c r="B544" s="17" t="s">
        <v>88</v>
      </c>
      <c r="C544" s="18" t="s">
        <v>89</v>
      </c>
      <c r="D544" s="17" t="s">
        <v>19</v>
      </c>
      <c r="E544" s="17" t="s">
        <v>229</v>
      </c>
      <c r="F544" s="17" t="s">
        <v>2777</v>
      </c>
      <c r="G544" s="17" t="s">
        <v>90</v>
      </c>
      <c r="H544" s="17" t="s">
        <v>31</v>
      </c>
      <c r="I544" s="17" t="s">
        <v>283</v>
      </c>
      <c r="J544" s="17" t="s">
        <v>233</v>
      </c>
      <c r="K544" s="19"/>
      <c r="L544" s="19"/>
      <c r="M544" s="19"/>
      <c r="N544" s="19"/>
      <c r="O544" s="17" t="n">
        <v>0</v>
      </c>
      <c r="P544" s="18" t="s">
        <v>2778</v>
      </c>
      <c r="Q544" s="18" t="s">
        <v>2826</v>
      </c>
      <c r="R544" s="18" t="s">
        <v>2847</v>
      </c>
      <c r="S544" s="17" t="s">
        <v>2848</v>
      </c>
      <c r="T544" s="18" t="s">
        <v>2849</v>
      </c>
      <c r="U544" s="19"/>
      <c r="V544" s="18" t="s">
        <v>2850</v>
      </c>
      <c r="W544" s="17" t="s">
        <v>240</v>
      </c>
      <c r="X544" s="17" t="s">
        <v>2851</v>
      </c>
      <c r="Y544" s="17" t="s">
        <v>242</v>
      </c>
      <c r="Z544" s="19"/>
      <c r="AA544" s="19"/>
      <c r="AB544" s="17"/>
      <c r="AC544" s="19"/>
    </row>
    <row r="545" customFormat="false" ht="32.8" hidden="false" customHeight="false" outlineLevel="0" collapsed="false">
      <c r="A545" s="10" t="s">
        <v>2852</v>
      </c>
      <c r="B545" s="17" t="s">
        <v>88</v>
      </c>
      <c r="C545" s="18" t="s">
        <v>89</v>
      </c>
      <c r="D545" s="17" t="s">
        <v>19</v>
      </c>
      <c r="E545" s="17" t="s">
        <v>229</v>
      </c>
      <c r="F545" s="17" t="s">
        <v>2777</v>
      </c>
      <c r="G545" s="17" t="s">
        <v>90</v>
      </c>
      <c r="H545" s="17" t="s">
        <v>31</v>
      </c>
      <c r="I545" s="17" t="s">
        <v>316</v>
      </c>
      <c r="J545" s="17" t="s">
        <v>233</v>
      </c>
      <c r="K545" s="19"/>
      <c r="L545" s="19"/>
      <c r="M545" s="19"/>
      <c r="N545" s="19"/>
      <c r="O545" s="17" t="n">
        <v>0</v>
      </c>
      <c r="P545" s="18" t="s">
        <v>2853</v>
      </c>
      <c r="Q545" s="18" t="s">
        <v>2854</v>
      </c>
      <c r="R545" s="18" t="s">
        <v>2855</v>
      </c>
      <c r="S545" s="17" t="s">
        <v>2846</v>
      </c>
      <c r="T545" s="18" t="s">
        <v>2856</v>
      </c>
      <c r="U545" s="19"/>
      <c r="V545" s="18" t="s">
        <v>2857</v>
      </c>
      <c r="W545" s="17" t="s">
        <v>240</v>
      </c>
      <c r="X545" s="17" t="s">
        <v>2858</v>
      </c>
      <c r="Y545" s="17" t="s">
        <v>242</v>
      </c>
      <c r="Z545" s="19"/>
      <c r="AA545" s="19"/>
      <c r="AB545" s="17"/>
      <c r="AC545" s="19"/>
    </row>
    <row r="546" customFormat="false" ht="22.35" hidden="false" customHeight="false" outlineLevel="0" collapsed="false">
      <c r="A546" s="10" t="s">
        <v>2859</v>
      </c>
      <c r="B546" s="17" t="s">
        <v>88</v>
      </c>
      <c r="C546" s="18" t="s">
        <v>89</v>
      </c>
      <c r="D546" s="17" t="s">
        <v>19</v>
      </c>
      <c r="E546" s="17" t="s">
        <v>229</v>
      </c>
      <c r="F546" s="17" t="s">
        <v>2777</v>
      </c>
      <c r="G546" s="17" t="s">
        <v>90</v>
      </c>
      <c r="H546" s="17" t="s">
        <v>31</v>
      </c>
      <c r="I546" s="17" t="s">
        <v>316</v>
      </c>
      <c r="J546" s="17" t="s">
        <v>233</v>
      </c>
      <c r="K546" s="19"/>
      <c r="L546" s="19"/>
      <c r="M546" s="19"/>
      <c r="N546" s="19"/>
      <c r="O546" s="17" t="n">
        <v>0</v>
      </c>
      <c r="P546" s="18" t="s">
        <v>2853</v>
      </c>
      <c r="Q546" s="18" t="s">
        <v>2854</v>
      </c>
      <c r="R546" s="18" t="s">
        <v>2860</v>
      </c>
      <c r="S546" s="17" t="s">
        <v>2825</v>
      </c>
      <c r="T546" s="18" t="s">
        <v>2861</v>
      </c>
      <c r="U546" s="19"/>
      <c r="V546" s="18" t="s">
        <v>2862</v>
      </c>
      <c r="W546" s="17" t="s">
        <v>240</v>
      </c>
      <c r="X546" s="17" t="s">
        <v>2863</v>
      </c>
      <c r="Y546" s="17" t="s">
        <v>242</v>
      </c>
      <c r="Z546" s="19"/>
      <c r="AA546" s="19"/>
      <c r="AB546" s="17"/>
      <c r="AC546" s="19"/>
    </row>
    <row r="547" customFormat="false" ht="22.35" hidden="false" customHeight="false" outlineLevel="0" collapsed="false">
      <c r="A547" s="10" t="s">
        <v>2864</v>
      </c>
      <c r="B547" s="17" t="s">
        <v>88</v>
      </c>
      <c r="C547" s="18" t="s">
        <v>89</v>
      </c>
      <c r="D547" s="17" t="s">
        <v>19</v>
      </c>
      <c r="E547" s="17" t="s">
        <v>229</v>
      </c>
      <c r="F547" s="17" t="s">
        <v>2777</v>
      </c>
      <c r="G547" s="17" t="s">
        <v>90</v>
      </c>
      <c r="H547" s="17" t="s">
        <v>31</v>
      </c>
      <c r="I547" s="17" t="s">
        <v>232</v>
      </c>
      <c r="J547" s="17" t="s">
        <v>233</v>
      </c>
      <c r="K547" s="19"/>
      <c r="L547" s="19"/>
      <c r="M547" s="19"/>
      <c r="N547" s="19"/>
      <c r="O547" s="17" t="n">
        <v>0</v>
      </c>
      <c r="P547" s="18" t="s">
        <v>2853</v>
      </c>
      <c r="Q547" s="18" t="s">
        <v>2854</v>
      </c>
      <c r="R547" s="18" t="s">
        <v>2865</v>
      </c>
      <c r="S547" s="17" t="s">
        <v>2866</v>
      </c>
      <c r="T547" s="18" t="s">
        <v>238</v>
      </c>
      <c r="U547" s="19"/>
      <c r="V547" s="18" t="s">
        <v>2867</v>
      </c>
      <c r="W547" s="17" t="s">
        <v>240</v>
      </c>
      <c r="X547" s="17" t="s">
        <v>2868</v>
      </c>
      <c r="Y547" s="17" t="s">
        <v>242</v>
      </c>
      <c r="Z547" s="19"/>
      <c r="AA547" s="19"/>
      <c r="AB547" s="17"/>
      <c r="AC547" s="19"/>
    </row>
    <row r="548" customFormat="false" ht="22.35" hidden="false" customHeight="false" outlineLevel="0" collapsed="false">
      <c r="A548" s="10" t="s">
        <v>2869</v>
      </c>
      <c r="B548" s="17" t="s">
        <v>88</v>
      </c>
      <c r="C548" s="18" t="s">
        <v>89</v>
      </c>
      <c r="D548" s="17" t="s">
        <v>19</v>
      </c>
      <c r="E548" s="17" t="s">
        <v>75</v>
      </c>
      <c r="F548" s="17" t="s">
        <v>2777</v>
      </c>
      <c r="G548" s="17" t="s">
        <v>90</v>
      </c>
      <c r="H548" s="17" t="s">
        <v>31</v>
      </c>
      <c r="I548" s="17" t="s">
        <v>316</v>
      </c>
      <c r="J548" s="17" t="s">
        <v>233</v>
      </c>
      <c r="K548" s="19"/>
      <c r="L548" s="19"/>
      <c r="M548" s="19"/>
      <c r="N548" s="19"/>
      <c r="O548" s="17" t="n">
        <v>2</v>
      </c>
      <c r="P548" s="18" t="s">
        <v>2853</v>
      </c>
      <c r="Q548" s="18" t="s">
        <v>2870</v>
      </c>
      <c r="R548" s="18" t="s">
        <v>2871</v>
      </c>
      <c r="S548" s="17" t="s">
        <v>2864</v>
      </c>
      <c r="T548" s="18" t="s">
        <v>2872</v>
      </c>
      <c r="U548" s="19"/>
      <c r="V548" s="18" t="s">
        <v>2873</v>
      </c>
      <c r="W548" s="17" t="s">
        <v>240</v>
      </c>
      <c r="X548" s="17" t="s">
        <v>2874</v>
      </c>
      <c r="Y548" s="17" t="s">
        <v>242</v>
      </c>
      <c r="Z548" s="19"/>
      <c r="AA548" s="19"/>
      <c r="AB548" s="17"/>
      <c r="AC548" s="19"/>
    </row>
    <row r="549" customFormat="false" ht="22.35" hidden="false" customHeight="false" outlineLevel="0" collapsed="false">
      <c r="A549" s="10" t="s">
        <v>2875</v>
      </c>
      <c r="B549" s="17" t="s">
        <v>88</v>
      </c>
      <c r="C549" s="18" t="s">
        <v>89</v>
      </c>
      <c r="D549" s="17" t="s">
        <v>19</v>
      </c>
      <c r="E549" s="17" t="s">
        <v>75</v>
      </c>
      <c r="F549" s="17" t="s">
        <v>2777</v>
      </c>
      <c r="G549" s="17" t="s">
        <v>90</v>
      </c>
      <c r="H549" s="17" t="s">
        <v>31</v>
      </c>
      <c r="I549" s="17" t="s">
        <v>316</v>
      </c>
      <c r="J549" s="17" t="s">
        <v>233</v>
      </c>
      <c r="K549" s="19"/>
      <c r="L549" s="19"/>
      <c r="M549" s="19"/>
      <c r="N549" s="19"/>
      <c r="O549" s="17" t="n">
        <v>2</v>
      </c>
      <c r="P549" s="18" t="s">
        <v>2853</v>
      </c>
      <c r="Q549" s="18" t="s">
        <v>2870</v>
      </c>
      <c r="R549" s="18" t="s">
        <v>2876</v>
      </c>
      <c r="S549" s="17" t="s">
        <v>2869</v>
      </c>
      <c r="T549" s="18" t="s">
        <v>2877</v>
      </c>
      <c r="U549" s="19"/>
      <c r="V549" s="18" t="s">
        <v>2878</v>
      </c>
      <c r="W549" s="17" t="s">
        <v>240</v>
      </c>
      <c r="X549" s="17" t="s">
        <v>2879</v>
      </c>
      <c r="Y549" s="17" t="s">
        <v>242</v>
      </c>
      <c r="Z549" s="19"/>
      <c r="AA549" s="19"/>
      <c r="AB549" s="17"/>
      <c r="AC549" s="19"/>
    </row>
    <row r="550" customFormat="false" ht="22.35" hidden="false" customHeight="false" outlineLevel="0" collapsed="false">
      <c r="A550" s="10" t="s">
        <v>2880</v>
      </c>
      <c r="B550" s="17" t="s">
        <v>88</v>
      </c>
      <c r="C550" s="18" t="s">
        <v>89</v>
      </c>
      <c r="D550" s="17" t="s">
        <v>19</v>
      </c>
      <c r="E550" s="17" t="s">
        <v>75</v>
      </c>
      <c r="F550" s="17" t="s">
        <v>2777</v>
      </c>
      <c r="G550" s="17" t="s">
        <v>90</v>
      </c>
      <c r="H550" s="17" t="s">
        <v>31</v>
      </c>
      <c r="I550" s="17" t="s">
        <v>316</v>
      </c>
      <c r="J550" s="17" t="s">
        <v>233</v>
      </c>
      <c r="K550" s="19"/>
      <c r="L550" s="19"/>
      <c r="M550" s="19"/>
      <c r="N550" s="19"/>
      <c r="O550" s="17" t="n">
        <v>2</v>
      </c>
      <c r="P550" s="18" t="s">
        <v>2853</v>
      </c>
      <c r="Q550" s="18" t="s">
        <v>2870</v>
      </c>
      <c r="R550" s="18" t="s">
        <v>2881</v>
      </c>
      <c r="S550" s="17" t="s">
        <v>2869</v>
      </c>
      <c r="T550" s="18" t="s">
        <v>2882</v>
      </c>
      <c r="U550" s="19"/>
      <c r="V550" s="18" t="s">
        <v>2883</v>
      </c>
      <c r="W550" s="17" t="s">
        <v>240</v>
      </c>
      <c r="X550" s="17" t="s">
        <v>2884</v>
      </c>
      <c r="Y550" s="17" t="s">
        <v>242</v>
      </c>
      <c r="Z550" s="19"/>
      <c r="AA550" s="19"/>
      <c r="AB550" s="17"/>
      <c r="AC550" s="19"/>
    </row>
    <row r="551" customFormat="false" ht="22.35" hidden="false" customHeight="false" outlineLevel="0" collapsed="false">
      <c r="A551" s="10" t="s">
        <v>2885</v>
      </c>
      <c r="B551" s="17" t="s">
        <v>88</v>
      </c>
      <c r="C551" s="18" t="s">
        <v>89</v>
      </c>
      <c r="D551" s="17" t="s">
        <v>19</v>
      </c>
      <c r="E551" s="17" t="s">
        <v>75</v>
      </c>
      <c r="F551" s="17" t="s">
        <v>2777</v>
      </c>
      <c r="G551" s="17" t="s">
        <v>90</v>
      </c>
      <c r="H551" s="17" t="s">
        <v>31</v>
      </c>
      <c r="I551" s="17" t="s">
        <v>316</v>
      </c>
      <c r="J551" s="17" t="s">
        <v>233</v>
      </c>
      <c r="K551" s="19"/>
      <c r="L551" s="19"/>
      <c r="M551" s="19"/>
      <c r="N551" s="19"/>
      <c r="O551" s="17" t="n">
        <v>2</v>
      </c>
      <c r="P551" s="18" t="s">
        <v>2853</v>
      </c>
      <c r="Q551" s="18" t="s">
        <v>2870</v>
      </c>
      <c r="R551" s="18" t="s">
        <v>2886</v>
      </c>
      <c r="S551" s="17" t="s">
        <v>2880</v>
      </c>
      <c r="T551" s="18" t="s">
        <v>2887</v>
      </c>
      <c r="U551" s="19"/>
      <c r="V551" s="18" t="s">
        <v>2888</v>
      </c>
      <c r="W551" s="17" t="s">
        <v>240</v>
      </c>
      <c r="X551" s="17" t="s">
        <v>2889</v>
      </c>
      <c r="Y551" s="17" t="s">
        <v>242</v>
      </c>
      <c r="Z551" s="19"/>
      <c r="AA551" s="19"/>
      <c r="AB551" s="17"/>
      <c r="AC551" s="19"/>
    </row>
    <row r="552" customFormat="false" ht="22.35" hidden="false" customHeight="false" outlineLevel="0" collapsed="false">
      <c r="A552" s="10" t="s">
        <v>2890</v>
      </c>
      <c r="B552" s="17" t="s">
        <v>88</v>
      </c>
      <c r="C552" s="18" t="s">
        <v>89</v>
      </c>
      <c r="D552" s="17" t="s">
        <v>19</v>
      </c>
      <c r="E552" s="17" t="s">
        <v>75</v>
      </c>
      <c r="F552" s="17" t="s">
        <v>2777</v>
      </c>
      <c r="G552" s="17" t="s">
        <v>90</v>
      </c>
      <c r="H552" s="17" t="s">
        <v>31</v>
      </c>
      <c r="I552" s="17" t="s">
        <v>316</v>
      </c>
      <c r="J552" s="17" t="s">
        <v>233</v>
      </c>
      <c r="K552" s="19"/>
      <c r="L552" s="19"/>
      <c r="M552" s="19"/>
      <c r="N552" s="19"/>
      <c r="O552" s="17" t="n">
        <v>2</v>
      </c>
      <c r="P552" s="18" t="s">
        <v>2853</v>
      </c>
      <c r="Q552" s="18" t="s">
        <v>2870</v>
      </c>
      <c r="R552" s="18" t="s">
        <v>2891</v>
      </c>
      <c r="S552" s="17" t="s">
        <v>2869</v>
      </c>
      <c r="T552" s="18" t="s">
        <v>2892</v>
      </c>
      <c r="U552" s="19"/>
      <c r="V552" s="18" t="s">
        <v>2893</v>
      </c>
      <c r="W552" s="17" t="s">
        <v>240</v>
      </c>
      <c r="X552" s="17" t="s">
        <v>2894</v>
      </c>
      <c r="Y552" s="17" t="s">
        <v>242</v>
      </c>
      <c r="Z552" s="19"/>
      <c r="AA552" s="19"/>
      <c r="AB552" s="17"/>
      <c r="AC552" s="19"/>
    </row>
    <row r="553" customFormat="false" ht="22.35" hidden="false" customHeight="false" outlineLevel="0" collapsed="false">
      <c r="A553" s="10" t="s">
        <v>2895</v>
      </c>
      <c r="B553" s="17" t="s">
        <v>88</v>
      </c>
      <c r="C553" s="18" t="s">
        <v>89</v>
      </c>
      <c r="D553" s="17" t="s">
        <v>19</v>
      </c>
      <c r="E553" s="17" t="s">
        <v>229</v>
      </c>
      <c r="F553" s="17" t="s">
        <v>2777</v>
      </c>
      <c r="G553" s="17" t="s">
        <v>90</v>
      </c>
      <c r="H553" s="17" t="s">
        <v>31</v>
      </c>
      <c r="I553" s="17" t="s">
        <v>2896</v>
      </c>
      <c r="J553" s="17" t="s">
        <v>233</v>
      </c>
      <c r="K553" s="19"/>
      <c r="L553" s="19"/>
      <c r="M553" s="19"/>
      <c r="N553" s="19"/>
      <c r="O553" s="17" t="n">
        <v>0</v>
      </c>
      <c r="P553" s="18" t="s">
        <v>2853</v>
      </c>
      <c r="Q553" s="18" t="s">
        <v>2897</v>
      </c>
      <c r="R553" s="18" t="s">
        <v>2898</v>
      </c>
      <c r="S553" s="17" t="s">
        <v>237</v>
      </c>
      <c r="T553" s="18" t="s">
        <v>2899</v>
      </c>
      <c r="U553" s="19"/>
      <c r="V553" s="18" t="s">
        <v>2900</v>
      </c>
      <c r="W553" s="17" t="s">
        <v>240</v>
      </c>
      <c r="X553" s="17" t="s">
        <v>2901</v>
      </c>
      <c r="Y553" s="17" t="s">
        <v>242</v>
      </c>
      <c r="Z553" s="19"/>
      <c r="AA553" s="19"/>
      <c r="AB553" s="17"/>
      <c r="AC553" s="19"/>
    </row>
    <row r="554" customFormat="false" ht="22.35" hidden="false" customHeight="false" outlineLevel="0" collapsed="false">
      <c r="A554" s="10" t="s">
        <v>2902</v>
      </c>
      <c r="B554" s="17" t="s">
        <v>88</v>
      </c>
      <c r="C554" s="18" t="s">
        <v>89</v>
      </c>
      <c r="D554" s="17" t="s">
        <v>19</v>
      </c>
      <c r="E554" s="17" t="s">
        <v>75</v>
      </c>
      <c r="F554" s="17" t="s">
        <v>2777</v>
      </c>
      <c r="G554" s="17" t="s">
        <v>90</v>
      </c>
      <c r="H554" s="17" t="s">
        <v>31</v>
      </c>
      <c r="I554" s="17" t="s">
        <v>450</v>
      </c>
      <c r="J554" s="17" t="s">
        <v>233</v>
      </c>
      <c r="K554" s="19"/>
      <c r="L554" s="19"/>
      <c r="M554" s="19"/>
      <c r="N554" s="19"/>
      <c r="O554" s="17" t="n">
        <v>2</v>
      </c>
      <c r="P554" s="18" t="s">
        <v>2853</v>
      </c>
      <c r="Q554" s="18" t="s">
        <v>2897</v>
      </c>
      <c r="R554" s="18" t="s">
        <v>2903</v>
      </c>
      <c r="S554" s="17" t="s">
        <v>2904</v>
      </c>
      <c r="T554" s="18" t="s">
        <v>2905</v>
      </c>
      <c r="U554" s="19"/>
      <c r="V554" s="18" t="s">
        <v>2906</v>
      </c>
      <c r="W554" s="17" t="s">
        <v>240</v>
      </c>
      <c r="X554" s="17" t="s">
        <v>2907</v>
      </c>
      <c r="Y554" s="17" t="s">
        <v>242</v>
      </c>
      <c r="Z554" s="19"/>
      <c r="AA554" s="19"/>
      <c r="AB554" s="17"/>
      <c r="AC554" s="19"/>
    </row>
    <row r="555" customFormat="false" ht="22.35" hidden="false" customHeight="false" outlineLevel="0" collapsed="false">
      <c r="A555" s="10" t="s">
        <v>2908</v>
      </c>
      <c r="B555" s="17" t="s">
        <v>88</v>
      </c>
      <c r="C555" s="18" t="s">
        <v>89</v>
      </c>
      <c r="D555" s="17" t="s">
        <v>19</v>
      </c>
      <c r="E555" s="17" t="s">
        <v>75</v>
      </c>
      <c r="F555" s="17" t="s">
        <v>2777</v>
      </c>
      <c r="G555" s="17" t="s">
        <v>90</v>
      </c>
      <c r="H555" s="17" t="s">
        <v>31</v>
      </c>
      <c r="I555" s="17" t="s">
        <v>450</v>
      </c>
      <c r="J555" s="17" t="s">
        <v>233</v>
      </c>
      <c r="K555" s="19"/>
      <c r="L555" s="19"/>
      <c r="M555" s="19"/>
      <c r="N555" s="19"/>
      <c r="O555" s="17" t="n">
        <v>2</v>
      </c>
      <c r="P555" s="18" t="s">
        <v>2853</v>
      </c>
      <c r="Q555" s="18" t="s">
        <v>2897</v>
      </c>
      <c r="R555" s="18" t="s">
        <v>2909</v>
      </c>
      <c r="S555" s="17" t="s">
        <v>2902</v>
      </c>
      <c r="T555" s="18" t="s">
        <v>2910</v>
      </c>
      <c r="U555" s="19"/>
      <c r="V555" s="18" t="s">
        <v>2911</v>
      </c>
      <c r="W555" s="17" t="s">
        <v>240</v>
      </c>
      <c r="X555" s="17" t="s">
        <v>2912</v>
      </c>
      <c r="Y555" s="17" t="s">
        <v>242</v>
      </c>
      <c r="Z555" s="19"/>
      <c r="AA555" s="19"/>
      <c r="AB555" s="17"/>
      <c r="AC555" s="19"/>
    </row>
    <row r="556" customFormat="false" ht="22.35" hidden="false" customHeight="false" outlineLevel="0" collapsed="false">
      <c r="A556" s="10" t="s">
        <v>2913</v>
      </c>
      <c r="B556" s="17" t="s">
        <v>88</v>
      </c>
      <c r="C556" s="18" t="s">
        <v>89</v>
      </c>
      <c r="D556" s="17" t="s">
        <v>19</v>
      </c>
      <c r="E556" s="17" t="s">
        <v>75</v>
      </c>
      <c r="F556" s="17" t="s">
        <v>2777</v>
      </c>
      <c r="G556" s="17" t="s">
        <v>90</v>
      </c>
      <c r="H556" s="17" t="s">
        <v>31</v>
      </c>
      <c r="I556" s="17" t="s">
        <v>283</v>
      </c>
      <c r="J556" s="17" t="s">
        <v>233</v>
      </c>
      <c r="K556" s="19"/>
      <c r="L556" s="19"/>
      <c r="M556" s="19"/>
      <c r="N556" s="19"/>
      <c r="O556" s="17" t="n">
        <v>2</v>
      </c>
      <c r="P556" s="18" t="s">
        <v>2853</v>
      </c>
      <c r="Q556" s="18" t="s">
        <v>2897</v>
      </c>
      <c r="R556" s="18" t="s">
        <v>2914</v>
      </c>
      <c r="S556" s="17" t="s">
        <v>2915</v>
      </c>
      <c r="T556" s="18" t="s">
        <v>2849</v>
      </c>
      <c r="U556" s="19"/>
      <c r="V556" s="18" t="s">
        <v>2916</v>
      </c>
      <c r="W556" s="17" t="s">
        <v>240</v>
      </c>
      <c r="X556" s="17" t="s">
        <v>2851</v>
      </c>
      <c r="Y556" s="17" t="s">
        <v>242</v>
      </c>
      <c r="Z556" s="19"/>
      <c r="AA556" s="19"/>
      <c r="AB556" s="17"/>
      <c r="AC556" s="19"/>
    </row>
    <row r="557" customFormat="false" ht="22.35" hidden="false" customHeight="false" outlineLevel="0" collapsed="false">
      <c r="A557" s="10" t="s">
        <v>2173</v>
      </c>
      <c r="B557" s="17" t="s">
        <v>88</v>
      </c>
      <c r="C557" s="18" t="s">
        <v>89</v>
      </c>
      <c r="D557" s="17" t="s">
        <v>19</v>
      </c>
      <c r="E557" s="17" t="s">
        <v>229</v>
      </c>
      <c r="F557" s="17" t="s">
        <v>2777</v>
      </c>
      <c r="G557" s="17" t="s">
        <v>90</v>
      </c>
      <c r="H557" s="17" t="s">
        <v>31</v>
      </c>
      <c r="I557" s="17" t="s">
        <v>450</v>
      </c>
      <c r="J557" s="17" t="s">
        <v>233</v>
      </c>
      <c r="K557" s="19"/>
      <c r="L557" s="19"/>
      <c r="M557" s="19"/>
      <c r="N557" s="19"/>
      <c r="O557" s="17" t="n">
        <v>2</v>
      </c>
      <c r="P557" s="18" t="s">
        <v>2917</v>
      </c>
      <c r="Q557" s="18" t="s">
        <v>2918</v>
      </c>
      <c r="R557" s="18" t="s">
        <v>2919</v>
      </c>
      <c r="S557" s="17" t="s">
        <v>2869</v>
      </c>
      <c r="T557" s="18" t="s">
        <v>2920</v>
      </c>
      <c r="U557" s="19"/>
      <c r="V557" s="18" t="s">
        <v>2921</v>
      </c>
      <c r="W557" s="17" t="s">
        <v>240</v>
      </c>
      <c r="X557" s="17" t="s">
        <v>2922</v>
      </c>
      <c r="Y557" s="17" t="s">
        <v>242</v>
      </c>
      <c r="Z557" s="19"/>
      <c r="AA557" s="19"/>
      <c r="AB557" s="17"/>
      <c r="AC557" s="19"/>
    </row>
    <row r="558" customFormat="false" ht="22.35" hidden="false" customHeight="false" outlineLevel="0" collapsed="false">
      <c r="A558" s="10" t="s">
        <v>2923</v>
      </c>
      <c r="B558" s="17" t="s">
        <v>88</v>
      </c>
      <c r="C558" s="18" t="s">
        <v>89</v>
      </c>
      <c r="D558" s="17" t="s">
        <v>19</v>
      </c>
      <c r="E558" s="17" t="s">
        <v>229</v>
      </c>
      <c r="F558" s="17" t="s">
        <v>2777</v>
      </c>
      <c r="G558" s="17" t="s">
        <v>90</v>
      </c>
      <c r="H558" s="17" t="s">
        <v>31</v>
      </c>
      <c r="I558" s="17" t="s">
        <v>450</v>
      </c>
      <c r="J558" s="17" t="s">
        <v>233</v>
      </c>
      <c r="K558" s="19"/>
      <c r="L558" s="19"/>
      <c r="M558" s="19"/>
      <c r="N558" s="19"/>
      <c r="O558" s="17" t="n">
        <v>2</v>
      </c>
      <c r="P558" s="18" t="s">
        <v>2917</v>
      </c>
      <c r="Q558" s="18" t="s">
        <v>2918</v>
      </c>
      <c r="R558" s="18" t="s">
        <v>2924</v>
      </c>
      <c r="S558" s="17" t="s">
        <v>2173</v>
      </c>
      <c r="T558" s="18" t="s">
        <v>2925</v>
      </c>
      <c r="U558" s="19"/>
      <c r="V558" s="18" t="s">
        <v>2926</v>
      </c>
      <c r="W558" s="17" t="s">
        <v>240</v>
      </c>
      <c r="X558" s="17" t="s">
        <v>2927</v>
      </c>
      <c r="Y558" s="17" t="s">
        <v>242</v>
      </c>
      <c r="Z558" s="19"/>
      <c r="AA558" s="19"/>
      <c r="AB558" s="17"/>
      <c r="AC558" s="19"/>
    </row>
    <row r="559" customFormat="false" ht="22.35" hidden="false" customHeight="false" outlineLevel="0" collapsed="false">
      <c r="A559" s="10" t="s">
        <v>2928</v>
      </c>
      <c r="B559" s="17" t="s">
        <v>88</v>
      </c>
      <c r="C559" s="18" t="s">
        <v>89</v>
      </c>
      <c r="D559" s="17" t="s">
        <v>19</v>
      </c>
      <c r="E559" s="17" t="s">
        <v>229</v>
      </c>
      <c r="F559" s="17" t="s">
        <v>2777</v>
      </c>
      <c r="G559" s="17" t="s">
        <v>90</v>
      </c>
      <c r="H559" s="17" t="s">
        <v>31</v>
      </c>
      <c r="I559" s="17" t="s">
        <v>316</v>
      </c>
      <c r="J559" s="17" t="s">
        <v>233</v>
      </c>
      <c r="K559" s="19"/>
      <c r="L559" s="19"/>
      <c r="M559" s="19"/>
      <c r="N559" s="19"/>
      <c r="O559" s="17" t="n">
        <v>2</v>
      </c>
      <c r="P559" s="18" t="s">
        <v>2917</v>
      </c>
      <c r="Q559" s="18" t="s">
        <v>2918</v>
      </c>
      <c r="R559" s="18" t="s">
        <v>2929</v>
      </c>
      <c r="S559" s="17" t="s">
        <v>2880</v>
      </c>
      <c r="T559" s="18" t="s">
        <v>2930</v>
      </c>
      <c r="U559" s="19"/>
      <c r="V559" s="18" t="s">
        <v>2931</v>
      </c>
      <c r="W559" s="17" t="s">
        <v>240</v>
      </c>
      <c r="X559" s="17" t="s">
        <v>356</v>
      </c>
      <c r="Y559" s="17" t="s">
        <v>242</v>
      </c>
      <c r="Z559" s="19"/>
      <c r="AA559" s="19"/>
      <c r="AB559" s="17"/>
      <c r="AC559" s="19"/>
    </row>
    <row r="560" customFormat="false" ht="22.35" hidden="false" customHeight="false" outlineLevel="0" collapsed="false">
      <c r="A560" s="10" t="s">
        <v>2932</v>
      </c>
      <c r="B560" s="17" t="s">
        <v>88</v>
      </c>
      <c r="C560" s="18" t="s">
        <v>89</v>
      </c>
      <c r="D560" s="17" t="s">
        <v>19</v>
      </c>
      <c r="E560" s="17" t="s">
        <v>75</v>
      </c>
      <c r="F560" s="17" t="s">
        <v>2777</v>
      </c>
      <c r="G560" s="17" t="s">
        <v>90</v>
      </c>
      <c r="H560" s="17" t="s">
        <v>31</v>
      </c>
      <c r="I560" s="17" t="s">
        <v>333</v>
      </c>
      <c r="J560" s="17" t="s">
        <v>233</v>
      </c>
      <c r="K560" s="19"/>
      <c r="L560" s="19"/>
      <c r="M560" s="19"/>
      <c r="N560" s="19"/>
      <c r="O560" s="17" t="n">
        <v>2</v>
      </c>
      <c r="P560" s="18" t="s">
        <v>2917</v>
      </c>
      <c r="Q560" s="18" t="s">
        <v>2933</v>
      </c>
      <c r="R560" s="18" t="s">
        <v>2934</v>
      </c>
      <c r="S560" s="17" t="s">
        <v>2869</v>
      </c>
      <c r="T560" s="18" t="s">
        <v>2935</v>
      </c>
      <c r="U560" s="19"/>
      <c r="V560" s="18" t="s">
        <v>2936</v>
      </c>
      <c r="W560" s="17" t="s">
        <v>240</v>
      </c>
      <c r="X560" s="17" t="s">
        <v>2937</v>
      </c>
      <c r="Y560" s="17" t="s">
        <v>242</v>
      </c>
      <c r="Z560" s="19"/>
      <c r="AA560" s="19"/>
      <c r="AB560" s="17"/>
      <c r="AC560" s="19"/>
    </row>
    <row r="561" customFormat="false" ht="22.35" hidden="false" customHeight="false" outlineLevel="0" collapsed="false">
      <c r="A561" s="10" t="s">
        <v>2938</v>
      </c>
      <c r="B561" s="17" t="s">
        <v>88</v>
      </c>
      <c r="C561" s="18" t="s">
        <v>89</v>
      </c>
      <c r="D561" s="17" t="s">
        <v>19</v>
      </c>
      <c r="E561" s="17" t="s">
        <v>75</v>
      </c>
      <c r="F561" s="17" t="s">
        <v>2777</v>
      </c>
      <c r="G561" s="17" t="s">
        <v>90</v>
      </c>
      <c r="H561" s="17" t="s">
        <v>31</v>
      </c>
      <c r="I561" s="17" t="s">
        <v>333</v>
      </c>
      <c r="J561" s="17" t="s">
        <v>233</v>
      </c>
      <c r="K561" s="19"/>
      <c r="L561" s="19"/>
      <c r="M561" s="19"/>
      <c r="N561" s="19"/>
      <c r="O561" s="17" t="n">
        <v>2</v>
      </c>
      <c r="P561" s="18" t="s">
        <v>2917</v>
      </c>
      <c r="Q561" s="18" t="s">
        <v>2933</v>
      </c>
      <c r="R561" s="18" t="s">
        <v>2939</v>
      </c>
      <c r="S561" s="17" t="s">
        <v>2875</v>
      </c>
      <c r="T561" s="18" t="s">
        <v>2940</v>
      </c>
      <c r="U561" s="19"/>
      <c r="V561" s="18" t="s">
        <v>2941</v>
      </c>
      <c r="W561" s="17" t="s">
        <v>240</v>
      </c>
      <c r="X561" s="17" t="s">
        <v>2942</v>
      </c>
      <c r="Y561" s="17" t="s">
        <v>242</v>
      </c>
      <c r="Z561" s="19"/>
      <c r="AA561" s="19"/>
      <c r="AB561" s="17"/>
      <c r="AC561" s="19"/>
    </row>
    <row r="562" customFormat="false" ht="22.35" hidden="false" customHeight="false" outlineLevel="0" collapsed="false">
      <c r="A562" s="10" t="s">
        <v>2943</v>
      </c>
      <c r="B562" s="17" t="s">
        <v>88</v>
      </c>
      <c r="C562" s="18" t="s">
        <v>89</v>
      </c>
      <c r="D562" s="17" t="s">
        <v>19</v>
      </c>
      <c r="E562" s="17" t="s">
        <v>75</v>
      </c>
      <c r="F562" s="17" t="s">
        <v>2777</v>
      </c>
      <c r="G562" s="17" t="s">
        <v>90</v>
      </c>
      <c r="H562" s="17" t="s">
        <v>31</v>
      </c>
      <c r="I562" s="17" t="s">
        <v>316</v>
      </c>
      <c r="J562" s="17" t="s">
        <v>233</v>
      </c>
      <c r="K562" s="19"/>
      <c r="L562" s="19"/>
      <c r="M562" s="19"/>
      <c r="N562" s="19"/>
      <c r="O562" s="17" t="n">
        <v>2</v>
      </c>
      <c r="P562" s="18" t="s">
        <v>2917</v>
      </c>
      <c r="Q562" s="18" t="s">
        <v>2944</v>
      </c>
      <c r="R562" s="18" t="s">
        <v>2945</v>
      </c>
      <c r="S562" s="17" t="s">
        <v>2869</v>
      </c>
      <c r="T562" s="18" t="s">
        <v>2946</v>
      </c>
      <c r="U562" s="19"/>
      <c r="V562" s="18" t="s">
        <v>2947</v>
      </c>
      <c r="W562" s="17" t="s">
        <v>240</v>
      </c>
      <c r="X562" s="17" t="s">
        <v>2948</v>
      </c>
      <c r="Y562" s="17" t="s">
        <v>242</v>
      </c>
      <c r="Z562" s="19"/>
      <c r="AA562" s="19"/>
      <c r="AB562" s="17"/>
      <c r="AC562" s="19"/>
    </row>
    <row r="563" customFormat="false" ht="22.35" hidden="false" customHeight="false" outlineLevel="0" collapsed="false">
      <c r="A563" s="10" t="s">
        <v>2949</v>
      </c>
      <c r="B563" s="17" t="s">
        <v>88</v>
      </c>
      <c r="C563" s="18" t="s">
        <v>89</v>
      </c>
      <c r="D563" s="17" t="s">
        <v>19</v>
      </c>
      <c r="E563" s="17" t="s">
        <v>229</v>
      </c>
      <c r="F563" s="17" t="s">
        <v>2777</v>
      </c>
      <c r="G563" s="17" t="s">
        <v>90</v>
      </c>
      <c r="H563" s="17" t="s">
        <v>31</v>
      </c>
      <c r="I563" s="17" t="s">
        <v>289</v>
      </c>
      <c r="J563" s="17" t="s">
        <v>233</v>
      </c>
      <c r="K563" s="19"/>
      <c r="L563" s="19"/>
      <c r="M563" s="19"/>
      <c r="N563" s="19"/>
      <c r="O563" s="17" t="n">
        <v>2</v>
      </c>
      <c r="P563" s="18" t="s">
        <v>2917</v>
      </c>
      <c r="Q563" s="18" t="s">
        <v>2950</v>
      </c>
      <c r="R563" s="18" t="s">
        <v>2951</v>
      </c>
      <c r="S563" s="17" t="s">
        <v>2869</v>
      </c>
      <c r="T563" s="18" t="s">
        <v>2952</v>
      </c>
      <c r="U563" s="19"/>
      <c r="V563" s="18" t="s">
        <v>2953</v>
      </c>
      <c r="W563" s="17" t="s">
        <v>240</v>
      </c>
      <c r="X563" s="17" t="s">
        <v>378</v>
      </c>
      <c r="Y563" s="17" t="s">
        <v>242</v>
      </c>
      <c r="Z563" s="19"/>
      <c r="AA563" s="19"/>
      <c r="AB563" s="17"/>
      <c r="AC563" s="19"/>
    </row>
    <row r="564" customFormat="false" ht="22.35" hidden="false" customHeight="false" outlineLevel="0" collapsed="false">
      <c r="A564" s="10" t="s">
        <v>2954</v>
      </c>
      <c r="B564" s="17" t="s">
        <v>88</v>
      </c>
      <c r="C564" s="18" t="s">
        <v>89</v>
      </c>
      <c r="D564" s="17" t="s">
        <v>19</v>
      </c>
      <c r="E564" s="17" t="s">
        <v>229</v>
      </c>
      <c r="F564" s="17" t="s">
        <v>2777</v>
      </c>
      <c r="G564" s="17" t="s">
        <v>90</v>
      </c>
      <c r="H564" s="17" t="s">
        <v>31</v>
      </c>
      <c r="I564" s="17" t="s">
        <v>289</v>
      </c>
      <c r="J564" s="17" t="s">
        <v>233</v>
      </c>
      <c r="K564" s="19"/>
      <c r="L564" s="19"/>
      <c r="M564" s="19"/>
      <c r="N564" s="19"/>
      <c r="O564" s="17" t="n">
        <v>2</v>
      </c>
      <c r="P564" s="18" t="s">
        <v>2917</v>
      </c>
      <c r="Q564" s="18" t="s">
        <v>2950</v>
      </c>
      <c r="R564" s="18" t="s">
        <v>2955</v>
      </c>
      <c r="S564" s="17" t="s">
        <v>2949</v>
      </c>
      <c r="T564" s="18" t="s">
        <v>2956</v>
      </c>
      <c r="U564" s="19"/>
      <c r="V564" s="18" t="s">
        <v>2957</v>
      </c>
      <c r="W564" s="17" t="s">
        <v>383</v>
      </c>
      <c r="X564" s="17" t="s">
        <v>2958</v>
      </c>
      <c r="Y564" s="17" t="s">
        <v>242</v>
      </c>
      <c r="Z564" s="19"/>
      <c r="AA564" s="19"/>
      <c r="AB564" s="17"/>
      <c r="AC564" s="19"/>
    </row>
    <row r="565" customFormat="false" ht="22.35" hidden="false" customHeight="false" outlineLevel="0" collapsed="false">
      <c r="A565" s="10" t="s">
        <v>2959</v>
      </c>
      <c r="B565" s="17" t="s">
        <v>88</v>
      </c>
      <c r="C565" s="18" t="s">
        <v>89</v>
      </c>
      <c r="D565" s="17" t="s">
        <v>19</v>
      </c>
      <c r="E565" s="17" t="s">
        <v>75</v>
      </c>
      <c r="F565" s="17" t="s">
        <v>2777</v>
      </c>
      <c r="G565" s="17" t="s">
        <v>90</v>
      </c>
      <c r="H565" s="17" t="s">
        <v>31</v>
      </c>
      <c r="I565" s="17" t="s">
        <v>289</v>
      </c>
      <c r="J565" s="17" t="s">
        <v>233</v>
      </c>
      <c r="K565" s="19"/>
      <c r="L565" s="19"/>
      <c r="M565" s="19"/>
      <c r="N565" s="19"/>
      <c r="O565" s="17" t="n">
        <v>2</v>
      </c>
      <c r="P565" s="18" t="s">
        <v>2917</v>
      </c>
      <c r="Q565" s="18" t="s">
        <v>2950</v>
      </c>
      <c r="R565" s="18" t="s">
        <v>2960</v>
      </c>
      <c r="S565" s="17" t="s">
        <v>2949</v>
      </c>
      <c r="T565" s="18" t="s">
        <v>2961</v>
      </c>
      <c r="U565" s="19"/>
      <c r="V565" s="18" t="s">
        <v>2962</v>
      </c>
      <c r="W565" s="17" t="s">
        <v>240</v>
      </c>
      <c r="X565" s="17" t="s">
        <v>2963</v>
      </c>
      <c r="Y565" s="17" t="s">
        <v>242</v>
      </c>
      <c r="Z565" s="19"/>
      <c r="AA565" s="19"/>
      <c r="AB565" s="17"/>
      <c r="AC565" s="19"/>
    </row>
    <row r="566" customFormat="false" ht="22.35" hidden="false" customHeight="false" outlineLevel="0" collapsed="false">
      <c r="A566" s="10" t="s">
        <v>2964</v>
      </c>
      <c r="B566" s="17" t="s">
        <v>88</v>
      </c>
      <c r="C566" s="18" t="s">
        <v>89</v>
      </c>
      <c r="D566" s="17" t="s">
        <v>19</v>
      </c>
      <c r="E566" s="17" t="s">
        <v>75</v>
      </c>
      <c r="F566" s="17" t="s">
        <v>2777</v>
      </c>
      <c r="G566" s="17" t="s">
        <v>90</v>
      </c>
      <c r="H566" s="17" t="s">
        <v>31</v>
      </c>
      <c r="I566" s="17" t="s">
        <v>369</v>
      </c>
      <c r="J566" s="17" t="s">
        <v>233</v>
      </c>
      <c r="K566" s="19"/>
      <c r="L566" s="19"/>
      <c r="M566" s="19"/>
      <c r="N566" s="19"/>
      <c r="O566" s="17" t="n">
        <v>2</v>
      </c>
      <c r="P566" s="18" t="s">
        <v>2917</v>
      </c>
      <c r="Q566" s="18" t="s">
        <v>2965</v>
      </c>
      <c r="R566" s="18" t="s">
        <v>2966</v>
      </c>
      <c r="S566" s="17" t="s">
        <v>2880</v>
      </c>
      <c r="T566" s="18" t="s">
        <v>2967</v>
      </c>
      <c r="U566" s="19"/>
      <c r="V566" s="18" t="s">
        <v>2968</v>
      </c>
      <c r="W566" s="17" t="s">
        <v>240</v>
      </c>
      <c r="X566" s="17" t="s">
        <v>2969</v>
      </c>
      <c r="Y566" s="17" t="s">
        <v>242</v>
      </c>
      <c r="Z566" s="19"/>
      <c r="AA566" s="19"/>
      <c r="AB566" s="17"/>
      <c r="AC566" s="19"/>
    </row>
    <row r="567" customFormat="false" ht="22.35" hidden="false" customHeight="false" outlineLevel="0" collapsed="false">
      <c r="A567" s="10" t="s">
        <v>2970</v>
      </c>
      <c r="B567" s="17" t="s">
        <v>88</v>
      </c>
      <c r="C567" s="18" t="s">
        <v>89</v>
      </c>
      <c r="D567" s="17" t="s">
        <v>19</v>
      </c>
      <c r="E567" s="17" t="s">
        <v>75</v>
      </c>
      <c r="F567" s="17" t="s">
        <v>2777</v>
      </c>
      <c r="G567" s="17" t="s">
        <v>90</v>
      </c>
      <c r="H567" s="17" t="s">
        <v>31</v>
      </c>
      <c r="I567" s="17" t="s">
        <v>283</v>
      </c>
      <c r="J567" s="17" t="s">
        <v>233</v>
      </c>
      <c r="K567" s="19"/>
      <c r="L567" s="19"/>
      <c r="M567" s="19"/>
      <c r="N567" s="19"/>
      <c r="O567" s="17" t="n">
        <v>2</v>
      </c>
      <c r="P567" s="18" t="s">
        <v>2917</v>
      </c>
      <c r="Q567" s="18" t="s">
        <v>2965</v>
      </c>
      <c r="R567" s="18" t="s">
        <v>2971</v>
      </c>
      <c r="S567" s="17" t="s">
        <v>2972</v>
      </c>
      <c r="T567" s="18" t="s">
        <v>2849</v>
      </c>
      <c r="U567" s="19"/>
      <c r="V567" s="18" t="s">
        <v>2973</v>
      </c>
      <c r="W567" s="17" t="s">
        <v>240</v>
      </c>
      <c r="X567" s="17" t="s">
        <v>2851</v>
      </c>
      <c r="Y567" s="17" t="s">
        <v>242</v>
      </c>
      <c r="Z567" s="19"/>
      <c r="AA567" s="19"/>
      <c r="AB567" s="17"/>
      <c r="AC567" s="19"/>
    </row>
    <row r="568" customFormat="false" ht="32.8" hidden="false" customHeight="false" outlineLevel="0" collapsed="false">
      <c r="A568" s="10" t="s">
        <v>2974</v>
      </c>
      <c r="B568" s="17" t="s">
        <v>81</v>
      </c>
      <c r="C568" s="18" t="s">
        <v>82</v>
      </c>
      <c r="D568" s="17" t="s">
        <v>19</v>
      </c>
      <c r="E568" s="17" t="s">
        <v>229</v>
      </c>
      <c r="F568" s="17" t="s">
        <v>2777</v>
      </c>
      <c r="G568" s="17" t="s">
        <v>83</v>
      </c>
      <c r="H568" s="17" t="s">
        <v>31</v>
      </c>
      <c r="I568" s="17" t="s">
        <v>232</v>
      </c>
      <c r="J568" s="17" t="s">
        <v>233</v>
      </c>
      <c r="K568" s="19"/>
      <c r="L568" s="19"/>
      <c r="M568" s="19"/>
      <c r="N568" s="19"/>
      <c r="O568" s="17" t="n">
        <v>0</v>
      </c>
      <c r="P568" s="18" t="s">
        <v>2975</v>
      </c>
      <c r="Q568" s="18" t="s">
        <v>2976</v>
      </c>
      <c r="R568" s="18" t="s">
        <v>2977</v>
      </c>
      <c r="S568" s="17" t="s">
        <v>237</v>
      </c>
      <c r="T568" s="18" t="s">
        <v>238</v>
      </c>
      <c r="U568" s="19"/>
      <c r="V568" s="18" t="s">
        <v>2978</v>
      </c>
      <c r="W568" s="17" t="s">
        <v>240</v>
      </c>
      <c r="X568" s="17" t="s">
        <v>2979</v>
      </c>
      <c r="Y568" s="17" t="s">
        <v>242</v>
      </c>
      <c r="Z568" s="19"/>
      <c r="AA568" s="19"/>
      <c r="AB568" s="17"/>
      <c r="AC568" s="19"/>
    </row>
    <row r="569" customFormat="false" ht="32.8" hidden="false" customHeight="false" outlineLevel="0" collapsed="false">
      <c r="A569" s="10" t="s">
        <v>2980</v>
      </c>
      <c r="B569" s="17" t="s">
        <v>81</v>
      </c>
      <c r="C569" s="18" t="s">
        <v>82</v>
      </c>
      <c r="D569" s="17" t="s">
        <v>19</v>
      </c>
      <c r="E569" s="17" t="s">
        <v>229</v>
      </c>
      <c r="F569" s="17" t="s">
        <v>2777</v>
      </c>
      <c r="G569" s="17" t="s">
        <v>83</v>
      </c>
      <c r="H569" s="17" t="s">
        <v>31</v>
      </c>
      <c r="I569" s="17" t="s">
        <v>232</v>
      </c>
      <c r="J569" s="17" t="s">
        <v>233</v>
      </c>
      <c r="K569" s="19"/>
      <c r="L569" s="19"/>
      <c r="M569" s="19"/>
      <c r="N569" s="19"/>
      <c r="O569" s="17" t="n">
        <v>0</v>
      </c>
      <c r="P569" s="18" t="s">
        <v>2975</v>
      </c>
      <c r="Q569" s="18" t="s">
        <v>2976</v>
      </c>
      <c r="R569" s="18" t="s">
        <v>2981</v>
      </c>
      <c r="S569" s="17" t="s">
        <v>2974</v>
      </c>
      <c r="T569" s="18" t="s">
        <v>2982</v>
      </c>
      <c r="U569" s="19"/>
      <c r="V569" s="18" t="s">
        <v>2983</v>
      </c>
      <c r="W569" s="17" t="s">
        <v>240</v>
      </c>
      <c r="X569" s="17" t="s">
        <v>2984</v>
      </c>
      <c r="Y569" s="17" t="s">
        <v>242</v>
      </c>
      <c r="Z569" s="19"/>
      <c r="AA569" s="19"/>
      <c r="AB569" s="17"/>
      <c r="AC569" s="19"/>
    </row>
    <row r="570" customFormat="false" ht="22.35" hidden="false" customHeight="false" outlineLevel="0" collapsed="false">
      <c r="A570" s="10" t="s">
        <v>2985</v>
      </c>
      <c r="B570" s="17" t="s">
        <v>81</v>
      </c>
      <c r="C570" s="18" t="s">
        <v>82</v>
      </c>
      <c r="D570" s="17" t="s">
        <v>19</v>
      </c>
      <c r="E570" s="17" t="s">
        <v>229</v>
      </c>
      <c r="F570" s="17" t="s">
        <v>2777</v>
      </c>
      <c r="G570" s="17" t="s">
        <v>83</v>
      </c>
      <c r="H570" s="17" t="s">
        <v>31</v>
      </c>
      <c r="I570" s="17" t="s">
        <v>232</v>
      </c>
      <c r="J570" s="17" t="s">
        <v>233</v>
      </c>
      <c r="K570" s="19"/>
      <c r="L570" s="19"/>
      <c r="M570" s="19"/>
      <c r="N570" s="19"/>
      <c r="O570" s="17" t="n">
        <v>0</v>
      </c>
      <c r="P570" s="18" t="s">
        <v>2975</v>
      </c>
      <c r="Q570" s="18" t="s">
        <v>2976</v>
      </c>
      <c r="R570" s="18" t="s">
        <v>2986</v>
      </c>
      <c r="S570" s="17" t="s">
        <v>2987</v>
      </c>
      <c r="T570" s="18" t="s">
        <v>2988</v>
      </c>
      <c r="U570" s="19"/>
      <c r="V570" s="18" t="s">
        <v>2989</v>
      </c>
      <c r="W570" s="17" t="s">
        <v>240</v>
      </c>
      <c r="X570" s="17" t="s">
        <v>2990</v>
      </c>
      <c r="Y570" s="17" t="s">
        <v>242</v>
      </c>
      <c r="Z570" s="19"/>
      <c r="AA570" s="19"/>
      <c r="AB570" s="17"/>
      <c r="AC570" s="19"/>
    </row>
    <row r="571" customFormat="false" ht="22.35" hidden="false" customHeight="false" outlineLevel="0" collapsed="false">
      <c r="A571" s="10" t="s">
        <v>2991</v>
      </c>
      <c r="B571" s="17" t="s">
        <v>81</v>
      </c>
      <c r="C571" s="18" t="s">
        <v>82</v>
      </c>
      <c r="D571" s="17" t="s">
        <v>19</v>
      </c>
      <c r="E571" s="17" t="s">
        <v>229</v>
      </c>
      <c r="F571" s="17" t="s">
        <v>2777</v>
      </c>
      <c r="G571" s="17" t="s">
        <v>83</v>
      </c>
      <c r="H571" s="17" t="s">
        <v>31</v>
      </c>
      <c r="I571" s="17" t="s">
        <v>232</v>
      </c>
      <c r="J571" s="17" t="s">
        <v>233</v>
      </c>
      <c r="K571" s="19"/>
      <c r="L571" s="19"/>
      <c r="M571" s="19"/>
      <c r="N571" s="19"/>
      <c r="O571" s="17" t="n">
        <v>0</v>
      </c>
      <c r="P571" s="18" t="s">
        <v>2975</v>
      </c>
      <c r="Q571" s="18" t="s">
        <v>2992</v>
      </c>
      <c r="R571" s="18" t="s">
        <v>2993</v>
      </c>
      <c r="S571" s="17" t="s">
        <v>2994</v>
      </c>
      <c r="T571" s="18" t="s">
        <v>2995</v>
      </c>
      <c r="U571" s="19"/>
      <c r="V571" s="18" t="s">
        <v>2996</v>
      </c>
      <c r="W571" s="17" t="s">
        <v>240</v>
      </c>
      <c r="X571" s="17" t="s">
        <v>2997</v>
      </c>
      <c r="Y571" s="17" t="s">
        <v>242</v>
      </c>
      <c r="Z571" s="19"/>
      <c r="AA571" s="19"/>
      <c r="AB571" s="17"/>
      <c r="AC571" s="19"/>
    </row>
    <row r="572" customFormat="false" ht="32.8" hidden="false" customHeight="false" outlineLevel="0" collapsed="false">
      <c r="A572" s="10" t="s">
        <v>2998</v>
      </c>
      <c r="B572" s="17" t="s">
        <v>81</v>
      </c>
      <c r="C572" s="18" t="s">
        <v>82</v>
      </c>
      <c r="D572" s="17" t="s">
        <v>19</v>
      </c>
      <c r="E572" s="17" t="s">
        <v>229</v>
      </c>
      <c r="F572" s="17" t="s">
        <v>2777</v>
      </c>
      <c r="G572" s="17" t="s">
        <v>83</v>
      </c>
      <c r="H572" s="17" t="s">
        <v>31</v>
      </c>
      <c r="I572" s="17" t="s">
        <v>232</v>
      </c>
      <c r="J572" s="17" t="s">
        <v>233</v>
      </c>
      <c r="K572" s="19"/>
      <c r="L572" s="19"/>
      <c r="M572" s="19"/>
      <c r="N572" s="19"/>
      <c r="O572" s="17" t="n">
        <v>0</v>
      </c>
      <c r="P572" s="18" t="s">
        <v>2975</v>
      </c>
      <c r="Q572" s="18" t="s">
        <v>2992</v>
      </c>
      <c r="R572" s="18" t="s">
        <v>2999</v>
      </c>
      <c r="S572" s="17" t="s">
        <v>2991</v>
      </c>
      <c r="T572" s="18" t="s">
        <v>3000</v>
      </c>
      <c r="U572" s="19"/>
      <c r="V572" s="18" t="s">
        <v>3001</v>
      </c>
      <c r="W572" s="17" t="s">
        <v>240</v>
      </c>
      <c r="X572" s="17" t="s">
        <v>3002</v>
      </c>
      <c r="Y572" s="17" t="s">
        <v>242</v>
      </c>
      <c r="Z572" s="19"/>
      <c r="AA572" s="19"/>
      <c r="AB572" s="17"/>
      <c r="AC572" s="19"/>
    </row>
    <row r="573" customFormat="false" ht="22.35" hidden="false" customHeight="false" outlineLevel="0" collapsed="false">
      <c r="A573" s="10" t="s">
        <v>3003</v>
      </c>
      <c r="B573" s="17" t="s">
        <v>81</v>
      </c>
      <c r="C573" s="18" t="s">
        <v>82</v>
      </c>
      <c r="D573" s="17" t="s">
        <v>19</v>
      </c>
      <c r="E573" s="17" t="s">
        <v>229</v>
      </c>
      <c r="F573" s="17" t="s">
        <v>2777</v>
      </c>
      <c r="G573" s="17" t="s">
        <v>83</v>
      </c>
      <c r="H573" s="17" t="s">
        <v>31</v>
      </c>
      <c r="I573" s="17" t="s">
        <v>232</v>
      </c>
      <c r="J573" s="17" t="s">
        <v>233</v>
      </c>
      <c r="K573" s="19"/>
      <c r="L573" s="19"/>
      <c r="M573" s="19"/>
      <c r="N573" s="19"/>
      <c r="O573" s="17" t="n">
        <v>0</v>
      </c>
      <c r="P573" s="18" t="s">
        <v>2975</v>
      </c>
      <c r="Q573" s="18" t="s">
        <v>2992</v>
      </c>
      <c r="R573" s="18" t="s">
        <v>3004</v>
      </c>
      <c r="S573" s="17" t="s">
        <v>2998</v>
      </c>
      <c r="T573" s="18" t="s">
        <v>3005</v>
      </c>
      <c r="U573" s="19"/>
      <c r="V573" s="18" t="s">
        <v>3006</v>
      </c>
      <c r="W573" s="17" t="s">
        <v>240</v>
      </c>
      <c r="X573" s="17" t="s">
        <v>3007</v>
      </c>
      <c r="Y573" s="17" t="s">
        <v>242</v>
      </c>
      <c r="Z573" s="19"/>
      <c r="AA573" s="19"/>
      <c r="AB573" s="17"/>
      <c r="AC573" s="19"/>
    </row>
    <row r="574" customFormat="false" ht="22.35" hidden="false" customHeight="false" outlineLevel="0" collapsed="false">
      <c r="A574" s="10" t="s">
        <v>3008</v>
      </c>
      <c r="B574" s="17" t="s">
        <v>81</v>
      </c>
      <c r="C574" s="18" t="s">
        <v>82</v>
      </c>
      <c r="D574" s="17" t="s">
        <v>19</v>
      </c>
      <c r="E574" s="17" t="s">
        <v>229</v>
      </c>
      <c r="F574" s="17" t="s">
        <v>2777</v>
      </c>
      <c r="G574" s="17" t="s">
        <v>83</v>
      </c>
      <c r="H574" s="17" t="s">
        <v>31</v>
      </c>
      <c r="I574" s="17" t="s">
        <v>232</v>
      </c>
      <c r="J574" s="17" t="s">
        <v>233</v>
      </c>
      <c r="K574" s="19"/>
      <c r="L574" s="19"/>
      <c r="M574" s="19"/>
      <c r="N574" s="19"/>
      <c r="O574" s="17" t="n">
        <v>0</v>
      </c>
      <c r="P574" s="18" t="s">
        <v>2975</v>
      </c>
      <c r="Q574" s="18" t="s">
        <v>2992</v>
      </c>
      <c r="R574" s="18" t="s">
        <v>3009</v>
      </c>
      <c r="S574" s="17" t="s">
        <v>2985</v>
      </c>
      <c r="T574" s="18" t="s">
        <v>3010</v>
      </c>
      <c r="U574" s="19"/>
      <c r="V574" s="18" t="s">
        <v>3011</v>
      </c>
      <c r="W574" s="17" t="s">
        <v>240</v>
      </c>
      <c r="X574" s="17" t="s">
        <v>3012</v>
      </c>
      <c r="Y574" s="17" t="s">
        <v>242</v>
      </c>
      <c r="Z574" s="19"/>
      <c r="AA574" s="19"/>
      <c r="AB574" s="17"/>
      <c r="AC574" s="19"/>
    </row>
    <row r="575" customFormat="false" ht="22.35" hidden="false" customHeight="false" outlineLevel="0" collapsed="false">
      <c r="A575" s="10" t="s">
        <v>3013</v>
      </c>
      <c r="B575" s="17" t="s">
        <v>81</v>
      </c>
      <c r="C575" s="18" t="s">
        <v>82</v>
      </c>
      <c r="D575" s="17" t="s">
        <v>19</v>
      </c>
      <c r="E575" s="17" t="s">
        <v>229</v>
      </c>
      <c r="F575" s="17" t="s">
        <v>2777</v>
      </c>
      <c r="G575" s="17" t="s">
        <v>83</v>
      </c>
      <c r="H575" s="17" t="s">
        <v>31</v>
      </c>
      <c r="I575" s="17" t="s">
        <v>283</v>
      </c>
      <c r="J575" s="17" t="s">
        <v>233</v>
      </c>
      <c r="K575" s="19"/>
      <c r="L575" s="19"/>
      <c r="M575" s="19"/>
      <c r="N575" s="19"/>
      <c r="O575" s="17" t="n">
        <v>0</v>
      </c>
      <c r="P575" s="18" t="s">
        <v>2975</v>
      </c>
      <c r="Q575" s="18" t="s">
        <v>2992</v>
      </c>
      <c r="R575" s="18" t="s">
        <v>3014</v>
      </c>
      <c r="S575" s="17" t="s">
        <v>3008</v>
      </c>
      <c r="T575" s="18" t="s">
        <v>2849</v>
      </c>
      <c r="U575" s="19"/>
      <c r="V575" s="18" t="s">
        <v>3015</v>
      </c>
      <c r="W575" s="17" t="s">
        <v>240</v>
      </c>
      <c r="X575" s="17" t="s">
        <v>2851</v>
      </c>
      <c r="Y575" s="17" t="s">
        <v>242</v>
      </c>
      <c r="Z575" s="19"/>
      <c r="AA575" s="19"/>
      <c r="AB575" s="17"/>
      <c r="AC575" s="19"/>
    </row>
    <row r="576" customFormat="false" ht="22.35" hidden="false" customHeight="false" outlineLevel="0" collapsed="false">
      <c r="A576" s="10" t="s">
        <v>3016</v>
      </c>
      <c r="B576" s="17" t="s">
        <v>81</v>
      </c>
      <c r="C576" s="18" t="s">
        <v>82</v>
      </c>
      <c r="D576" s="17" t="s">
        <v>19</v>
      </c>
      <c r="E576" s="17" t="s">
        <v>75</v>
      </c>
      <c r="F576" s="17" t="s">
        <v>2777</v>
      </c>
      <c r="G576" s="17" t="s">
        <v>83</v>
      </c>
      <c r="H576" s="17" t="s">
        <v>31</v>
      </c>
      <c r="I576" s="17" t="s">
        <v>316</v>
      </c>
      <c r="J576" s="17" t="s">
        <v>233</v>
      </c>
      <c r="K576" s="19"/>
      <c r="L576" s="19"/>
      <c r="M576" s="19"/>
      <c r="N576" s="19"/>
      <c r="O576" s="17" t="n">
        <v>3</v>
      </c>
      <c r="P576" s="18" t="s">
        <v>3017</v>
      </c>
      <c r="Q576" s="18" t="s">
        <v>3018</v>
      </c>
      <c r="R576" s="18" t="s">
        <v>3019</v>
      </c>
      <c r="S576" s="17" t="s">
        <v>3013</v>
      </c>
      <c r="T576" s="18" t="s">
        <v>3020</v>
      </c>
      <c r="U576" s="19"/>
      <c r="V576" s="18" t="s">
        <v>3021</v>
      </c>
      <c r="W576" s="17" t="s">
        <v>240</v>
      </c>
      <c r="X576" s="17" t="s">
        <v>3022</v>
      </c>
      <c r="Y576" s="17" t="s">
        <v>242</v>
      </c>
      <c r="Z576" s="19"/>
      <c r="AA576" s="19"/>
      <c r="AB576" s="17"/>
      <c r="AC576" s="19"/>
    </row>
    <row r="577" customFormat="false" ht="22.35" hidden="false" customHeight="false" outlineLevel="0" collapsed="false">
      <c r="A577" s="10" t="s">
        <v>3023</v>
      </c>
      <c r="B577" s="17" t="s">
        <v>81</v>
      </c>
      <c r="C577" s="18" t="s">
        <v>82</v>
      </c>
      <c r="D577" s="17" t="s">
        <v>19</v>
      </c>
      <c r="E577" s="17" t="s">
        <v>75</v>
      </c>
      <c r="F577" s="17" t="s">
        <v>2777</v>
      </c>
      <c r="G577" s="17" t="s">
        <v>83</v>
      </c>
      <c r="H577" s="17" t="s">
        <v>31</v>
      </c>
      <c r="I577" s="17" t="s">
        <v>316</v>
      </c>
      <c r="J577" s="17" t="s">
        <v>233</v>
      </c>
      <c r="K577" s="19"/>
      <c r="L577" s="19"/>
      <c r="M577" s="19"/>
      <c r="N577" s="19"/>
      <c r="O577" s="17" t="n">
        <v>3</v>
      </c>
      <c r="P577" s="18" t="s">
        <v>3017</v>
      </c>
      <c r="Q577" s="18" t="s">
        <v>3018</v>
      </c>
      <c r="R577" s="18" t="s">
        <v>3024</v>
      </c>
      <c r="S577" s="17" t="s">
        <v>3016</v>
      </c>
      <c r="T577" s="18" t="s">
        <v>3025</v>
      </c>
      <c r="U577" s="19"/>
      <c r="V577" s="18" t="s">
        <v>3026</v>
      </c>
      <c r="W577" s="17" t="s">
        <v>240</v>
      </c>
      <c r="X577" s="17" t="s">
        <v>3027</v>
      </c>
      <c r="Y577" s="17" t="s">
        <v>242</v>
      </c>
      <c r="Z577" s="19"/>
      <c r="AA577" s="19"/>
      <c r="AB577" s="17"/>
      <c r="AC577" s="19"/>
    </row>
    <row r="578" customFormat="false" ht="22.35" hidden="false" customHeight="false" outlineLevel="0" collapsed="false">
      <c r="A578" s="10" t="s">
        <v>3028</v>
      </c>
      <c r="B578" s="17" t="s">
        <v>81</v>
      </c>
      <c r="C578" s="18" t="s">
        <v>82</v>
      </c>
      <c r="D578" s="17" t="s">
        <v>19</v>
      </c>
      <c r="E578" s="17" t="s">
        <v>229</v>
      </c>
      <c r="F578" s="17" t="s">
        <v>2777</v>
      </c>
      <c r="G578" s="17" t="s">
        <v>83</v>
      </c>
      <c r="H578" s="17" t="s">
        <v>31</v>
      </c>
      <c r="I578" s="17" t="s">
        <v>316</v>
      </c>
      <c r="J578" s="17" t="s">
        <v>233</v>
      </c>
      <c r="K578" s="19"/>
      <c r="L578" s="19"/>
      <c r="M578" s="19"/>
      <c r="N578" s="19"/>
      <c r="O578" s="17" t="n">
        <v>3</v>
      </c>
      <c r="P578" s="18" t="s">
        <v>3017</v>
      </c>
      <c r="Q578" s="18" t="s">
        <v>3018</v>
      </c>
      <c r="R578" s="18" t="s">
        <v>3029</v>
      </c>
      <c r="S578" s="17" t="s">
        <v>3016</v>
      </c>
      <c r="T578" s="18" t="s">
        <v>3030</v>
      </c>
      <c r="U578" s="19"/>
      <c r="V578" s="18" t="s">
        <v>3031</v>
      </c>
      <c r="W578" s="17" t="s">
        <v>240</v>
      </c>
      <c r="X578" s="17" t="s">
        <v>3032</v>
      </c>
      <c r="Y578" s="17" t="s">
        <v>242</v>
      </c>
      <c r="Z578" s="19"/>
      <c r="AA578" s="19"/>
      <c r="AB578" s="17"/>
      <c r="AC578" s="19"/>
    </row>
    <row r="579" customFormat="false" ht="32.8" hidden="false" customHeight="false" outlineLevel="0" collapsed="false">
      <c r="A579" s="10" t="s">
        <v>3033</v>
      </c>
      <c r="B579" s="17" t="s">
        <v>81</v>
      </c>
      <c r="C579" s="18" t="s">
        <v>82</v>
      </c>
      <c r="D579" s="17" t="s">
        <v>19</v>
      </c>
      <c r="E579" s="17" t="s">
        <v>229</v>
      </c>
      <c r="F579" s="17" t="s">
        <v>2777</v>
      </c>
      <c r="G579" s="17" t="s">
        <v>83</v>
      </c>
      <c r="H579" s="17" t="s">
        <v>31</v>
      </c>
      <c r="I579" s="17" t="s">
        <v>316</v>
      </c>
      <c r="J579" s="17" t="s">
        <v>233</v>
      </c>
      <c r="K579" s="19"/>
      <c r="L579" s="19"/>
      <c r="M579" s="19"/>
      <c r="N579" s="19"/>
      <c r="O579" s="17" t="n">
        <v>3</v>
      </c>
      <c r="P579" s="18" t="s">
        <v>3017</v>
      </c>
      <c r="Q579" s="18" t="s">
        <v>3018</v>
      </c>
      <c r="R579" s="18" t="s">
        <v>3034</v>
      </c>
      <c r="S579" s="17" t="s">
        <v>3035</v>
      </c>
      <c r="T579" s="18" t="s">
        <v>3036</v>
      </c>
      <c r="U579" s="19"/>
      <c r="V579" s="18" t="s">
        <v>3037</v>
      </c>
      <c r="W579" s="17" t="s">
        <v>240</v>
      </c>
      <c r="X579" s="17" t="s">
        <v>3038</v>
      </c>
      <c r="Y579" s="17" t="s">
        <v>242</v>
      </c>
      <c r="Z579" s="19"/>
      <c r="AA579" s="19"/>
      <c r="AB579" s="17"/>
      <c r="AC579" s="19"/>
    </row>
    <row r="580" customFormat="false" ht="22.35" hidden="false" customHeight="false" outlineLevel="0" collapsed="false">
      <c r="A580" s="10" t="s">
        <v>3039</v>
      </c>
      <c r="B580" s="17" t="s">
        <v>81</v>
      </c>
      <c r="C580" s="18" t="s">
        <v>82</v>
      </c>
      <c r="D580" s="17" t="s">
        <v>19</v>
      </c>
      <c r="E580" s="17" t="s">
        <v>229</v>
      </c>
      <c r="F580" s="17" t="s">
        <v>2777</v>
      </c>
      <c r="G580" s="17" t="s">
        <v>83</v>
      </c>
      <c r="H580" s="17" t="s">
        <v>31</v>
      </c>
      <c r="I580" s="17" t="s">
        <v>316</v>
      </c>
      <c r="J580" s="17" t="s">
        <v>233</v>
      </c>
      <c r="K580" s="19"/>
      <c r="L580" s="19"/>
      <c r="M580" s="19"/>
      <c r="N580" s="19"/>
      <c r="O580" s="17" t="n">
        <v>3</v>
      </c>
      <c r="P580" s="18" t="s">
        <v>3017</v>
      </c>
      <c r="Q580" s="18" t="s">
        <v>3040</v>
      </c>
      <c r="R580" s="18" t="s">
        <v>3041</v>
      </c>
      <c r="S580" s="17" t="s">
        <v>3042</v>
      </c>
      <c r="T580" s="18" t="s">
        <v>3043</v>
      </c>
      <c r="U580" s="19"/>
      <c r="V580" s="18" t="s">
        <v>3044</v>
      </c>
      <c r="W580" s="17" t="s">
        <v>240</v>
      </c>
      <c r="X580" s="17" t="s">
        <v>3045</v>
      </c>
      <c r="Y580" s="17" t="s">
        <v>242</v>
      </c>
      <c r="Z580" s="19"/>
      <c r="AA580" s="19"/>
      <c r="AB580" s="17"/>
      <c r="AC580" s="19"/>
    </row>
    <row r="581" customFormat="false" ht="32.8" hidden="false" customHeight="false" outlineLevel="0" collapsed="false">
      <c r="A581" s="10" t="s">
        <v>3046</v>
      </c>
      <c r="B581" s="17" t="s">
        <v>81</v>
      </c>
      <c r="C581" s="18" t="s">
        <v>82</v>
      </c>
      <c r="D581" s="17" t="s">
        <v>19</v>
      </c>
      <c r="E581" s="17" t="s">
        <v>75</v>
      </c>
      <c r="F581" s="17" t="s">
        <v>2777</v>
      </c>
      <c r="G581" s="17" t="s">
        <v>83</v>
      </c>
      <c r="H581" s="17" t="s">
        <v>31</v>
      </c>
      <c r="I581" s="17" t="s">
        <v>316</v>
      </c>
      <c r="J581" s="17" t="s">
        <v>233</v>
      </c>
      <c r="K581" s="19"/>
      <c r="L581" s="19"/>
      <c r="M581" s="19"/>
      <c r="N581" s="19"/>
      <c r="O581" s="17" t="n">
        <v>3</v>
      </c>
      <c r="P581" s="18" t="s">
        <v>3017</v>
      </c>
      <c r="Q581" s="18" t="s">
        <v>3040</v>
      </c>
      <c r="R581" s="18" t="s">
        <v>3047</v>
      </c>
      <c r="S581" s="17" t="s">
        <v>3028</v>
      </c>
      <c r="T581" s="18" t="s">
        <v>3048</v>
      </c>
      <c r="U581" s="19"/>
      <c r="V581" s="18" t="s">
        <v>3049</v>
      </c>
      <c r="W581" s="17" t="s">
        <v>240</v>
      </c>
      <c r="X581" s="17" t="s">
        <v>3050</v>
      </c>
      <c r="Y581" s="17" t="s">
        <v>242</v>
      </c>
      <c r="Z581" s="19"/>
      <c r="AA581" s="19"/>
      <c r="AB581" s="17"/>
      <c r="AC581" s="19"/>
    </row>
    <row r="582" customFormat="false" ht="22.35" hidden="false" customHeight="false" outlineLevel="0" collapsed="false">
      <c r="A582" s="10" t="s">
        <v>3051</v>
      </c>
      <c r="B582" s="17" t="s">
        <v>81</v>
      </c>
      <c r="C582" s="18" t="s">
        <v>82</v>
      </c>
      <c r="D582" s="17" t="s">
        <v>19</v>
      </c>
      <c r="E582" s="17" t="s">
        <v>229</v>
      </c>
      <c r="F582" s="17" t="s">
        <v>2777</v>
      </c>
      <c r="G582" s="17" t="s">
        <v>83</v>
      </c>
      <c r="H582" s="17" t="s">
        <v>31</v>
      </c>
      <c r="I582" s="17" t="s">
        <v>316</v>
      </c>
      <c r="J582" s="17" t="s">
        <v>233</v>
      </c>
      <c r="K582" s="19"/>
      <c r="L582" s="19"/>
      <c r="M582" s="19"/>
      <c r="N582" s="19"/>
      <c r="O582" s="17" t="n">
        <v>3</v>
      </c>
      <c r="P582" s="18" t="s">
        <v>3017</v>
      </c>
      <c r="Q582" s="18" t="s">
        <v>3040</v>
      </c>
      <c r="R582" s="18" t="s">
        <v>3052</v>
      </c>
      <c r="S582" s="17" t="s">
        <v>3039</v>
      </c>
      <c r="T582" s="18" t="s">
        <v>3053</v>
      </c>
      <c r="U582" s="19"/>
      <c r="V582" s="18" t="s">
        <v>3054</v>
      </c>
      <c r="W582" s="17" t="s">
        <v>383</v>
      </c>
      <c r="X582" s="17" t="s">
        <v>3055</v>
      </c>
      <c r="Y582" s="17" t="s">
        <v>242</v>
      </c>
      <c r="Z582" s="19"/>
      <c r="AA582" s="19"/>
      <c r="AB582" s="17"/>
      <c r="AC582" s="19"/>
    </row>
    <row r="583" customFormat="false" ht="22.35" hidden="false" customHeight="false" outlineLevel="0" collapsed="false">
      <c r="A583" s="10" t="s">
        <v>3056</v>
      </c>
      <c r="B583" s="17" t="s">
        <v>81</v>
      </c>
      <c r="C583" s="18" t="s">
        <v>82</v>
      </c>
      <c r="D583" s="17" t="s">
        <v>19</v>
      </c>
      <c r="E583" s="17" t="s">
        <v>75</v>
      </c>
      <c r="F583" s="17" t="s">
        <v>2777</v>
      </c>
      <c r="G583" s="17" t="s">
        <v>83</v>
      </c>
      <c r="H583" s="17" t="s">
        <v>31</v>
      </c>
      <c r="I583" s="17" t="s">
        <v>316</v>
      </c>
      <c r="J583" s="17" t="s">
        <v>233</v>
      </c>
      <c r="K583" s="19"/>
      <c r="L583" s="19"/>
      <c r="M583" s="19"/>
      <c r="N583" s="19"/>
      <c r="O583" s="17" t="n">
        <v>3</v>
      </c>
      <c r="P583" s="18" t="s">
        <v>3017</v>
      </c>
      <c r="Q583" s="18" t="s">
        <v>3057</v>
      </c>
      <c r="R583" s="18" t="s">
        <v>3058</v>
      </c>
      <c r="S583" s="17" t="s">
        <v>3059</v>
      </c>
      <c r="T583" s="18" t="s">
        <v>3060</v>
      </c>
      <c r="U583" s="19"/>
      <c r="V583" s="18" t="s">
        <v>3061</v>
      </c>
      <c r="W583" s="17" t="s">
        <v>240</v>
      </c>
      <c r="X583" s="17" t="s">
        <v>3062</v>
      </c>
      <c r="Y583" s="17" t="s">
        <v>242</v>
      </c>
      <c r="Z583" s="19"/>
      <c r="AA583" s="19"/>
      <c r="AB583" s="17"/>
      <c r="AC583" s="19"/>
    </row>
    <row r="584" customFormat="false" ht="22.35" hidden="false" customHeight="false" outlineLevel="0" collapsed="false">
      <c r="A584" s="10" t="s">
        <v>3063</v>
      </c>
      <c r="B584" s="17" t="s">
        <v>81</v>
      </c>
      <c r="C584" s="18" t="s">
        <v>82</v>
      </c>
      <c r="D584" s="17" t="s">
        <v>19</v>
      </c>
      <c r="E584" s="17" t="s">
        <v>229</v>
      </c>
      <c r="F584" s="17" t="s">
        <v>2777</v>
      </c>
      <c r="G584" s="17" t="s">
        <v>83</v>
      </c>
      <c r="H584" s="17" t="s">
        <v>31</v>
      </c>
      <c r="I584" s="17" t="s">
        <v>316</v>
      </c>
      <c r="J584" s="17" t="s">
        <v>233</v>
      </c>
      <c r="K584" s="19"/>
      <c r="L584" s="19"/>
      <c r="M584" s="19"/>
      <c r="N584" s="19"/>
      <c r="O584" s="17" t="n">
        <v>3</v>
      </c>
      <c r="P584" s="18" t="s">
        <v>3017</v>
      </c>
      <c r="Q584" s="18" t="s">
        <v>3057</v>
      </c>
      <c r="R584" s="18" t="s">
        <v>3064</v>
      </c>
      <c r="S584" s="17" t="s">
        <v>3028</v>
      </c>
      <c r="T584" s="18" t="s">
        <v>3065</v>
      </c>
      <c r="U584" s="19"/>
      <c r="V584" s="18" t="s">
        <v>3066</v>
      </c>
      <c r="W584" s="17" t="s">
        <v>240</v>
      </c>
      <c r="X584" s="17" t="s">
        <v>3067</v>
      </c>
      <c r="Y584" s="17" t="s">
        <v>242</v>
      </c>
      <c r="Z584" s="19"/>
      <c r="AA584" s="19"/>
      <c r="AB584" s="17"/>
      <c r="AC584" s="19"/>
    </row>
    <row r="585" customFormat="false" ht="22.35" hidden="false" customHeight="false" outlineLevel="0" collapsed="false">
      <c r="A585" s="10" t="s">
        <v>3068</v>
      </c>
      <c r="B585" s="17" t="s">
        <v>81</v>
      </c>
      <c r="C585" s="18" t="s">
        <v>82</v>
      </c>
      <c r="D585" s="17" t="s">
        <v>19</v>
      </c>
      <c r="E585" s="17" t="s">
        <v>75</v>
      </c>
      <c r="F585" s="17" t="s">
        <v>2777</v>
      </c>
      <c r="G585" s="17" t="s">
        <v>83</v>
      </c>
      <c r="H585" s="17" t="s">
        <v>31</v>
      </c>
      <c r="I585" s="17" t="s">
        <v>232</v>
      </c>
      <c r="J585" s="17" t="s">
        <v>233</v>
      </c>
      <c r="K585" s="19"/>
      <c r="L585" s="19"/>
      <c r="M585" s="19"/>
      <c r="N585" s="19"/>
      <c r="O585" s="17" t="n">
        <v>3</v>
      </c>
      <c r="P585" s="18" t="s">
        <v>3017</v>
      </c>
      <c r="Q585" s="18" t="s">
        <v>3057</v>
      </c>
      <c r="R585" s="18" t="s">
        <v>3069</v>
      </c>
      <c r="S585" s="17" t="s">
        <v>3070</v>
      </c>
      <c r="T585" s="18" t="s">
        <v>3071</v>
      </c>
      <c r="U585" s="19"/>
      <c r="V585" s="18" t="s">
        <v>3072</v>
      </c>
      <c r="W585" s="17" t="s">
        <v>240</v>
      </c>
      <c r="X585" s="17" t="s">
        <v>3073</v>
      </c>
      <c r="Y585" s="17" t="s">
        <v>242</v>
      </c>
      <c r="Z585" s="19"/>
      <c r="AA585" s="19"/>
      <c r="AB585" s="17"/>
      <c r="AC585" s="19"/>
    </row>
    <row r="586" customFormat="false" ht="22.35" hidden="false" customHeight="false" outlineLevel="0" collapsed="false">
      <c r="A586" s="10" t="s">
        <v>3074</v>
      </c>
      <c r="B586" s="17" t="s">
        <v>81</v>
      </c>
      <c r="C586" s="18" t="s">
        <v>82</v>
      </c>
      <c r="D586" s="17" t="s">
        <v>19</v>
      </c>
      <c r="E586" s="17" t="s">
        <v>75</v>
      </c>
      <c r="F586" s="17" t="s">
        <v>2777</v>
      </c>
      <c r="G586" s="17" t="s">
        <v>83</v>
      </c>
      <c r="H586" s="17" t="s">
        <v>31</v>
      </c>
      <c r="I586" s="17" t="s">
        <v>283</v>
      </c>
      <c r="J586" s="17" t="s">
        <v>233</v>
      </c>
      <c r="K586" s="19"/>
      <c r="L586" s="19"/>
      <c r="M586" s="19"/>
      <c r="N586" s="19"/>
      <c r="O586" s="17" t="n">
        <v>3</v>
      </c>
      <c r="P586" s="18" t="s">
        <v>3017</v>
      </c>
      <c r="Q586" s="18" t="s">
        <v>3057</v>
      </c>
      <c r="R586" s="18" t="s">
        <v>3075</v>
      </c>
      <c r="S586" s="17" t="s">
        <v>3076</v>
      </c>
      <c r="T586" s="18" t="s">
        <v>2849</v>
      </c>
      <c r="U586" s="19"/>
      <c r="V586" s="18" t="s">
        <v>3077</v>
      </c>
      <c r="W586" s="17" t="s">
        <v>240</v>
      </c>
      <c r="X586" s="17" t="s">
        <v>2851</v>
      </c>
      <c r="Y586" s="17" t="s">
        <v>242</v>
      </c>
      <c r="Z586" s="19"/>
      <c r="AA586" s="19"/>
      <c r="AB586" s="17"/>
      <c r="AC586" s="19"/>
    </row>
    <row r="587" customFormat="false" ht="22.35" hidden="false" customHeight="false" outlineLevel="0" collapsed="false">
      <c r="A587" s="10" t="s">
        <v>3078</v>
      </c>
      <c r="B587" s="17" t="s">
        <v>81</v>
      </c>
      <c r="C587" s="18" t="s">
        <v>82</v>
      </c>
      <c r="D587" s="17" t="s">
        <v>19</v>
      </c>
      <c r="E587" s="17" t="s">
        <v>75</v>
      </c>
      <c r="F587" s="17" t="s">
        <v>2777</v>
      </c>
      <c r="G587" s="17" t="s">
        <v>83</v>
      </c>
      <c r="H587" s="17" t="s">
        <v>31</v>
      </c>
      <c r="I587" s="17" t="s">
        <v>450</v>
      </c>
      <c r="J587" s="17" t="s">
        <v>233</v>
      </c>
      <c r="K587" s="19"/>
      <c r="L587" s="19"/>
      <c r="M587" s="19"/>
      <c r="N587" s="19"/>
      <c r="O587" s="17" t="n">
        <v>3</v>
      </c>
      <c r="P587" s="18" t="s">
        <v>3079</v>
      </c>
      <c r="Q587" s="18" t="s">
        <v>2918</v>
      </c>
      <c r="R587" s="18" t="s">
        <v>3080</v>
      </c>
      <c r="S587" s="17" t="s">
        <v>3016</v>
      </c>
      <c r="T587" s="18" t="s">
        <v>3081</v>
      </c>
      <c r="U587" s="19"/>
      <c r="V587" s="18" t="s">
        <v>3082</v>
      </c>
      <c r="W587" s="17" t="s">
        <v>240</v>
      </c>
      <c r="X587" s="17" t="s">
        <v>3083</v>
      </c>
      <c r="Y587" s="17" t="s">
        <v>242</v>
      </c>
      <c r="Z587" s="19"/>
      <c r="AA587" s="19"/>
      <c r="AB587" s="17"/>
      <c r="AC587" s="19"/>
    </row>
    <row r="588" customFormat="false" ht="22.35" hidden="false" customHeight="false" outlineLevel="0" collapsed="false">
      <c r="A588" s="10" t="s">
        <v>3084</v>
      </c>
      <c r="B588" s="17" t="s">
        <v>81</v>
      </c>
      <c r="C588" s="18" t="s">
        <v>82</v>
      </c>
      <c r="D588" s="17" t="s">
        <v>19</v>
      </c>
      <c r="E588" s="17" t="s">
        <v>229</v>
      </c>
      <c r="F588" s="17" t="s">
        <v>2777</v>
      </c>
      <c r="G588" s="17" t="s">
        <v>83</v>
      </c>
      <c r="H588" s="17" t="s">
        <v>31</v>
      </c>
      <c r="I588" s="17" t="s">
        <v>450</v>
      </c>
      <c r="J588" s="17" t="s">
        <v>233</v>
      </c>
      <c r="K588" s="19"/>
      <c r="L588" s="19"/>
      <c r="M588" s="19"/>
      <c r="N588" s="19"/>
      <c r="O588" s="17" t="n">
        <v>3</v>
      </c>
      <c r="P588" s="18" t="s">
        <v>3079</v>
      </c>
      <c r="Q588" s="18" t="s">
        <v>2918</v>
      </c>
      <c r="R588" s="18" t="s">
        <v>3085</v>
      </c>
      <c r="S588" s="17" t="s">
        <v>3016</v>
      </c>
      <c r="T588" s="18" t="s">
        <v>3086</v>
      </c>
      <c r="U588" s="19"/>
      <c r="V588" s="18" t="s">
        <v>3087</v>
      </c>
      <c r="W588" s="17" t="s">
        <v>240</v>
      </c>
      <c r="X588" s="17" t="s">
        <v>3088</v>
      </c>
      <c r="Y588" s="17" t="s">
        <v>242</v>
      </c>
      <c r="Z588" s="19"/>
      <c r="AA588" s="19"/>
      <c r="AB588" s="17"/>
      <c r="AC588" s="19"/>
    </row>
    <row r="589" customFormat="false" ht="22.35" hidden="false" customHeight="false" outlineLevel="0" collapsed="false">
      <c r="A589" s="10" t="s">
        <v>3089</v>
      </c>
      <c r="B589" s="17" t="s">
        <v>81</v>
      </c>
      <c r="C589" s="18" t="s">
        <v>82</v>
      </c>
      <c r="D589" s="17" t="s">
        <v>19</v>
      </c>
      <c r="E589" s="17" t="s">
        <v>75</v>
      </c>
      <c r="F589" s="17" t="s">
        <v>2777</v>
      </c>
      <c r="G589" s="17" t="s">
        <v>83</v>
      </c>
      <c r="H589" s="17" t="s">
        <v>31</v>
      </c>
      <c r="I589" s="17" t="s">
        <v>333</v>
      </c>
      <c r="J589" s="17" t="s">
        <v>233</v>
      </c>
      <c r="K589" s="19"/>
      <c r="L589" s="19"/>
      <c r="M589" s="19"/>
      <c r="N589" s="19"/>
      <c r="O589" s="17" t="n">
        <v>3</v>
      </c>
      <c r="P589" s="18" t="s">
        <v>3079</v>
      </c>
      <c r="Q589" s="18" t="s">
        <v>2933</v>
      </c>
      <c r="R589" s="18" t="s">
        <v>3090</v>
      </c>
      <c r="S589" s="17" t="s">
        <v>3023</v>
      </c>
      <c r="T589" s="18" t="s">
        <v>3091</v>
      </c>
      <c r="U589" s="19"/>
      <c r="V589" s="18" t="s">
        <v>3092</v>
      </c>
      <c r="W589" s="17" t="s">
        <v>240</v>
      </c>
      <c r="X589" s="17" t="s">
        <v>3093</v>
      </c>
      <c r="Y589" s="17" t="s">
        <v>242</v>
      </c>
      <c r="Z589" s="19"/>
      <c r="AA589" s="19"/>
      <c r="AB589" s="17"/>
      <c r="AC589" s="19"/>
    </row>
    <row r="590" customFormat="false" ht="22.35" hidden="false" customHeight="false" outlineLevel="0" collapsed="false">
      <c r="A590" s="10" t="s">
        <v>3094</v>
      </c>
      <c r="B590" s="17" t="s">
        <v>81</v>
      </c>
      <c r="C590" s="18" t="s">
        <v>82</v>
      </c>
      <c r="D590" s="17" t="s">
        <v>19</v>
      </c>
      <c r="E590" s="17" t="s">
        <v>75</v>
      </c>
      <c r="F590" s="17" t="s">
        <v>2777</v>
      </c>
      <c r="G590" s="17" t="s">
        <v>83</v>
      </c>
      <c r="H590" s="17" t="s">
        <v>31</v>
      </c>
      <c r="I590" s="17" t="s">
        <v>333</v>
      </c>
      <c r="J590" s="17" t="s">
        <v>233</v>
      </c>
      <c r="K590" s="19"/>
      <c r="L590" s="19"/>
      <c r="M590" s="19"/>
      <c r="N590" s="19"/>
      <c r="O590" s="17" t="n">
        <v>3</v>
      </c>
      <c r="P590" s="18" t="s">
        <v>3079</v>
      </c>
      <c r="Q590" s="18" t="s">
        <v>2933</v>
      </c>
      <c r="R590" s="18" t="s">
        <v>3095</v>
      </c>
      <c r="S590" s="17" t="s">
        <v>3016</v>
      </c>
      <c r="T590" s="18" t="s">
        <v>3096</v>
      </c>
      <c r="U590" s="19"/>
      <c r="V590" s="18" t="s">
        <v>3097</v>
      </c>
      <c r="W590" s="17" t="s">
        <v>240</v>
      </c>
      <c r="X590" s="17" t="s">
        <v>3098</v>
      </c>
      <c r="Y590" s="17" t="s">
        <v>242</v>
      </c>
      <c r="Z590" s="19"/>
      <c r="AA590" s="19"/>
      <c r="AB590" s="17"/>
      <c r="AC590" s="19"/>
    </row>
    <row r="591" customFormat="false" ht="22.35" hidden="false" customHeight="false" outlineLevel="0" collapsed="false">
      <c r="A591" s="10" t="s">
        <v>3099</v>
      </c>
      <c r="B591" s="17" t="s">
        <v>81</v>
      </c>
      <c r="C591" s="18" t="s">
        <v>82</v>
      </c>
      <c r="D591" s="17" t="s">
        <v>19</v>
      </c>
      <c r="E591" s="17" t="s">
        <v>75</v>
      </c>
      <c r="F591" s="17" t="s">
        <v>2777</v>
      </c>
      <c r="G591" s="17" t="s">
        <v>83</v>
      </c>
      <c r="H591" s="17" t="s">
        <v>31</v>
      </c>
      <c r="I591" s="17" t="s">
        <v>316</v>
      </c>
      <c r="J591" s="17" t="s">
        <v>233</v>
      </c>
      <c r="K591" s="19"/>
      <c r="L591" s="19"/>
      <c r="M591" s="19"/>
      <c r="N591" s="19"/>
      <c r="O591" s="17" t="n">
        <v>3</v>
      </c>
      <c r="P591" s="18" t="s">
        <v>3079</v>
      </c>
      <c r="Q591" s="18" t="s">
        <v>2944</v>
      </c>
      <c r="R591" s="18" t="s">
        <v>3100</v>
      </c>
      <c r="S591" s="17" t="s">
        <v>3023</v>
      </c>
      <c r="T591" s="18" t="s">
        <v>3101</v>
      </c>
      <c r="U591" s="19"/>
      <c r="V591" s="18" t="s">
        <v>3102</v>
      </c>
      <c r="W591" s="17" t="s">
        <v>240</v>
      </c>
      <c r="X591" s="17" t="s">
        <v>3103</v>
      </c>
      <c r="Y591" s="17" t="s">
        <v>242</v>
      </c>
      <c r="Z591" s="19"/>
      <c r="AA591" s="19"/>
      <c r="AB591" s="17"/>
      <c r="AC591" s="19"/>
    </row>
    <row r="592" customFormat="false" ht="22.35" hidden="false" customHeight="false" outlineLevel="0" collapsed="false">
      <c r="A592" s="10" t="s">
        <v>3104</v>
      </c>
      <c r="B592" s="17" t="s">
        <v>81</v>
      </c>
      <c r="C592" s="18" t="s">
        <v>82</v>
      </c>
      <c r="D592" s="17" t="s">
        <v>19</v>
      </c>
      <c r="E592" s="17" t="s">
        <v>229</v>
      </c>
      <c r="F592" s="17" t="s">
        <v>2777</v>
      </c>
      <c r="G592" s="17" t="s">
        <v>83</v>
      </c>
      <c r="H592" s="17" t="s">
        <v>31</v>
      </c>
      <c r="I592" s="17" t="s">
        <v>289</v>
      </c>
      <c r="J592" s="17" t="s">
        <v>233</v>
      </c>
      <c r="K592" s="19"/>
      <c r="L592" s="19"/>
      <c r="M592" s="19"/>
      <c r="N592" s="19"/>
      <c r="O592" s="17" t="n">
        <v>3</v>
      </c>
      <c r="P592" s="18" t="s">
        <v>3079</v>
      </c>
      <c r="Q592" s="18" t="s">
        <v>2950</v>
      </c>
      <c r="R592" s="18" t="s">
        <v>3105</v>
      </c>
      <c r="S592" s="17" t="s">
        <v>3016</v>
      </c>
      <c r="T592" s="18" t="s">
        <v>3106</v>
      </c>
      <c r="U592" s="19"/>
      <c r="V592" s="18" t="s">
        <v>3107</v>
      </c>
      <c r="W592" s="17" t="s">
        <v>240</v>
      </c>
      <c r="X592" s="17" t="s">
        <v>3108</v>
      </c>
      <c r="Y592" s="17" t="s">
        <v>242</v>
      </c>
      <c r="Z592" s="19"/>
      <c r="AA592" s="19"/>
      <c r="AB592" s="17"/>
      <c r="AC592" s="19"/>
    </row>
    <row r="593" customFormat="false" ht="22.35" hidden="false" customHeight="false" outlineLevel="0" collapsed="false">
      <c r="A593" s="10" t="s">
        <v>3109</v>
      </c>
      <c r="B593" s="17" t="s">
        <v>81</v>
      </c>
      <c r="C593" s="18" t="s">
        <v>82</v>
      </c>
      <c r="D593" s="17" t="s">
        <v>19</v>
      </c>
      <c r="E593" s="17" t="s">
        <v>229</v>
      </c>
      <c r="F593" s="17" t="s">
        <v>2777</v>
      </c>
      <c r="G593" s="17" t="s">
        <v>83</v>
      </c>
      <c r="H593" s="17" t="s">
        <v>31</v>
      </c>
      <c r="I593" s="17" t="s">
        <v>289</v>
      </c>
      <c r="J593" s="17" t="s">
        <v>233</v>
      </c>
      <c r="K593" s="19"/>
      <c r="L593" s="19"/>
      <c r="M593" s="19"/>
      <c r="N593" s="19"/>
      <c r="O593" s="17" t="n">
        <v>3</v>
      </c>
      <c r="P593" s="18" t="s">
        <v>3079</v>
      </c>
      <c r="Q593" s="18" t="s">
        <v>2950</v>
      </c>
      <c r="R593" s="18" t="s">
        <v>3110</v>
      </c>
      <c r="S593" s="17" t="s">
        <v>3104</v>
      </c>
      <c r="T593" s="18" t="s">
        <v>3111</v>
      </c>
      <c r="U593" s="19"/>
      <c r="V593" s="18" t="s">
        <v>3112</v>
      </c>
      <c r="W593" s="17" t="s">
        <v>383</v>
      </c>
      <c r="X593" s="17" t="s">
        <v>378</v>
      </c>
      <c r="Y593" s="17" t="s">
        <v>242</v>
      </c>
      <c r="Z593" s="19"/>
      <c r="AA593" s="19"/>
      <c r="AB593" s="17"/>
      <c r="AC593" s="19"/>
    </row>
    <row r="594" customFormat="false" ht="22.35" hidden="false" customHeight="false" outlineLevel="0" collapsed="false">
      <c r="A594" s="10" t="s">
        <v>3113</v>
      </c>
      <c r="B594" s="17" t="s">
        <v>81</v>
      </c>
      <c r="C594" s="18" t="s">
        <v>82</v>
      </c>
      <c r="D594" s="17" t="s">
        <v>19</v>
      </c>
      <c r="E594" s="17" t="s">
        <v>75</v>
      </c>
      <c r="F594" s="17" t="s">
        <v>2777</v>
      </c>
      <c r="G594" s="17" t="s">
        <v>83</v>
      </c>
      <c r="H594" s="17" t="s">
        <v>31</v>
      </c>
      <c r="I594" s="17" t="s">
        <v>289</v>
      </c>
      <c r="J594" s="17" t="s">
        <v>233</v>
      </c>
      <c r="K594" s="19"/>
      <c r="L594" s="19"/>
      <c r="M594" s="19"/>
      <c r="N594" s="19"/>
      <c r="O594" s="17" t="n">
        <v>3</v>
      </c>
      <c r="P594" s="18" t="s">
        <v>3079</v>
      </c>
      <c r="Q594" s="18" t="s">
        <v>2950</v>
      </c>
      <c r="R594" s="18" t="s">
        <v>3114</v>
      </c>
      <c r="S594" s="17" t="s">
        <v>3028</v>
      </c>
      <c r="T594" s="18" t="s">
        <v>365</v>
      </c>
      <c r="U594" s="19"/>
      <c r="V594" s="18" t="s">
        <v>3115</v>
      </c>
      <c r="W594" s="17" t="s">
        <v>240</v>
      </c>
      <c r="X594" s="17" t="s">
        <v>2963</v>
      </c>
      <c r="Y594" s="17" t="s">
        <v>242</v>
      </c>
      <c r="Z594" s="19"/>
      <c r="AA594" s="19"/>
      <c r="AB594" s="17"/>
      <c r="AC594" s="19"/>
    </row>
    <row r="595" customFormat="false" ht="22.35" hidden="false" customHeight="false" outlineLevel="0" collapsed="false">
      <c r="A595" s="10" t="s">
        <v>3116</v>
      </c>
      <c r="B595" s="17" t="s">
        <v>81</v>
      </c>
      <c r="C595" s="18" t="s">
        <v>82</v>
      </c>
      <c r="D595" s="17" t="s">
        <v>19</v>
      </c>
      <c r="E595" s="17" t="s">
        <v>75</v>
      </c>
      <c r="F595" s="17" t="s">
        <v>2777</v>
      </c>
      <c r="G595" s="17" t="s">
        <v>83</v>
      </c>
      <c r="H595" s="17" t="s">
        <v>31</v>
      </c>
      <c r="I595" s="17" t="s">
        <v>369</v>
      </c>
      <c r="J595" s="17" t="s">
        <v>233</v>
      </c>
      <c r="K595" s="19"/>
      <c r="L595" s="19"/>
      <c r="M595" s="19"/>
      <c r="N595" s="19"/>
      <c r="O595" s="17" t="n">
        <v>3</v>
      </c>
      <c r="P595" s="18" t="s">
        <v>3079</v>
      </c>
      <c r="Q595" s="18" t="s">
        <v>2965</v>
      </c>
      <c r="R595" s="18" t="s">
        <v>3117</v>
      </c>
      <c r="S595" s="17" t="s">
        <v>3068</v>
      </c>
      <c r="T595" s="18" t="s">
        <v>2967</v>
      </c>
      <c r="U595" s="19"/>
      <c r="V595" s="18" t="s">
        <v>3118</v>
      </c>
      <c r="W595" s="17" t="s">
        <v>240</v>
      </c>
      <c r="X595" s="17" t="s">
        <v>2969</v>
      </c>
      <c r="Y595" s="17" t="s">
        <v>242</v>
      </c>
      <c r="Z595" s="19"/>
      <c r="AA595" s="19"/>
      <c r="AB595" s="17"/>
      <c r="AC595" s="19"/>
    </row>
    <row r="596" customFormat="false" ht="22.35" hidden="false" customHeight="false" outlineLevel="0" collapsed="false">
      <c r="A596" s="10" t="s">
        <v>3119</v>
      </c>
      <c r="B596" s="17" t="s">
        <v>81</v>
      </c>
      <c r="C596" s="18" t="s">
        <v>82</v>
      </c>
      <c r="D596" s="17" t="s">
        <v>19</v>
      </c>
      <c r="E596" s="17" t="s">
        <v>75</v>
      </c>
      <c r="F596" s="17" t="s">
        <v>2777</v>
      </c>
      <c r="G596" s="17" t="s">
        <v>83</v>
      </c>
      <c r="H596" s="17" t="s">
        <v>31</v>
      </c>
      <c r="I596" s="17" t="s">
        <v>283</v>
      </c>
      <c r="J596" s="17" t="s">
        <v>233</v>
      </c>
      <c r="K596" s="19"/>
      <c r="L596" s="19"/>
      <c r="M596" s="19"/>
      <c r="N596" s="19"/>
      <c r="O596" s="17" t="n">
        <v>3</v>
      </c>
      <c r="P596" s="18" t="s">
        <v>3079</v>
      </c>
      <c r="Q596" s="18" t="s">
        <v>2965</v>
      </c>
      <c r="R596" s="18" t="s">
        <v>3120</v>
      </c>
      <c r="S596" s="17" t="s">
        <v>3121</v>
      </c>
      <c r="T596" s="18" t="s">
        <v>2849</v>
      </c>
      <c r="U596" s="19"/>
      <c r="V596" s="18" t="s">
        <v>3122</v>
      </c>
      <c r="W596" s="17" t="s">
        <v>240</v>
      </c>
      <c r="X596" s="17" t="s">
        <v>2851</v>
      </c>
      <c r="Y596" s="17" t="s">
        <v>242</v>
      </c>
      <c r="Z596" s="19"/>
      <c r="AA596" s="19"/>
      <c r="AB596" s="17"/>
      <c r="AC596" s="19"/>
    </row>
    <row r="597" customFormat="false" ht="22.35" hidden="false" customHeight="false" outlineLevel="0" collapsed="false">
      <c r="A597" s="10" t="s">
        <v>3123</v>
      </c>
      <c r="B597" s="17" t="s">
        <v>84</v>
      </c>
      <c r="C597" s="18" t="s">
        <v>85</v>
      </c>
      <c r="D597" s="17" t="s">
        <v>19</v>
      </c>
      <c r="E597" s="17" t="s">
        <v>244</v>
      </c>
      <c r="F597" s="17" t="s">
        <v>2777</v>
      </c>
      <c r="G597" s="17" t="s">
        <v>86</v>
      </c>
      <c r="H597" s="17" t="s">
        <v>31</v>
      </c>
      <c r="I597" s="17" t="s">
        <v>232</v>
      </c>
      <c r="J597" s="17" t="s">
        <v>233</v>
      </c>
      <c r="K597" s="19"/>
      <c r="L597" s="19"/>
      <c r="M597" s="19"/>
      <c r="N597" s="19"/>
      <c r="O597" s="17" t="n">
        <v>0</v>
      </c>
      <c r="P597" s="18" t="s">
        <v>3124</v>
      </c>
      <c r="Q597" s="18" t="s">
        <v>3125</v>
      </c>
      <c r="R597" s="18" t="s">
        <v>3126</v>
      </c>
      <c r="S597" s="17" t="s">
        <v>2825</v>
      </c>
      <c r="T597" s="18" t="s">
        <v>3127</v>
      </c>
      <c r="U597" s="19"/>
      <c r="V597" s="18" t="s">
        <v>3128</v>
      </c>
      <c r="W597" s="17" t="s">
        <v>240</v>
      </c>
      <c r="X597" s="17" t="s">
        <v>3129</v>
      </c>
      <c r="Y597" s="17" t="s">
        <v>242</v>
      </c>
      <c r="Z597" s="19"/>
      <c r="AA597" s="19"/>
      <c r="AB597" s="17"/>
      <c r="AC597" s="19"/>
    </row>
    <row r="598" customFormat="false" ht="22.35" hidden="false" customHeight="false" outlineLevel="0" collapsed="false">
      <c r="A598" s="10" t="s">
        <v>3130</v>
      </c>
      <c r="B598" s="17" t="s">
        <v>84</v>
      </c>
      <c r="C598" s="18" t="s">
        <v>85</v>
      </c>
      <c r="D598" s="17" t="s">
        <v>19</v>
      </c>
      <c r="E598" s="17" t="s">
        <v>229</v>
      </c>
      <c r="F598" s="17" t="s">
        <v>2777</v>
      </c>
      <c r="G598" s="17" t="s">
        <v>86</v>
      </c>
      <c r="H598" s="17" t="s">
        <v>31</v>
      </c>
      <c r="I598" s="17" t="s">
        <v>232</v>
      </c>
      <c r="J598" s="17" t="s">
        <v>233</v>
      </c>
      <c r="K598" s="19"/>
      <c r="L598" s="19"/>
      <c r="M598" s="19"/>
      <c r="N598" s="19"/>
      <c r="O598" s="17" t="n">
        <v>0</v>
      </c>
      <c r="P598" s="18" t="s">
        <v>3124</v>
      </c>
      <c r="Q598" s="18" t="s">
        <v>3125</v>
      </c>
      <c r="R598" s="18" t="s">
        <v>3131</v>
      </c>
      <c r="S598" s="17" t="s">
        <v>3123</v>
      </c>
      <c r="T598" s="18" t="s">
        <v>3132</v>
      </c>
      <c r="U598" s="19"/>
      <c r="V598" s="18" t="s">
        <v>3133</v>
      </c>
      <c r="W598" s="17" t="s">
        <v>240</v>
      </c>
      <c r="X598" s="17" t="s">
        <v>3134</v>
      </c>
      <c r="Y598" s="17" t="s">
        <v>242</v>
      </c>
      <c r="Z598" s="19"/>
      <c r="AA598" s="19"/>
      <c r="AB598" s="17"/>
      <c r="AC598" s="19"/>
    </row>
    <row r="599" customFormat="false" ht="22.35" hidden="false" customHeight="false" outlineLevel="0" collapsed="false">
      <c r="A599" s="10" t="s">
        <v>3135</v>
      </c>
      <c r="B599" s="17" t="s">
        <v>84</v>
      </c>
      <c r="C599" s="18" t="s">
        <v>85</v>
      </c>
      <c r="D599" s="17" t="s">
        <v>19</v>
      </c>
      <c r="E599" s="17" t="s">
        <v>229</v>
      </c>
      <c r="F599" s="17" t="s">
        <v>2777</v>
      </c>
      <c r="G599" s="17" t="s">
        <v>86</v>
      </c>
      <c r="H599" s="17" t="s">
        <v>31</v>
      </c>
      <c r="I599" s="17" t="s">
        <v>232</v>
      </c>
      <c r="J599" s="17" t="s">
        <v>233</v>
      </c>
      <c r="K599" s="19"/>
      <c r="L599" s="19"/>
      <c r="M599" s="19"/>
      <c r="N599" s="19"/>
      <c r="O599" s="17" t="n">
        <v>0</v>
      </c>
      <c r="P599" s="18" t="s">
        <v>3124</v>
      </c>
      <c r="Q599" s="18" t="s">
        <v>3125</v>
      </c>
      <c r="R599" s="18" t="s">
        <v>3136</v>
      </c>
      <c r="S599" s="17" t="s">
        <v>3123</v>
      </c>
      <c r="T599" s="18" t="s">
        <v>3137</v>
      </c>
      <c r="U599" s="19"/>
      <c r="V599" s="18" t="s">
        <v>3138</v>
      </c>
      <c r="W599" s="17" t="s">
        <v>240</v>
      </c>
      <c r="X599" s="17" t="s">
        <v>3139</v>
      </c>
      <c r="Y599" s="17" t="s">
        <v>242</v>
      </c>
      <c r="Z599" s="19"/>
      <c r="AA599" s="19"/>
      <c r="AB599" s="17"/>
      <c r="AC599" s="19"/>
    </row>
    <row r="600" customFormat="false" ht="22.35" hidden="false" customHeight="false" outlineLevel="0" collapsed="false">
      <c r="A600" s="10" t="s">
        <v>3140</v>
      </c>
      <c r="B600" s="17" t="s">
        <v>84</v>
      </c>
      <c r="C600" s="18" t="s">
        <v>85</v>
      </c>
      <c r="D600" s="17" t="s">
        <v>19</v>
      </c>
      <c r="E600" s="17" t="s">
        <v>229</v>
      </c>
      <c r="F600" s="17" t="s">
        <v>2777</v>
      </c>
      <c r="G600" s="17" t="s">
        <v>86</v>
      </c>
      <c r="H600" s="17" t="s">
        <v>31</v>
      </c>
      <c r="I600" s="17" t="s">
        <v>1786</v>
      </c>
      <c r="J600" s="17" t="s">
        <v>233</v>
      </c>
      <c r="K600" s="19"/>
      <c r="L600" s="19"/>
      <c r="M600" s="19"/>
      <c r="N600" s="19"/>
      <c r="O600" s="17" t="n">
        <v>0</v>
      </c>
      <c r="P600" s="18" t="s">
        <v>3124</v>
      </c>
      <c r="Q600" s="18" t="s">
        <v>3125</v>
      </c>
      <c r="R600" s="18" t="s">
        <v>3141</v>
      </c>
      <c r="S600" s="17" t="s">
        <v>3123</v>
      </c>
      <c r="T600" s="18" t="s">
        <v>3142</v>
      </c>
      <c r="U600" s="19"/>
      <c r="V600" s="18" t="s">
        <v>3143</v>
      </c>
      <c r="W600" s="17" t="s">
        <v>240</v>
      </c>
      <c r="X600" s="17" t="s">
        <v>3144</v>
      </c>
      <c r="Y600" s="17" t="s">
        <v>242</v>
      </c>
      <c r="Z600" s="19"/>
      <c r="AA600" s="19"/>
      <c r="AB600" s="17"/>
      <c r="AC600" s="19"/>
    </row>
    <row r="601" customFormat="false" ht="22.35" hidden="false" customHeight="false" outlineLevel="0" collapsed="false">
      <c r="A601" s="10" t="s">
        <v>3145</v>
      </c>
      <c r="B601" s="17" t="s">
        <v>84</v>
      </c>
      <c r="C601" s="18" t="s">
        <v>85</v>
      </c>
      <c r="D601" s="17" t="s">
        <v>19</v>
      </c>
      <c r="E601" s="17" t="s">
        <v>229</v>
      </c>
      <c r="F601" s="17" t="s">
        <v>2777</v>
      </c>
      <c r="G601" s="17" t="s">
        <v>86</v>
      </c>
      <c r="H601" s="17" t="s">
        <v>31</v>
      </c>
      <c r="I601" s="17" t="s">
        <v>232</v>
      </c>
      <c r="J601" s="17" t="s">
        <v>233</v>
      </c>
      <c r="K601" s="19"/>
      <c r="L601" s="19"/>
      <c r="M601" s="19"/>
      <c r="N601" s="19"/>
      <c r="O601" s="17" t="n">
        <v>0</v>
      </c>
      <c r="P601" s="18" t="s">
        <v>3124</v>
      </c>
      <c r="Q601" s="18" t="s">
        <v>3125</v>
      </c>
      <c r="R601" s="18" t="s">
        <v>3146</v>
      </c>
      <c r="S601" s="17" t="s">
        <v>3123</v>
      </c>
      <c r="T601" s="18" t="s">
        <v>3147</v>
      </c>
      <c r="U601" s="19"/>
      <c r="V601" s="18" t="s">
        <v>3148</v>
      </c>
      <c r="W601" s="17" t="s">
        <v>240</v>
      </c>
      <c r="X601" s="17" t="s">
        <v>3149</v>
      </c>
      <c r="Y601" s="17" t="s">
        <v>242</v>
      </c>
      <c r="Z601" s="19"/>
      <c r="AA601" s="19"/>
      <c r="AB601" s="17"/>
      <c r="AC601" s="19"/>
    </row>
    <row r="602" customFormat="false" ht="32.8" hidden="false" customHeight="false" outlineLevel="0" collapsed="false">
      <c r="A602" s="10" t="s">
        <v>3150</v>
      </c>
      <c r="B602" s="17" t="s">
        <v>84</v>
      </c>
      <c r="C602" s="18" t="s">
        <v>85</v>
      </c>
      <c r="D602" s="17" t="s">
        <v>19</v>
      </c>
      <c r="E602" s="17" t="s">
        <v>229</v>
      </c>
      <c r="F602" s="17" t="s">
        <v>2777</v>
      </c>
      <c r="G602" s="17" t="s">
        <v>86</v>
      </c>
      <c r="H602" s="17" t="s">
        <v>31</v>
      </c>
      <c r="I602" s="17" t="s">
        <v>232</v>
      </c>
      <c r="J602" s="17" t="s">
        <v>233</v>
      </c>
      <c r="K602" s="19"/>
      <c r="L602" s="19"/>
      <c r="M602" s="19"/>
      <c r="N602" s="19"/>
      <c r="O602" s="17" t="n">
        <v>0</v>
      </c>
      <c r="P602" s="18" t="s">
        <v>3124</v>
      </c>
      <c r="Q602" s="18" t="s">
        <v>3151</v>
      </c>
      <c r="R602" s="18" t="s">
        <v>3152</v>
      </c>
      <c r="S602" s="17" t="s">
        <v>3140</v>
      </c>
      <c r="T602" s="18" t="s">
        <v>3153</v>
      </c>
      <c r="U602" s="19"/>
      <c r="V602" s="18" t="s">
        <v>3154</v>
      </c>
      <c r="W602" s="17" t="s">
        <v>240</v>
      </c>
      <c r="X602" s="17" t="s">
        <v>3155</v>
      </c>
      <c r="Y602" s="17" t="s">
        <v>242</v>
      </c>
      <c r="Z602" s="19"/>
      <c r="AA602" s="19"/>
      <c r="AB602" s="17"/>
      <c r="AC602" s="19"/>
    </row>
    <row r="603" customFormat="false" ht="22.35" hidden="false" customHeight="false" outlineLevel="0" collapsed="false">
      <c r="A603" s="10" t="s">
        <v>3156</v>
      </c>
      <c r="B603" s="17" t="s">
        <v>84</v>
      </c>
      <c r="C603" s="18" t="s">
        <v>85</v>
      </c>
      <c r="D603" s="17" t="s">
        <v>19</v>
      </c>
      <c r="E603" s="17" t="s">
        <v>229</v>
      </c>
      <c r="F603" s="17" t="s">
        <v>2777</v>
      </c>
      <c r="G603" s="17" t="s">
        <v>86</v>
      </c>
      <c r="H603" s="17" t="s">
        <v>31</v>
      </c>
      <c r="I603" s="17" t="s">
        <v>232</v>
      </c>
      <c r="J603" s="17" t="s">
        <v>233</v>
      </c>
      <c r="K603" s="19"/>
      <c r="L603" s="19"/>
      <c r="M603" s="19"/>
      <c r="N603" s="19"/>
      <c r="O603" s="17" t="n">
        <v>0</v>
      </c>
      <c r="P603" s="18" t="s">
        <v>3124</v>
      </c>
      <c r="Q603" s="18" t="s">
        <v>3151</v>
      </c>
      <c r="R603" s="18" t="s">
        <v>3157</v>
      </c>
      <c r="S603" s="17" t="s">
        <v>3123</v>
      </c>
      <c r="T603" s="18" t="s">
        <v>3158</v>
      </c>
      <c r="U603" s="19"/>
      <c r="V603" s="18" t="s">
        <v>3159</v>
      </c>
      <c r="W603" s="17" t="s">
        <v>240</v>
      </c>
      <c r="X603" s="17" t="s">
        <v>3160</v>
      </c>
      <c r="Y603" s="17" t="s">
        <v>242</v>
      </c>
      <c r="Z603" s="19"/>
      <c r="AA603" s="19"/>
      <c r="AB603" s="17"/>
      <c r="AC603" s="19"/>
    </row>
    <row r="604" customFormat="false" ht="22.35" hidden="false" customHeight="false" outlineLevel="0" collapsed="false">
      <c r="A604" s="10" t="s">
        <v>3161</v>
      </c>
      <c r="B604" s="17" t="s">
        <v>84</v>
      </c>
      <c r="C604" s="18" t="s">
        <v>85</v>
      </c>
      <c r="D604" s="17" t="s">
        <v>19</v>
      </c>
      <c r="E604" s="17" t="s">
        <v>229</v>
      </c>
      <c r="F604" s="17" t="s">
        <v>2777</v>
      </c>
      <c r="G604" s="17" t="s">
        <v>86</v>
      </c>
      <c r="H604" s="17" t="s">
        <v>31</v>
      </c>
      <c r="I604" s="17" t="s">
        <v>277</v>
      </c>
      <c r="J604" s="17" t="s">
        <v>233</v>
      </c>
      <c r="K604" s="19"/>
      <c r="L604" s="19"/>
      <c r="M604" s="19"/>
      <c r="N604" s="19"/>
      <c r="O604" s="17" t="n">
        <v>0</v>
      </c>
      <c r="P604" s="18" t="s">
        <v>3124</v>
      </c>
      <c r="Q604" s="18" t="s">
        <v>3151</v>
      </c>
      <c r="R604" s="18" t="s">
        <v>3162</v>
      </c>
      <c r="S604" s="17" t="s">
        <v>3150</v>
      </c>
      <c r="T604" s="18" t="s">
        <v>3163</v>
      </c>
      <c r="U604" s="19"/>
      <c r="V604" s="18" t="s">
        <v>3164</v>
      </c>
      <c r="W604" s="17" t="s">
        <v>240</v>
      </c>
      <c r="X604" s="17" t="s">
        <v>2835</v>
      </c>
      <c r="Y604" s="17" t="s">
        <v>242</v>
      </c>
      <c r="Z604" s="19"/>
      <c r="AA604" s="19"/>
      <c r="AB604" s="17"/>
      <c r="AC604" s="19"/>
    </row>
    <row r="605" customFormat="false" ht="22.35" hidden="false" customHeight="false" outlineLevel="0" collapsed="false">
      <c r="A605" s="10" t="s">
        <v>3165</v>
      </c>
      <c r="B605" s="17" t="s">
        <v>84</v>
      </c>
      <c r="C605" s="18" t="s">
        <v>85</v>
      </c>
      <c r="D605" s="17" t="s">
        <v>19</v>
      </c>
      <c r="E605" s="17" t="s">
        <v>229</v>
      </c>
      <c r="F605" s="17" t="s">
        <v>2777</v>
      </c>
      <c r="G605" s="17" t="s">
        <v>86</v>
      </c>
      <c r="H605" s="17" t="s">
        <v>31</v>
      </c>
      <c r="I605" s="17" t="s">
        <v>283</v>
      </c>
      <c r="J605" s="17" t="s">
        <v>233</v>
      </c>
      <c r="K605" s="19"/>
      <c r="L605" s="19"/>
      <c r="M605" s="19"/>
      <c r="N605" s="19"/>
      <c r="O605" s="17" t="n">
        <v>0</v>
      </c>
      <c r="P605" s="18" t="s">
        <v>3124</v>
      </c>
      <c r="Q605" s="18" t="s">
        <v>3151</v>
      </c>
      <c r="R605" s="18" t="s">
        <v>3166</v>
      </c>
      <c r="S605" s="17" t="s">
        <v>3161</v>
      </c>
      <c r="T605" s="18" t="s">
        <v>2849</v>
      </c>
      <c r="U605" s="19"/>
      <c r="V605" s="18" t="s">
        <v>3167</v>
      </c>
      <c r="W605" s="17" t="s">
        <v>240</v>
      </c>
      <c r="X605" s="17" t="s">
        <v>2851</v>
      </c>
      <c r="Y605" s="17" t="s">
        <v>242</v>
      </c>
      <c r="Z605" s="19"/>
      <c r="AA605" s="19"/>
      <c r="AB605" s="17"/>
      <c r="AC605" s="19"/>
    </row>
    <row r="606" customFormat="false" ht="22.35" hidden="false" customHeight="false" outlineLevel="0" collapsed="false">
      <c r="A606" s="10" t="s">
        <v>3168</v>
      </c>
      <c r="B606" s="17" t="s">
        <v>84</v>
      </c>
      <c r="C606" s="18" t="s">
        <v>85</v>
      </c>
      <c r="D606" s="17" t="s">
        <v>19</v>
      </c>
      <c r="E606" s="17" t="s">
        <v>75</v>
      </c>
      <c r="F606" s="17" t="s">
        <v>2777</v>
      </c>
      <c r="G606" s="17" t="s">
        <v>86</v>
      </c>
      <c r="H606" s="17" t="s">
        <v>31</v>
      </c>
      <c r="I606" s="17" t="s">
        <v>316</v>
      </c>
      <c r="J606" s="17" t="s">
        <v>233</v>
      </c>
      <c r="K606" s="19"/>
      <c r="L606" s="19"/>
      <c r="M606" s="19"/>
      <c r="N606" s="19"/>
      <c r="O606" s="17" t="n">
        <v>2</v>
      </c>
      <c r="P606" s="18" t="s">
        <v>3169</v>
      </c>
      <c r="Q606" s="18" t="s">
        <v>3170</v>
      </c>
      <c r="R606" s="18" t="s">
        <v>3171</v>
      </c>
      <c r="S606" s="17" t="s">
        <v>3165</v>
      </c>
      <c r="T606" s="18" t="s">
        <v>3172</v>
      </c>
      <c r="U606" s="19"/>
      <c r="V606" s="18" t="s">
        <v>2873</v>
      </c>
      <c r="W606" s="17" t="s">
        <v>240</v>
      </c>
      <c r="X606" s="17" t="s">
        <v>3173</v>
      </c>
      <c r="Y606" s="17" t="s">
        <v>242</v>
      </c>
      <c r="Z606" s="19"/>
      <c r="AA606" s="19"/>
      <c r="AB606" s="17"/>
      <c r="AC606" s="19"/>
    </row>
    <row r="607" customFormat="false" ht="32.8" hidden="false" customHeight="false" outlineLevel="0" collapsed="false">
      <c r="A607" s="10" t="s">
        <v>3174</v>
      </c>
      <c r="B607" s="17" t="s">
        <v>84</v>
      </c>
      <c r="C607" s="18" t="s">
        <v>85</v>
      </c>
      <c r="D607" s="17" t="s">
        <v>19</v>
      </c>
      <c r="E607" s="17" t="s">
        <v>229</v>
      </c>
      <c r="F607" s="17" t="s">
        <v>2777</v>
      </c>
      <c r="G607" s="17" t="s">
        <v>86</v>
      </c>
      <c r="H607" s="17" t="s">
        <v>31</v>
      </c>
      <c r="I607" s="17" t="s">
        <v>316</v>
      </c>
      <c r="J607" s="17" t="s">
        <v>233</v>
      </c>
      <c r="K607" s="19"/>
      <c r="L607" s="19"/>
      <c r="M607" s="19"/>
      <c r="N607" s="19"/>
      <c r="O607" s="17" t="n">
        <v>2</v>
      </c>
      <c r="P607" s="18" t="s">
        <v>3169</v>
      </c>
      <c r="Q607" s="18" t="s">
        <v>3170</v>
      </c>
      <c r="R607" s="18" t="s">
        <v>3175</v>
      </c>
      <c r="S607" s="17" t="s">
        <v>3168</v>
      </c>
      <c r="T607" s="18" t="s">
        <v>3176</v>
      </c>
      <c r="U607" s="19"/>
      <c r="V607" s="18" t="s">
        <v>3177</v>
      </c>
      <c r="W607" s="17" t="s">
        <v>240</v>
      </c>
      <c r="X607" s="17" t="s">
        <v>3178</v>
      </c>
      <c r="Y607" s="17" t="s">
        <v>242</v>
      </c>
      <c r="Z607" s="19"/>
      <c r="AA607" s="19"/>
      <c r="AB607" s="17"/>
      <c r="AC607" s="19"/>
    </row>
    <row r="608" customFormat="false" ht="22.35" hidden="false" customHeight="false" outlineLevel="0" collapsed="false">
      <c r="A608" s="10" t="s">
        <v>3179</v>
      </c>
      <c r="B608" s="17" t="s">
        <v>84</v>
      </c>
      <c r="C608" s="18" t="s">
        <v>85</v>
      </c>
      <c r="D608" s="17" t="s">
        <v>19</v>
      </c>
      <c r="E608" s="17" t="s">
        <v>75</v>
      </c>
      <c r="F608" s="17" t="s">
        <v>2777</v>
      </c>
      <c r="G608" s="17" t="s">
        <v>86</v>
      </c>
      <c r="H608" s="17" t="s">
        <v>31</v>
      </c>
      <c r="I608" s="17" t="s">
        <v>316</v>
      </c>
      <c r="J608" s="17" t="s">
        <v>233</v>
      </c>
      <c r="K608" s="19"/>
      <c r="L608" s="19"/>
      <c r="M608" s="19"/>
      <c r="N608" s="19"/>
      <c r="O608" s="17" t="n">
        <v>2</v>
      </c>
      <c r="P608" s="18" t="s">
        <v>3169</v>
      </c>
      <c r="Q608" s="18" t="s">
        <v>3170</v>
      </c>
      <c r="R608" s="18" t="s">
        <v>3180</v>
      </c>
      <c r="S608" s="17" t="s">
        <v>3168</v>
      </c>
      <c r="T608" s="18" t="s">
        <v>3181</v>
      </c>
      <c r="U608" s="19"/>
      <c r="V608" s="18" t="s">
        <v>3182</v>
      </c>
      <c r="W608" s="17" t="s">
        <v>240</v>
      </c>
      <c r="X608" s="17" t="s">
        <v>3183</v>
      </c>
      <c r="Y608" s="17" t="s">
        <v>242</v>
      </c>
      <c r="Z608" s="19"/>
      <c r="AA608" s="19"/>
      <c r="AB608" s="17"/>
      <c r="AC608" s="19"/>
    </row>
    <row r="609" customFormat="false" ht="22.35" hidden="false" customHeight="false" outlineLevel="0" collapsed="false">
      <c r="A609" s="10" t="s">
        <v>3184</v>
      </c>
      <c r="B609" s="17" t="s">
        <v>84</v>
      </c>
      <c r="C609" s="18" t="s">
        <v>85</v>
      </c>
      <c r="D609" s="17" t="s">
        <v>19</v>
      </c>
      <c r="E609" s="17" t="s">
        <v>75</v>
      </c>
      <c r="F609" s="17" t="s">
        <v>2777</v>
      </c>
      <c r="G609" s="17" t="s">
        <v>86</v>
      </c>
      <c r="H609" s="17" t="s">
        <v>31</v>
      </c>
      <c r="I609" s="17" t="s">
        <v>316</v>
      </c>
      <c r="J609" s="17" t="s">
        <v>233</v>
      </c>
      <c r="K609" s="19"/>
      <c r="L609" s="19"/>
      <c r="M609" s="19"/>
      <c r="N609" s="19"/>
      <c r="O609" s="17" t="n">
        <v>2</v>
      </c>
      <c r="P609" s="18" t="s">
        <v>3169</v>
      </c>
      <c r="Q609" s="18" t="s">
        <v>3185</v>
      </c>
      <c r="R609" s="18" t="s">
        <v>3186</v>
      </c>
      <c r="S609" s="17" t="s">
        <v>3168</v>
      </c>
      <c r="T609" s="18" t="s">
        <v>3187</v>
      </c>
      <c r="U609" s="19"/>
      <c r="V609" s="18" t="s">
        <v>3188</v>
      </c>
      <c r="W609" s="17" t="s">
        <v>240</v>
      </c>
      <c r="X609" s="17" t="s">
        <v>3189</v>
      </c>
      <c r="Y609" s="17" t="s">
        <v>242</v>
      </c>
      <c r="Z609" s="19"/>
      <c r="AA609" s="19"/>
      <c r="AB609" s="17"/>
      <c r="AC609" s="19"/>
    </row>
    <row r="610" customFormat="false" ht="22.35" hidden="false" customHeight="false" outlineLevel="0" collapsed="false">
      <c r="A610" s="10" t="s">
        <v>3190</v>
      </c>
      <c r="B610" s="17" t="s">
        <v>84</v>
      </c>
      <c r="C610" s="18" t="s">
        <v>85</v>
      </c>
      <c r="D610" s="17" t="s">
        <v>19</v>
      </c>
      <c r="E610" s="17" t="s">
        <v>75</v>
      </c>
      <c r="F610" s="17" t="s">
        <v>2777</v>
      </c>
      <c r="G610" s="17" t="s">
        <v>86</v>
      </c>
      <c r="H610" s="17" t="s">
        <v>31</v>
      </c>
      <c r="I610" s="17" t="s">
        <v>316</v>
      </c>
      <c r="J610" s="17" t="s">
        <v>233</v>
      </c>
      <c r="K610" s="19"/>
      <c r="L610" s="19"/>
      <c r="M610" s="19"/>
      <c r="N610" s="19"/>
      <c r="O610" s="17" t="n">
        <v>2</v>
      </c>
      <c r="P610" s="18" t="s">
        <v>3169</v>
      </c>
      <c r="Q610" s="18" t="s">
        <v>3185</v>
      </c>
      <c r="R610" s="18" t="s">
        <v>3191</v>
      </c>
      <c r="S610" s="17" t="s">
        <v>3184</v>
      </c>
      <c r="T610" s="18" t="s">
        <v>3192</v>
      </c>
      <c r="U610" s="19"/>
      <c r="V610" s="18" t="s">
        <v>3193</v>
      </c>
      <c r="W610" s="17" t="s">
        <v>240</v>
      </c>
      <c r="X610" s="17" t="s">
        <v>3194</v>
      </c>
      <c r="Y610" s="17" t="s">
        <v>242</v>
      </c>
      <c r="Z610" s="19"/>
      <c r="AA610" s="19"/>
      <c r="AB610" s="17"/>
      <c r="AC610" s="19"/>
    </row>
    <row r="611" customFormat="false" ht="22.35" hidden="false" customHeight="false" outlineLevel="0" collapsed="false">
      <c r="A611" s="10" t="s">
        <v>3195</v>
      </c>
      <c r="B611" s="17" t="s">
        <v>84</v>
      </c>
      <c r="C611" s="18" t="s">
        <v>85</v>
      </c>
      <c r="D611" s="17" t="s">
        <v>19</v>
      </c>
      <c r="E611" s="17" t="s">
        <v>229</v>
      </c>
      <c r="F611" s="17" t="s">
        <v>2777</v>
      </c>
      <c r="G611" s="17" t="s">
        <v>86</v>
      </c>
      <c r="H611" s="17" t="s">
        <v>31</v>
      </c>
      <c r="I611" s="17" t="s">
        <v>316</v>
      </c>
      <c r="J611" s="17" t="s">
        <v>233</v>
      </c>
      <c r="K611" s="19"/>
      <c r="L611" s="19"/>
      <c r="M611" s="19"/>
      <c r="N611" s="19"/>
      <c r="O611" s="17" t="n">
        <v>2</v>
      </c>
      <c r="P611" s="18" t="s">
        <v>3169</v>
      </c>
      <c r="Q611" s="18" t="s">
        <v>3185</v>
      </c>
      <c r="R611" s="18" t="s">
        <v>3196</v>
      </c>
      <c r="S611" s="17" t="s">
        <v>3168</v>
      </c>
      <c r="T611" s="18" t="s">
        <v>3197</v>
      </c>
      <c r="U611" s="19"/>
      <c r="V611" s="18" t="s">
        <v>3198</v>
      </c>
      <c r="W611" s="17" t="s">
        <v>240</v>
      </c>
      <c r="X611" s="17" t="s">
        <v>3199</v>
      </c>
      <c r="Y611" s="17" t="s">
        <v>242</v>
      </c>
      <c r="Z611" s="19"/>
      <c r="AA611" s="19"/>
      <c r="AB611" s="17"/>
      <c r="AC611" s="19"/>
    </row>
    <row r="612" customFormat="false" ht="22.35" hidden="false" customHeight="false" outlineLevel="0" collapsed="false">
      <c r="A612" s="10" t="s">
        <v>3200</v>
      </c>
      <c r="B612" s="17" t="s">
        <v>84</v>
      </c>
      <c r="C612" s="18" t="s">
        <v>85</v>
      </c>
      <c r="D612" s="17" t="s">
        <v>19</v>
      </c>
      <c r="E612" s="17" t="s">
        <v>75</v>
      </c>
      <c r="F612" s="17" t="s">
        <v>2777</v>
      </c>
      <c r="G612" s="17" t="s">
        <v>86</v>
      </c>
      <c r="H612" s="17" t="s">
        <v>31</v>
      </c>
      <c r="I612" s="17" t="s">
        <v>450</v>
      </c>
      <c r="J612" s="17" t="s">
        <v>233</v>
      </c>
      <c r="K612" s="19"/>
      <c r="L612" s="19"/>
      <c r="M612" s="19"/>
      <c r="N612" s="19"/>
      <c r="O612" s="17" t="n">
        <v>2</v>
      </c>
      <c r="P612" s="18" t="s">
        <v>3169</v>
      </c>
      <c r="Q612" s="18" t="s">
        <v>3185</v>
      </c>
      <c r="R612" s="18" t="s">
        <v>3201</v>
      </c>
      <c r="S612" s="17" t="s">
        <v>3168</v>
      </c>
      <c r="T612" s="18" t="s">
        <v>3202</v>
      </c>
      <c r="U612" s="19"/>
      <c r="V612" s="18" t="s">
        <v>3203</v>
      </c>
      <c r="W612" s="17" t="s">
        <v>240</v>
      </c>
      <c r="X612" s="17" t="s">
        <v>3204</v>
      </c>
      <c r="Y612" s="17" t="s">
        <v>242</v>
      </c>
      <c r="Z612" s="19"/>
      <c r="AA612" s="19"/>
      <c r="AB612" s="17"/>
      <c r="AC612" s="19"/>
    </row>
    <row r="613" customFormat="false" ht="22.35" hidden="false" customHeight="false" outlineLevel="0" collapsed="false">
      <c r="A613" s="10" t="s">
        <v>3205</v>
      </c>
      <c r="B613" s="17" t="s">
        <v>84</v>
      </c>
      <c r="C613" s="18" t="s">
        <v>85</v>
      </c>
      <c r="D613" s="17" t="s">
        <v>19</v>
      </c>
      <c r="E613" s="17" t="s">
        <v>75</v>
      </c>
      <c r="F613" s="17" t="s">
        <v>2777</v>
      </c>
      <c r="G613" s="17" t="s">
        <v>86</v>
      </c>
      <c r="H613" s="17" t="s">
        <v>31</v>
      </c>
      <c r="I613" s="17" t="s">
        <v>283</v>
      </c>
      <c r="J613" s="17" t="s">
        <v>233</v>
      </c>
      <c r="K613" s="19"/>
      <c r="L613" s="19"/>
      <c r="M613" s="19"/>
      <c r="N613" s="19"/>
      <c r="O613" s="17" t="n">
        <v>2</v>
      </c>
      <c r="P613" s="18" t="s">
        <v>3169</v>
      </c>
      <c r="Q613" s="18" t="s">
        <v>3185</v>
      </c>
      <c r="R613" s="18" t="s">
        <v>3206</v>
      </c>
      <c r="S613" s="17" t="s">
        <v>3207</v>
      </c>
      <c r="T613" s="18" t="s">
        <v>2849</v>
      </c>
      <c r="U613" s="19"/>
      <c r="V613" s="18" t="s">
        <v>3208</v>
      </c>
      <c r="W613" s="17" t="s">
        <v>240</v>
      </c>
      <c r="X613" s="17" t="s">
        <v>2851</v>
      </c>
      <c r="Y613" s="17" t="s">
        <v>242</v>
      </c>
      <c r="Z613" s="19"/>
      <c r="AA613" s="19"/>
      <c r="AB613" s="17"/>
      <c r="AC613" s="19"/>
    </row>
    <row r="614" customFormat="false" ht="22.35" hidden="false" customHeight="false" outlineLevel="0" collapsed="false">
      <c r="A614" s="10" t="s">
        <v>3209</v>
      </c>
      <c r="B614" s="17" t="s">
        <v>84</v>
      </c>
      <c r="C614" s="18" t="s">
        <v>85</v>
      </c>
      <c r="D614" s="17" t="s">
        <v>19</v>
      </c>
      <c r="E614" s="17" t="s">
        <v>75</v>
      </c>
      <c r="F614" s="17" t="s">
        <v>2777</v>
      </c>
      <c r="G614" s="17" t="s">
        <v>86</v>
      </c>
      <c r="H614" s="17" t="s">
        <v>31</v>
      </c>
      <c r="I614" s="17" t="s">
        <v>450</v>
      </c>
      <c r="J614" s="17" t="s">
        <v>233</v>
      </c>
      <c r="K614" s="19"/>
      <c r="L614" s="19"/>
      <c r="M614" s="19"/>
      <c r="N614" s="19"/>
      <c r="O614" s="17" t="n">
        <v>2</v>
      </c>
      <c r="P614" s="18" t="s">
        <v>3210</v>
      </c>
      <c r="Q614" s="18" t="s">
        <v>2918</v>
      </c>
      <c r="R614" s="18" t="s">
        <v>3211</v>
      </c>
      <c r="S614" s="17" t="s">
        <v>3168</v>
      </c>
      <c r="T614" s="18" t="s">
        <v>3212</v>
      </c>
      <c r="U614" s="19"/>
      <c r="V614" s="18" t="s">
        <v>3213</v>
      </c>
      <c r="W614" s="17" t="s">
        <v>240</v>
      </c>
      <c r="X614" s="17" t="s">
        <v>529</v>
      </c>
      <c r="Y614" s="17" t="s">
        <v>242</v>
      </c>
      <c r="Z614" s="19"/>
      <c r="AA614" s="19"/>
      <c r="AB614" s="17"/>
      <c r="AC614" s="19"/>
    </row>
    <row r="615" customFormat="false" ht="22.35" hidden="false" customHeight="false" outlineLevel="0" collapsed="false">
      <c r="A615" s="10" t="s">
        <v>3214</v>
      </c>
      <c r="B615" s="17" t="s">
        <v>84</v>
      </c>
      <c r="C615" s="18" t="s">
        <v>85</v>
      </c>
      <c r="D615" s="17" t="s">
        <v>19</v>
      </c>
      <c r="E615" s="17" t="s">
        <v>229</v>
      </c>
      <c r="F615" s="17" t="s">
        <v>2777</v>
      </c>
      <c r="G615" s="17" t="s">
        <v>86</v>
      </c>
      <c r="H615" s="17" t="s">
        <v>31</v>
      </c>
      <c r="I615" s="17" t="s">
        <v>450</v>
      </c>
      <c r="J615" s="17" t="s">
        <v>233</v>
      </c>
      <c r="K615" s="19"/>
      <c r="L615" s="19"/>
      <c r="M615" s="19"/>
      <c r="N615" s="19"/>
      <c r="O615" s="17" t="n">
        <v>2</v>
      </c>
      <c r="P615" s="18" t="s">
        <v>3210</v>
      </c>
      <c r="Q615" s="18" t="s">
        <v>2918</v>
      </c>
      <c r="R615" s="18" t="s">
        <v>3215</v>
      </c>
      <c r="S615" s="17" t="s">
        <v>3209</v>
      </c>
      <c r="T615" s="18" t="s">
        <v>3086</v>
      </c>
      <c r="U615" s="19"/>
      <c r="V615" s="18" t="s">
        <v>3216</v>
      </c>
      <c r="W615" s="17" t="s">
        <v>240</v>
      </c>
      <c r="X615" s="17" t="s">
        <v>2927</v>
      </c>
      <c r="Y615" s="17" t="s">
        <v>242</v>
      </c>
      <c r="Z615" s="19"/>
      <c r="AA615" s="19"/>
      <c r="AB615" s="17"/>
      <c r="AC615" s="19"/>
    </row>
    <row r="616" customFormat="false" ht="22.35" hidden="false" customHeight="false" outlineLevel="0" collapsed="false">
      <c r="A616" s="10" t="s">
        <v>3217</v>
      </c>
      <c r="B616" s="17" t="s">
        <v>84</v>
      </c>
      <c r="C616" s="18" t="s">
        <v>85</v>
      </c>
      <c r="D616" s="17" t="s">
        <v>19</v>
      </c>
      <c r="E616" s="17" t="s">
        <v>75</v>
      </c>
      <c r="F616" s="17" t="s">
        <v>2777</v>
      </c>
      <c r="G616" s="17" t="s">
        <v>86</v>
      </c>
      <c r="H616" s="17" t="s">
        <v>31</v>
      </c>
      <c r="I616" s="17" t="s">
        <v>333</v>
      </c>
      <c r="J616" s="17" t="s">
        <v>233</v>
      </c>
      <c r="K616" s="19"/>
      <c r="L616" s="19"/>
      <c r="M616" s="19"/>
      <c r="N616" s="19"/>
      <c r="O616" s="17" t="n">
        <v>2</v>
      </c>
      <c r="P616" s="18" t="s">
        <v>3210</v>
      </c>
      <c r="Q616" s="18" t="s">
        <v>2933</v>
      </c>
      <c r="R616" s="18" t="s">
        <v>3218</v>
      </c>
      <c r="S616" s="17" t="s">
        <v>3168</v>
      </c>
      <c r="T616" s="18" t="s">
        <v>3219</v>
      </c>
      <c r="U616" s="19"/>
      <c r="V616" s="18" t="s">
        <v>3220</v>
      </c>
      <c r="W616" s="17" t="s">
        <v>240</v>
      </c>
      <c r="X616" s="17" t="s">
        <v>3221</v>
      </c>
      <c r="Y616" s="17" t="s">
        <v>242</v>
      </c>
      <c r="Z616" s="19"/>
      <c r="AA616" s="19"/>
      <c r="AB616" s="17"/>
      <c r="AC616" s="19"/>
    </row>
    <row r="617" customFormat="false" ht="22.35" hidden="false" customHeight="false" outlineLevel="0" collapsed="false">
      <c r="A617" s="10" t="s">
        <v>3222</v>
      </c>
      <c r="B617" s="17" t="s">
        <v>84</v>
      </c>
      <c r="C617" s="18" t="s">
        <v>85</v>
      </c>
      <c r="D617" s="17" t="s">
        <v>19</v>
      </c>
      <c r="E617" s="17" t="s">
        <v>75</v>
      </c>
      <c r="F617" s="17" t="s">
        <v>2777</v>
      </c>
      <c r="G617" s="17" t="s">
        <v>86</v>
      </c>
      <c r="H617" s="17" t="s">
        <v>31</v>
      </c>
      <c r="I617" s="17" t="s">
        <v>333</v>
      </c>
      <c r="J617" s="17" t="s">
        <v>233</v>
      </c>
      <c r="K617" s="19"/>
      <c r="L617" s="19"/>
      <c r="M617" s="19"/>
      <c r="N617" s="19"/>
      <c r="O617" s="17" t="n">
        <v>2</v>
      </c>
      <c r="P617" s="18" t="s">
        <v>3210</v>
      </c>
      <c r="Q617" s="18" t="s">
        <v>2933</v>
      </c>
      <c r="R617" s="18" t="s">
        <v>3223</v>
      </c>
      <c r="S617" s="17" t="s">
        <v>3174</v>
      </c>
      <c r="T617" s="18" t="s">
        <v>2940</v>
      </c>
      <c r="U617" s="19"/>
      <c r="V617" s="18" t="s">
        <v>3224</v>
      </c>
      <c r="W617" s="17" t="s">
        <v>240</v>
      </c>
      <c r="X617" s="17" t="s">
        <v>2942</v>
      </c>
      <c r="Y617" s="17" t="s">
        <v>242</v>
      </c>
      <c r="Z617" s="19"/>
      <c r="AA617" s="19"/>
      <c r="AB617" s="17"/>
      <c r="AC617" s="19"/>
    </row>
    <row r="618" customFormat="false" ht="22.35" hidden="false" customHeight="false" outlineLevel="0" collapsed="false">
      <c r="A618" s="10" t="s">
        <v>3225</v>
      </c>
      <c r="B618" s="17" t="s">
        <v>84</v>
      </c>
      <c r="C618" s="18" t="s">
        <v>85</v>
      </c>
      <c r="D618" s="17" t="s">
        <v>19</v>
      </c>
      <c r="E618" s="17" t="s">
        <v>75</v>
      </c>
      <c r="F618" s="17" t="s">
        <v>2777</v>
      </c>
      <c r="G618" s="17" t="s">
        <v>86</v>
      </c>
      <c r="H618" s="17" t="s">
        <v>31</v>
      </c>
      <c r="I618" s="17" t="s">
        <v>316</v>
      </c>
      <c r="J618" s="17" t="s">
        <v>233</v>
      </c>
      <c r="K618" s="19"/>
      <c r="L618" s="19"/>
      <c r="M618" s="19"/>
      <c r="N618" s="19"/>
      <c r="O618" s="17" t="n">
        <v>2</v>
      </c>
      <c r="P618" s="18" t="s">
        <v>3210</v>
      </c>
      <c r="Q618" s="18" t="s">
        <v>2944</v>
      </c>
      <c r="R618" s="18" t="s">
        <v>3226</v>
      </c>
      <c r="S618" s="17" t="s">
        <v>3168</v>
      </c>
      <c r="T618" s="18" t="s">
        <v>3227</v>
      </c>
      <c r="U618" s="19"/>
      <c r="V618" s="18" t="s">
        <v>3228</v>
      </c>
      <c r="W618" s="17" t="s">
        <v>240</v>
      </c>
      <c r="X618" s="17" t="s">
        <v>2948</v>
      </c>
      <c r="Y618" s="17" t="s">
        <v>242</v>
      </c>
      <c r="Z618" s="19"/>
      <c r="AA618" s="19"/>
      <c r="AB618" s="17"/>
      <c r="AC618" s="19"/>
    </row>
    <row r="619" customFormat="false" ht="22.35" hidden="false" customHeight="false" outlineLevel="0" collapsed="false">
      <c r="A619" s="10" t="s">
        <v>3229</v>
      </c>
      <c r="B619" s="17" t="s">
        <v>84</v>
      </c>
      <c r="C619" s="18" t="s">
        <v>85</v>
      </c>
      <c r="D619" s="17" t="s">
        <v>19</v>
      </c>
      <c r="E619" s="17" t="s">
        <v>229</v>
      </c>
      <c r="F619" s="17" t="s">
        <v>2777</v>
      </c>
      <c r="G619" s="17" t="s">
        <v>86</v>
      </c>
      <c r="H619" s="17" t="s">
        <v>31</v>
      </c>
      <c r="I619" s="17" t="s">
        <v>289</v>
      </c>
      <c r="J619" s="17" t="s">
        <v>233</v>
      </c>
      <c r="K619" s="19"/>
      <c r="L619" s="19"/>
      <c r="M619" s="19"/>
      <c r="N619" s="19"/>
      <c r="O619" s="17" t="n">
        <v>2</v>
      </c>
      <c r="P619" s="18" t="s">
        <v>3210</v>
      </c>
      <c r="Q619" s="18" t="s">
        <v>2950</v>
      </c>
      <c r="R619" s="18" t="s">
        <v>3230</v>
      </c>
      <c r="S619" s="17" t="s">
        <v>3168</v>
      </c>
      <c r="T619" s="18" t="s">
        <v>3106</v>
      </c>
      <c r="U619" s="19"/>
      <c r="V619" s="18" t="s">
        <v>3231</v>
      </c>
      <c r="W619" s="17" t="s">
        <v>240</v>
      </c>
      <c r="X619" s="17" t="s">
        <v>3108</v>
      </c>
      <c r="Y619" s="17" t="s">
        <v>242</v>
      </c>
      <c r="Z619" s="19"/>
      <c r="AA619" s="19"/>
      <c r="AB619" s="17"/>
      <c r="AC619" s="19"/>
    </row>
    <row r="620" customFormat="false" ht="22.35" hidden="false" customHeight="false" outlineLevel="0" collapsed="false">
      <c r="A620" s="10" t="s">
        <v>3232</v>
      </c>
      <c r="B620" s="17" t="s">
        <v>84</v>
      </c>
      <c r="C620" s="18" t="s">
        <v>85</v>
      </c>
      <c r="D620" s="17" t="s">
        <v>19</v>
      </c>
      <c r="E620" s="17" t="s">
        <v>229</v>
      </c>
      <c r="F620" s="17" t="s">
        <v>2777</v>
      </c>
      <c r="G620" s="17" t="s">
        <v>86</v>
      </c>
      <c r="H620" s="17" t="s">
        <v>31</v>
      </c>
      <c r="I620" s="17" t="s">
        <v>289</v>
      </c>
      <c r="J620" s="17" t="s">
        <v>233</v>
      </c>
      <c r="K620" s="19"/>
      <c r="L620" s="19"/>
      <c r="M620" s="19"/>
      <c r="N620" s="19"/>
      <c r="O620" s="17" t="n">
        <v>2</v>
      </c>
      <c r="P620" s="18" t="s">
        <v>3210</v>
      </c>
      <c r="Q620" s="18" t="s">
        <v>2950</v>
      </c>
      <c r="R620" s="18" t="s">
        <v>3233</v>
      </c>
      <c r="S620" s="17" t="s">
        <v>3229</v>
      </c>
      <c r="T620" s="18" t="s">
        <v>3234</v>
      </c>
      <c r="U620" s="19"/>
      <c r="V620" s="18" t="s">
        <v>3235</v>
      </c>
      <c r="W620" s="17" t="s">
        <v>383</v>
      </c>
      <c r="X620" s="17" t="s">
        <v>378</v>
      </c>
      <c r="Y620" s="17" t="s">
        <v>242</v>
      </c>
      <c r="Z620" s="19"/>
      <c r="AA620" s="19"/>
      <c r="AB620" s="17"/>
      <c r="AC620" s="19"/>
    </row>
    <row r="621" customFormat="false" ht="22.35" hidden="false" customHeight="false" outlineLevel="0" collapsed="false">
      <c r="A621" s="10" t="s">
        <v>3236</v>
      </c>
      <c r="B621" s="17" t="s">
        <v>84</v>
      </c>
      <c r="C621" s="18" t="s">
        <v>85</v>
      </c>
      <c r="D621" s="17" t="s">
        <v>19</v>
      </c>
      <c r="E621" s="17" t="s">
        <v>75</v>
      </c>
      <c r="F621" s="17" t="s">
        <v>2777</v>
      </c>
      <c r="G621" s="17" t="s">
        <v>86</v>
      </c>
      <c r="H621" s="17" t="s">
        <v>31</v>
      </c>
      <c r="I621" s="17" t="s">
        <v>369</v>
      </c>
      <c r="J621" s="17" t="s">
        <v>233</v>
      </c>
      <c r="K621" s="19"/>
      <c r="L621" s="19"/>
      <c r="M621" s="19"/>
      <c r="N621" s="19"/>
      <c r="O621" s="17" t="n">
        <v>2</v>
      </c>
      <c r="P621" s="18" t="s">
        <v>3210</v>
      </c>
      <c r="Q621" s="18" t="s">
        <v>2965</v>
      </c>
      <c r="R621" s="18" t="s">
        <v>3237</v>
      </c>
      <c r="S621" s="17" t="s">
        <v>3168</v>
      </c>
      <c r="T621" s="18" t="s">
        <v>2967</v>
      </c>
      <c r="U621" s="19"/>
      <c r="V621" s="18" t="s">
        <v>3238</v>
      </c>
      <c r="W621" s="17" t="s">
        <v>240</v>
      </c>
      <c r="X621" s="17" t="s">
        <v>2969</v>
      </c>
      <c r="Y621" s="17" t="s">
        <v>242</v>
      </c>
      <c r="Z621" s="19"/>
      <c r="AA621" s="19"/>
      <c r="AB621" s="17"/>
      <c r="AC621" s="19"/>
    </row>
    <row r="622" customFormat="false" ht="22.35" hidden="false" customHeight="false" outlineLevel="0" collapsed="false">
      <c r="A622" s="10" t="s">
        <v>3239</v>
      </c>
      <c r="B622" s="17" t="s">
        <v>84</v>
      </c>
      <c r="C622" s="18" t="s">
        <v>85</v>
      </c>
      <c r="D622" s="17" t="s">
        <v>19</v>
      </c>
      <c r="E622" s="17" t="s">
        <v>75</v>
      </c>
      <c r="F622" s="17" t="s">
        <v>2777</v>
      </c>
      <c r="G622" s="17" t="s">
        <v>86</v>
      </c>
      <c r="H622" s="17" t="s">
        <v>31</v>
      </c>
      <c r="I622" s="17" t="s">
        <v>283</v>
      </c>
      <c r="J622" s="17" t="s">
        <v>233</v>
      </c>
      <c r="K622" s="19"/>
      <c r="L622" s="19"/>
      <c r="M622" s="19"/>
      <c r="N622" s="19"/>
      <c r="O622" s="17" t="n">
        <v>2</v>
      </c>
      <c r="P622" s="18" t="s">
        <v>3210</v>
      </c>
      <c r="Q622" s="18" t="s">
        <v>2965</v>
      </c>
      <c r="R622" s="18" t="s">
        <v>3240</v>
      </c>
      <c r="S622" s="17" t="s">
        <v>3241</v>
      </c>
      <c r="T622" s="18" t="s">
        <v>2849</v>
      </c>
      <c r="U622" s="19"/>
      <c r="V622" s="18" t="s">
        <v>3242</v>
      </c>
      <c r="W622" s="17" t="s">
        <v>240</v>
      </c>
      <c r="X622" s="17" t="s">
        <v>2851</v>
      </c>
      <c r="Y622" s="17" t="s">
        <v>242</v>
      </c>
      <c r="Z622" s="19"/>
      <c r="AA622" s="19"/>
      <c r="AB622" s="17"/>
      <c r="AC622" s="19"/>
    </row>
    <row r="623" customFormat="false" ht="32.8" hidden="false" customHeight="false" outlineLevel="0" collapsed="false">
      <c r="A623" s="10" t="s">
        <v>3243</v>
      </c>
      <c r="B623" s="17" t="s">
        <v>112</v>
      </c>
      <c r="C623" s="18" t="s">
        <v>113</v>
      </c>
      <c r="D623" s="17" t="s">
        <v>19</v>
      </c>
      <c r="E623" s="17" t="s">
        <v>75</v>
      </c>
      <c r="F623" s="17" t="s">
        <v>2777</v>
      </c>
      <c r="G623" s="17" t="s">
        <v>114</v>
      </c>
      <c r="H623" s="17" t="s">
        <v>31</v>
      </c>
      <c r="I623" s="17" t="s">
        <v>232</v>
      </c>
      <c r="J623" s="17" t="s">
        <v>233</v>
      </c>
      <c r="K623" s="19"/>
      <c r="L623" s="19"/>
      <c r="M623" s="19"/>
      <c r="N623" s="19"/>
      <c r="O623" s="17" t="n">
        <v>2</v>
      </c>
      <c r="P623" s="18" t="s">
        <v>3244</v>
      </c>
      <c r="Q623" s="18" t="s">
        <v>3245</v>
      </c>
      <c r="R623" s="18" t="s">
        <v>3246</v>
      </c>
      <c r="S623" s="17" t="s">
        <v>237</v>
      </c>
      <c r="T623" s="18" t="s">
        <v>3247</v>
      </c>
      <c r="U623" s="19"/>
      <c r="V623" s="18" t="s">
        <v>3248</v>
      </c>
      <c r="W623" s="17" t="s">
        <v>240</v>
      </c>
      <c r="X623" s="17" t="s">
        <v>3249</v>
      </c>
      <c r="Y623" s="17" t="s">
        <v>242</v>
      </c>
      <c r="Z623" s="19"/>
      <c r="AA623" s="19"/>
      <c r="AB623" s="17"/>
      <c r="AC623" s="19"/>
    </row>
    <row r="624" customFormat="false" ht="22.35" hidden="false" customHeight="false" outlineLevel="0" collapsed="false">
      <c r="A624" s="10" t="s">
        <v>3250</v>
      </c>
      <c r="B624" s="17" t="s">
        <v>112</v>
      </c>
      <c r="C624" s="18" t="s">
        <v>113</v>
      </c>
      <c r="D624" s="17" t="s">
        <v>19</v>
      </c>
      <c r="E624" s="17" t="s">
        <v>75</v>
      </c>
      <c r="F624" s="17" t="s">
        <v>2777</v>
      </c>
      <c r="G624" s="17" t="s">
        <v>114</v>
      </c>
      <c r="H624" s="17" t="s">
        <v>31</v>
      </c>
      <c r="I624" s="17" t="s">
        <v>232</v>
      </c>
      <c r="J624" s="17" t="s">
        <v>233</v>
      </c>
      <c r="K624" s="19"/>
      <c r="L624" s="19"/>
      <c r="M624" s="19"/>
      <c r="N624" s="19"/>
      <c r="O624" s="17" t="n">
        <v>2</v>
      </c>
      <c r="P624" s="18" t="s">
        <v>3244</v>
      </c>
      <c r="Q624" s="18" t="s">
        <v>3245</v>
      </c>
      <c r="R624" s="18" t="s">
        <v>3251</v>
      </c>
      <c r="S624" s="17" t="s">
        <v>3243</v>
      </c>
      <c r="T624" s="18" t="s">
        <v>3252</v>
      </c>
      <c r="U624" s="19"/>
      <c r="V624" s="18" t="s">
        <v>3253</v>
      </c>
      <c r="W624" s="17" t="s">
        <v>240</v>
      </c>
      <c r="X624" s="17" t="s">
        <v>3254</v>
      </c>
      <c r="Y624" s="17" t="s">
        <v>242</v>
      </c>
      <c r="Z624" s="19"/>
      <c r="AA624" s="19"/>
      <c r="AB624" s="17"/>
      <c r="AC624" s="19"/>
    </row>
    <row r="625" customFormat="false" ht="22.35" hidden="false" customHeight="false" outlineLevel="0" collapsed="false">
      <c r="A625" s="10" t="s">
        <v>3255</v>
      </c>
      <c r="B625" s="17" t="s">
        <v>112</v>
      </c>
      <c r="C625" s="18" t="s">
        <v>113</v>
      </c>
      <c r="D625" s="17" t="s">
        <v>19</v>
      </c>
      <c r="E625" s="17" t="s">
        <v>75</v>
      </c>
      <c r="F625" s="17" t="s">
        <v>2777</v>
      </c>
      <c r="G625" s="17" t="s">
        <v>114</v>
      </c>
      <c r="H625" s="17" t="s">
        <v>31</v>
      </c>
      <c r="I625" s="17" t="s">
        <v>333</v>
      </c>
      <c r="J625" s="17" t="s">
        <v>233</v>
      </c>
      <c r="K625" s="19"/>
      <c r="L625" s="19"/>
      <c r="M625" s="19"/>
      <c r="N625" s="19"/>
      <c r="O625" s="17" t="n">
        <v>2</v>
      </c>
      <c r="P625" s="18" t="s">
        <v>3244</v>
      </c>
      <c r="Q625" s="18" t="s">
        <v>3245</v>
      </c>
      <c r="R625" s="18" t="s">
        <v>3256</v>
      </c>
      <c r="S625" s="17" t="s">
        <v>3250</v>
      </c>
      <c r="T625" s="18" t="s">
        <v>3257</v>
      </c>
      <c r="U625" s="19"/>
      <c r="V625" s="18" t="s">
        <v>3258</v>
      </c>
      <c r="W625" s="17" t="s">
        <v>240</v>
      </c>
      <c r="X625" s="17" t="s">
        <v>3259</v>
      </c>
      <c r="Y625" s="17" t="s">
        <v>242</v>
      </c>
      <c r="Z625" s="19"/>
      <c r="AA625" s="19"/>
      <c r="AB625" s="17"/>
      <c r="AC625" s="19"/>
    </row>
    <row r="626" customFormat="false" ht="22.35" hidden="false" customHeight="false" outlineLevel="0" collapsed="false">
      <c r="A626" s="10" t="s">
        <v>3260</v>
      </c>
      <c r="B626" s="17" t="s">
        <v>112</v>
      </c>
      <c r="C626" s="18" t="s">
        <v>113</v>
      </c>
      <c r="D626" s="17" t="s">
        <v>19</v>
      </c>
      <c r="E626" s="17" t="s">
        <v>75</v>
      </c>
      <c r="F626" s="17" t="s">
        <v>2777</v>
      </c>
      <c r="G626" s="17" t="s">
        <v>114</v>
      </c>
      <c r="H626" s="17" t="s">
        <v>31</v>
      </c>
      <c r="I626" s="17" t="s">
        <v>333</v>
      </c>
      <c r="J626" s="17" t="s">
        <v>233</v>
      </c>
      <c r="K626" s="19"/>
      <c r="L626" s="19"/>
      <c r="M626" s="19"/>
      <c r="N626" s="19"/>
      <c r="O626" s="17" t="n">
        <v>2</v>
      </c>
      <c r="P626" s="18" t="s">
        <v>3244</v>
      </c>
      <c r="Q626" s="18" t="s">
        <v>3245</v>
      </c>
      <c r="R626" s="18" t="s">
        <v>3261</v>
      </c>
      <c r="S626" s="17" t="s">
        <v>3255</v>
      </c>
      <c r="T626" s="18" t="s">
        <v>3262</v>
      </c>
      <c r="U626" s="19"/>
      <c r="V626" s="18" t="s">
        <v>3263</v>
      </c>
      <c r="W626" s="17" t="s">
        <v>240</v>
      </c>
      <c r="X626" s="17" t="s">
        <v>3264</v>
      </c>
      <c r="Y626" s="17" t="s">
        <v>242</v>
      </c>
      <c r="Z626" s="19"/>
      <c r="AA626" s="19"/>
      <c r="AB626" s="17"/>
      <c r="AC626" s="19"/>
    </row>
    <row r="627" customFormat="false" ht="22.35" hidden="false" customHeight="false" outlineLevel="0" collapsed="false">
      <c r="A627" s="10" t="s">
        <v>3265</v>
      </c>
      <c r="B627" s="17" t="s">
        <v>112</v>
      </c>
      <c r="C627" s="18" t="s">
        <v>113</v>
      </c>
      <c r="D627" s="17" t="s">
        <v>19</v>
      </c>
      <c r="E627" s="17" t="s">
        <v>229</v>
      </c>
      <c r="F627" s="17" t="s">
        <v>2777</v>
      </c>
      <c r="G627" s="17" t="s">
        <v>114</v>
      </c>
      <c r="H627" s="17" t="s">
        <v>31</v>
      </c>
      <c r="I627" s="17" t="s">
        <v>232</v>
      </c>
      <c r="J627" s="17" t="s">
        <v>233</v>
      </c>
      <c r="K627" s="19"/>
      <c r="L627" s="19"/>
      <c r="M627" s="19"/>
      <c r="N627" s="19"/>
      <c r="O627" s="17" t="n">
        <v>2</v>
      </c>
      <c r="P627" s="18" t="s">
        <v>3244</v>
      </c>
      <c r="Q627" s="18" t="s">
        <v>3266</v>
      </c>
      <c r="R627" s="18" t="s">
        <v>3267</v>
      </c>
      <c r="S627" s="17" t="s">
        <v>3255</v>
      </c>
      <c r="T627" s="18" t="s">
        <v>3268</v>
      </c>
      <c r="U627" s="19"/>
      <c r="V627" s="18" t="s">
        <v>3269</v>
      </c>
      <c r="W627" s="17" t="s">
        <v>240</v>
      </c>
      <c r="X627" s="17" t="s">
        <v>3270</v>
      </c>
      <c r="Y627" s="17" t="s">
        <v>242</v>
      </c>
      <c r="Z627" s="19"/>
      <c r="AA627" s="19"/>
      <c r="AB627" s="17"/>
      <c r="AC627" s="19"/>
    </row>
    <row r="628" customFormat="false" ht="22.35" hidden="false" customHeight="false" outlineLevel="0" collapsed="false">
      <c r="A628" s="10" t="s">
        <v>3271</v>
      </c>
      <c r="B628" s="17" t="s">
        <v>112</v>
      </c>
      <c r="C628" s="18" t="s">
        <v>113</v>
      </c>
      <c r="D628" s="17" t="s">
        <v>19</v>
      </c>
      <c r="E628" s="17" t="s">
        <v>75</v>
      </c>
      <c r="F628" s="17" t="s">
        <v>2777</v>
      </c>
      <c r="G628" s="17" t="s">
        <v>114</v>
      </c>
      <c r="H628" s="17" t="s">
        <v>31</v>
      </c>
      <c r="I628" s="17" t="s">
        <v>232</v>
      </c>
      <c r="J628" s="17" t="s">
        <v>233</v>
      </c>
      <c r="K628" s="19"/>
      <c r="L628" s="19"/>
      <c r="M628" s="19"/>
      <c r="N628" s="19"/>
      <c r="O628" s="17" t="n">
        <v>2</v>
      </c>
      <c r="P628" s="18" t="s">
        <v>3244</v>
      </c>
      <c r="Q628" s="18" t="s">
        <v>3266</v>
      </c>
      <c r="R628" s="18" t="s">
        <v>3272</v>
      </c>
      <c r="S628" s="17" t="s">
        <v>3250</v>
      </c>
      <c r="T628" s="18" t="s">
        <v>3273</v>
      </c>
      <c r="U628" s="19"/>
      <c r="V628" s="18" t="s">
        <v>3274</v>
      </c>
      <c r="W628" s="17" t="s">
        <v>240</v>
      </c>
      <c r="X628" s="17" t="s">
        <v>3275</v>
      </c>
      <c r="Y628" s="17" t="s">
        <v>242</v>
      </c>
      <c r="Z628" s="19"/>
      <c r="AA628" s="19"/>
      <c r="AB628" s="17"/>
      <c r="AC628" s="19"/>
    </row>
    <row r="629" customFormat="false" ht="22.35" hidden="false" customHeight="false" outlineLevel="0" collapsed="false">
      <c r="A629" s="10" t="s">
        <v>3276</v>
      </c>
      <c r="B629" s="17" t="s">
        <v>112</v>
      </c>
      <c r="C629" s="18" t="s">
        <v>113</v>
      </c>
      <c r="D629" s="17" t="s">
        <v>19</v>
      </c>
      <c r="E629" s="17" t="s">
        <v>75</v>
      </c>
      <c r="F629" s="17" t="s">
        <v>2777</v>
      </c>
      <c r="G629" s="17" t="s">
        <v>114</v>
      </c>
      <c r="H629" s="17" t="s">
        <v>31</v>
      </c>
      <c r="I629" s="17" t="s">
        <v>283</v>
      </c>
      <c r="J629" s="17" t="s">
        <v>233</v>
      </c>
      <c r="K629" s="19"/>
      <c r="L629" s="19"/>
      <c r="M629" s="19"/>
      <c r="N629" s="19"/>
      <c r="O629" s="17" t="n">
        <v>2</v>
      </c>
      <c r="P629" s="18" t="s">
        <v>3244</v>
      </c>
      <c r="Q629" s="18" t="s">
        <v>3266</v>
      </c>
      <c r="R629" s="18" t="s">
        <v>3277</v>
      </c>
      <c r="S629" s="17" t="s">
        <v>3271</v>
      </c>
      <c r="T629" s="18" t="s">
        <v>2849</v>
      </c>
      <c r="U629" s="19"/>
      <c r="V629" s="18" t="s">
        <v>3278</v>
      </c>
      <c r="W629" s="17" t="s">
        <v>240</v>
      </c>
      <c r="X629" s="17" t="s">
        <v>2851</v>
      </c>
      <c r="Y629" s="17" t="s">
        <v>242</v>
      </c>
      <c r="Z629" s="19"/>
      <c r="AA629" s="19"/>
      <c r="AB629" s="17"/>
      <c r="AC629" s="19"/>
    </row>
    <row r="630" customFormat="false" ht="22.35" hidden="false" customHeight="false" outlineLevel="0" collapsed="false">
      <c r="A630" s="10" t="s">
        <v>3279</v>
      </c>
      <c r="B630" s="17" t="s">
        <v>112</v>
      </c>
      <c r="C630" s="18" t="s">
        <v>113</v>
      </c>
      <c r="D630" s="17" t="s">
        <v>19</v>
      </c>
      <c r="E630" s="17" t="s">
        <v>75</v>
      </c>
      <c r="F630" s="17" t="s">
        <v>2777</v>
      </c>
      <c r="G630" s="17" t="s">
        <v>114</v>
      </c>
      <c r="H630" s="17" t="s">
        <v>31</v>
      </c>
      <c r="I630" s="17" t="s">
        <v>316</v>
      </c>
      <c r="J630" s="17" t="s">
        <v>233</v>
      </c>
      <c r="K630" s="19"/>
      <c r="L630" s="19"/>
      <c r="M630" s="19"/>
      <c r="N630" s="19"/>
      <c r="O630" s="17" t="n">
        <v>3</v>
      </c>
      <c r="P630" s="18" t="s">
        <v>3280</v>
      </c>
      <c r="Q630" s="18" t="s">
        <v>3281</v>
      </c>
      <c r="R630" s="18" t="s">
        <v>3282</v>
      </c>
      <c r="S630" s="17" t="s">
        <v>3276</v>
      </c>
      <c r="T630" s="18" t="s">
        <v>3172</v>
      </c>
      <c r="U630" s="19"/>
      <c r="V630" s="18" t="s">
        <v>2873</v>
      </c>
      <c r="W630" s="17" t="s">
        <v>240</v>
      </c>
      <c r="X630" s="17" t="s">
        <v>3254</v>
      </c>
      <c r="Y630" s="17" t="s">
        <v>242</v>
      </c>
      <c r="Z630" s="19"/>
      <c r="AA630" s="19"/>
      <c r="AB630" s="17"/>
      <c r="AC630" s="19"/>
    </row>
    <row r="631" customFormat="false" ht="22.35" hidden="false" customHeight="false" outlineLevel="0" collapsed="false">
      <c r="A631" s="10" t="s">
        <v>3283</v>
      </c>
      <c r="B631" s="17" t="s">
        <v>112</v>
      </c>
      <c r="C631" s="18" t="s">
        <v>113</v>
      </c>
      <c r="D631" s="17" t="s">
        <v>19</v>
      </c>
      <c r="E631" s="17" t="s">
        <v>75</v>
      </c>
      <c r="F631" s="17" t="s">
        <v>2777</v>
      </c>
      <c r="G631" s="17" t="s">
        <v>114</v>
      </c>
      <c r="H631" s="17" t="s">
        <v>31</v>
      </c>
      <c r="I631" s="17" t="s">
        <v>316</v>
      </c>
      <c r="J631" s="17" t="s">
        <v>233</v>
      </c>
      <c r="K631" s="19"/>
      <c r="L631" s="19"/>
      <c r="M631" s="19"/>
      <c r="N631" s="19"/>
      <c r="O631" s="17" t="n">
        <v>3</v>
      </c>
      <c r="P631" s="18" t="s">
        <v>3280</v>
      </c>
      <c r="Q631" s="18" t="s">
        <v>3281</v>
      </c>
      <c r="R631" s="18" t="s">
        <v>3284</v>
      </c>
      <c r="S631" s="17" t="s">
        <v>3279</v>
      </c>
      <c r="T631" s="18" t="s">
        <v>3285</v>
      </c>
      <c r="U631" s="19"/>
      <c r="V631" s="18" t="s">
        <v>3286</v>
      </c>
      <c r="W631" s="17" t="s">
        <v>240</v>
      </c>
      <c r="X631" s="17" t="s">
        <v>3287</v>
      </c>
      <c r="Y631" s="17" t="s">
        <v>242</v>
      </c>
      <c r="Z631" s="19"/>
      <c r="AA631" s="19"/>
      <c r="AB631" s="17"/>
      <c r="AC631" s="19"/>
    </row>
    <row r="632" customFormat="false" ht="22.35" hidden="false" customHeight="false" outlineLevel="0" collapsed="false">
      <c r="A632" s="10" t="s">
        <v>3288</v>
      </c>
      <c r="B632" s="17" t="s">
        <v>112</v>
      </c>
      <c r="C632" s="18" t="s">
        <v>113</v>
      </c>
      <c r="D632" s="17" t="s">
        <v>19</v>
      </c>
      <c r="E632" s="17" t="s">
        <v>75</v>
      </c>
      <c r="F632" s="17" t="s">
        <v>2777</v>
      </c>
      <c r="G632" s="17" t="s">
        <v>114</v>
      </c>
      <c r="H632" s="17" t="s">
        <v>31</v>
      </c>
      <c r="I632" s="17" t="s">
        <v>316</v>
      </c>
      <c r="J632" s="17" t="s">
        <v>233</v>
      </c>
      <c r="K632" s="19"/>
      <c r="L632" s="19"/>
      <c r="M632" s="19"/>
      <c r="N632" s="19"/>
      <c r="O632" s="17" t="n">
        <v>3</v>
      </c>
      <c r="P632" s="18" t="s">
        <v>3280</v>
      </c>
      <c r="Q632" s="18" t="s">
        <v>3281</v>
      </c>
      <c r="R632" s="18" t="s">
        <v>3289</v>
      </c>
      <c r="S632" s="17" t="s">
        <v>3290</v>
      </c>
      <c r="T632" s="18" t="s">
        <v>3291</v>
      </c>
      <c r="U632" s="19"/>
      <c r="V632" s="18" t="s">
        <v>3292</v>
      </c>
      <c r="W632" s="17" t="s">
        <v>240</v>
      </c>
      <c r="X632" s="17" t="s">
        <v>3293</v>
      </c>
      <c r="Y632" s="17" t="s">
        <v>242</v>
      </c>
      <c r="Z632" s="19"/>
      <c r="AA632" s="19"/>
      <c r="AB632" s="17"/>
      <c r="AC632" s="19"/>
    </row>
    <row r="633" customFormat="false" ht="22.35" hidden="false" customHeight="false" outlineLevel="0" collapsed="false">
      <c r="A633" s="10" t="s">
        <v>3294</v>
      </c>
      <c r="B633" s="17" t="s">
        <v>112</v>
      </c>
      <c r="C633" s="18" t="s">
        <v>113</v>
      </c>
      <c r="D633" s="17" t="s">
        <v>19</v>
      </c>
      <c r="E633" s="17" t="s">
        <v>75</v>
      </c>
      <c r="F633" s="17" t="s">
        <v>2777</v>
      </c>
      <c r="G633" s="17" t="s">
        <v>114</v>
      </c>
      <c r="H633" s="17" t="s">
        <v>31</v>
      </c>
      <c r="I633" s="17" t="s">
        <v>316</v>
      </c>
      <c r="J633" s="17" t="s">
        <v>233</v>
      </c>
      <c r="K633" s="19"/>
      <c r="L633" s="19"/>
      <c r="M633" s="19"/>
      <c r="N633" s="19"/>
      <c r="O633" s="17" t="n">
        <v>3</v>
      </c>
      <c r="P633" s="18" t="s">
        <v>3280</v>
      </c>
      <c r="Q633" s="18" t="s">
        <v>3295</v>
      </c>
      <c r="R633" s="18" t="s">
        <v>3296</v>
      </c>
      <c r="S633" s="17" t="s">
        <v>3279</v>
      </c>
      <c r="T633" s="18" t="s">
        <v>3297</v>
      </c>
      <c r="U633" s="19"/>
      <c r="V633" s="18" t="s">
        <v>3298</v>
      </c>
      <c r="W633" s="17" t="s">
        <v>240</v>
      </c>
      <c r="X633" s="17" t="s">
        <v>3299</v>
      </c>
      <c r="Y633" s="17" t="s">
        <v>242</v>
      </c>
      <c r="Z633" s="19"/>
      <c r="AA633" s="19"/>
      <c r="AB633" s="17"/>
      <c r="AC633" s="19"/>
    </row>
    <row r="634" customFormat="false" ht="32.8" hidden="false" customHeight="false" outlineLevel="0" collapsed="false">
      <c r="A634" s="10" t="s">
        <v>3300</v>
      </c>
      <c r="B634" s="17" t="s">
        <v>112</v>
      </c>
      <c r="C634" s="18" t="s">
        <v>113</v>
      </c>
      <c r="D634" s="17" t="s">
        <v>19</v>
      </c>
      <c r="E634" s="17" t="s">
        <v>75</v>
      </c>
      <c r="F634" s="17" t="s">
        <v>2777</v>
      </c>
      <c r="G634" s="17" t="s">
        <v>114</v>
      </c>
      <c r="H634" s="17" t="s">
        <v>31</v>
      </c>
      <c r="I634" s="17" t="s">
        <v>316</v>
      </c>
      <c r="J634" s="17" t="s">
        <v>233</v>
      </c>
      <c r="K634" s="19"/>
      <c r="L634" s="19"/>
      <c r="M634" s="19"/>
      <c r="N634" s="19"/>
      <c r="O634" s="17" t="n">
        <v>3</v>
      </c>
      <c r="P634" s="18" t="s">
        <v>3280</v>
      </c>
      <c r="Q634" s="18" t="s">
        <v>3295</v>
      </c>
      <c r="R634" s="18" t="s">
        <v>3301</v>
      </c>
      <c r="S634" s="17" t="s">
        <v>3302</v>
      </c>
      <c r="T634" s="18" t="s">
        <v>3303</v>
      </c>
      <c r="U634" s="19"/>
      <c r="V634" s="18" t="s">
        <v>3304</v>
      </c>
      <c r="W634" s="17" t="s">
        <v>240</v>
      </c>
      <c r="X634" s="17" t="s">
        <v>3305</v>
      </c>
      <c r="Y634" s="17" t="s">
        <v>242</v>
      </c>
      <c r="Z634" s="19"/>
      <c r="AA634" s="19"/>
      <c r="AB634" s="17"/>
      <c r="AC634" s="19"/>
    </row>
    <row r="635" customFormat="false" ht="32.8" hidden="false" customHeight="false" outlineLevel="0" collapsed="false">
      <c r="A635" s="10" t="s">
        <v>3306</v>
      </c>
      <c r="B635" s="17" t="s">
        <v>112</v>
      </c>
      <c r="C635" s="18" t="s">
        <v>113</v>
      </c>
      <c r="D635" s="17" t="s">
        <v>19</v>
      </c>
      <c r="E635" s="17" t="s">
        <v>75</v>
      </c>
      <c r="F635" s="17" t="s">
        <v>2777</v>
      </c>
      <c r="G635" s="17" t="s">
        <v>114</v>
      </c>
      <c r="H635" s="17" t="s">
        <v>31</v>
      </c>
      <c r="I635" s="17" t="s">
        <v>316</v>
      </c>
      <c r="J635" s="17" t="s">
        <v>233</v>
      </c>
      <c r="K635" s="19"/>
      <c r="L635" s="19"/>
      <c r="M635" s="19"/>
      <c r="N635" s="19"/>
      <c r="O635" s="17" t="n">
        <v>3</v>
      </c>
      <c r="P635" s="18" t="s">
        <v>3280</v>
      </c>
      <c r="Q635" s="18" t="s">
        <v>3295</v>
      </c>
      <c r="R635" s="18" t="s">
        <v>3307</v>
      </c>
      <c r="S635" s="17" t="s">
        <v>3279</v>
      </c>
      <c r="T635" s="18" t="s">
        <v>3308</v>
      </c>
      <c r="U635" s="19"/>
      <c r="V635" s="18" t="s">
        <v>3309</v>
      </c>
      <c r="W635" s="17" t="s">
        <v>240</v>
      </c>
      <c r="X635" s="17" t="s">
        <v>3310</v>
      </c>
      <c r="Y635" s="17" t="s">
        <v>242</v>
      </c>
      <c r="Z635" s="19"/>
      <c r="AA635" s="19"/>
      <c r="AB635" s="17"/>
      <c r="AC635" s="19"/>
    </row>
    <row r="636" customFormat="false" ht="22.35" hidden="false" customHeight="false" outlineLevel="0" collapsed="false">
      <c r="A636" s="10" t="s">
        <v>3311</v>
      </c>
      <c r="B636" s="17" t="s">
        <v>112</v>
      </c>
      <c r="C636" s="18" t="s">
        <v>113</v>
      </c>
      <c r="D636" s="17" t="s">
        <v>19</v>
      </c>
      <c r="E636" s="17" t="s">
        <v>75</v>
      </c>
      <c r="F636" s="17" t="s">
        <v>2777</v>
      </c>
      <c r="G636" s="17" t="s">
        <v>114</v>
      </c>
      <c r="H636" s="17" t="s">
        <v>31</v>
      </c>
      <c r="I636" s="17" t="s">
        <v>283</v>
      </c>
      <c r="J636" s="17" t="s">
        <v>233</v>
      </c>
      <c r="K636" s="19"/>
      <c r="L636" s="19"/>
      <c r="M636" s="19"/>
      <c r="N636" s="19"/>
      <c r="O636" s="17" t="n">
        <v>3</v>
      </c>
      <c r="P636" s="18" t="s">
        <v>3280</v>
      </c>
      <c r="Q636" s="18" t="s">
        <v>3295</v>
      </c>
      <c r="R636" s="18" t="s">
        <v>3312</v>
      </c>
      <c r="S636" s="17" t="s">
        <v>3313</v>
      </c>
      <c r="T636" s="18" t="s">
        <v>2849</v>
      </c>
      <c r="U636" s="19"/>
      <c r="V636" s="18" t="s">
        <v>3314</v>
      </c>
      <c r="W636" s="17" t="s">
        <v>240</v>
      </c>
      <c r="X636" s="17" t="s">
        <v>2851</v>
      </c>
      <c r="Y636" s="17" t="s">
        <v>242</v>
      </c>
      <c r="Z636" s="19"/>
      <c r="AA636" s="19"/>
      <c r="AB636" s="17"/>
      <c r="AC636" s="19"/>
    </row>
    <row r="637" customFormat="false" ht="22.35" hidden="false" customHeight="false" outlineLevel="0" collapsed="false">
      <c r="A637" s="10" t="s">
        <v>3315</v>
      </c>
      <c r="B637" s="17" t="s">
        <v>112</v>
      </c>
      <c r="C637" s="18" t="s">
        <v>113</v>
      </c>
      <c r="D637" s="17" t="s">
        <v>19</v>
      </c>
      <c r="E637" s="17" t="s">
        <v>75</v>
      </c>
      <c r="F637" s="17" t="s">
        <v>2777</v>
      </c>
      <c r="G637" s="17" t="s">
        <v>114</v>
      </c>
      <c r="H637" s="17" t="s">
        <v>31</v>
      </c>
      <c r="I637" s="17" t="s">
        <v>450</v>
      </c>
      <c r="J637" s="17" t="s">
        <v>233</v>
      </c>
      <c r="K637" s="19"/>
      <c r="L637" s="19"/>
      <c r="M637" s="19"/>
      <c r="N637" s="19"/>
      <c r="O637" s="17" t="n">
        <v>3</v>
      </c>
      <c r="P637" s="18" t="s">
        <v>3316</v>
      </c>
      <c r="Q637" s="18" t="s">
        <v>2918</v>
      </c>
      <c r="R637" s="18" t="s">
        <v>3317</v>
      </c>
      <c r="S637" s="17" t="s">
        <v>3279</v>
      </c>
      <c r="T637" s="18" t="s">
        <v>3318</v>
      </c>
      <c r="U637" s="19"/>
      <c r="V637" s="18" t="s">
        <v>3319</v>
      </c>
      <c r="W637" s="17" t="s">
        <v>240</v>
      </c>
      <c r="X637" s="17" t="s">
        <v>529</v>
      </c>
      <c r="Y637" s="17" t="s">
        <v>242</v>
      </c>
      <c r="Z637" s="19"/>
      <c r="AA637" s="19"/>
      <c r="AB637" s="17"/>
      <c r="AC637" s="19"/>
    </row>
    <row r="638" customFormat="false" ht="22.35" hidden="false" customHeight="false" outlineLevel="0" collapsed="false">
      <c r="A638" s="10" t="s">
        <v>3320</v>
      </c>
      <c r="B638" s="17" t="s">
        <v>112</v>
      </c>
      <c r="C638" s="18" t="s">
        <v>113</v>
      </c>
      <c r="D638" s="17" t="s">
        <v>19</v>
      </c>
      <c r="E638" s="17" t="s">
        <v>229</v>
      </c>
      <c r="F638" s="17" t="s">
        <v>2777</v>
      </c>
      <c r="G638" s="17" t="s">
        <v>114</v>
      </c>
      <c r="H638" s="17" t="s">
        <v>31</v>
      </c>
      <c r="I638" s="17" t="s">
        <v>450</v>
      </c>
      <c r="J638" s="17" t="s">
        <v>233</v>
      </c>
      <c r="K638" s="19"/>
      <c r="L638" s="19"/>
      <c r="M638" s="19"/>
      <c r="N638" s="19"/>
      <c r="O638" s="17" t="n">
        <v>3</v>
      </c>
      <c r="P638" s="18" t="s">
        <v>3316</v>
      </c>
      <c r="Q638" s="18" t="s">
        <v>2918</v>
      </c>
      <c r="R638" s="18" t="s">
        <v>3321</v>
      </c>
      <c r="S638" s="17" t="s">
        <v>3315</v>
      </c>
      <c r="T638" s="18" t="s">
        <v>3322</v>
      </c>
      <c r="U638" s="19"/>
      <c r="V638" s="18" t="s">
        <v>3323</v>
      </c>
      <c r="W638" s="17" t="s">
        <v>240</v>
      </c>
      <c r="X638" s="17" t="s">
        <v>2927</v>
      </c>
      <c r="Y638" s="17" t="s">
        <v>242</v>
      </c>
      <c r="Z638" s="19"/>
      <c r="AA638" s="19"/>
      <c r="AB638" s="17"/>
      <c r="AC638" s="19"/>
    </row>
    <row r="639" customFormat="false" ht="22.35" hidden="false" customHeight="false" outlineLevel="0" collapsed="false">
      <c r="A639" s="10" t="s">
        <v>3324</v>
      </c>
      <c r="B639" s="17" t="s">
        <v>112</v>
      </c>
      <c r="C639" s="18" t="s">
        <v>113</v>
      </c>
      <c r="D639" s="17" t="s">
        <v>19</v>
      </c>
      <c r="E639" s="17" t="s">
        <v>75</v>
      </c>
      <c r="F639" s="17" t="s">
        <v>2777</v>
      </c>
      <c r="G639" s="17" t="s">
        <v>114</v>
      </c>
      <c r="H639" s="17" t="s">
        <v>31</v>
      </c>
      <c r="I639" s="17" t="s">
        <v>333</v>
      </c>
      <c r="J639" s="17" t="s">
        <v>233</v>
      </c>
      <c r="K639" s="19"/>
      <c r="L639" s="19"/>
      <c r="M639" s="19"/>
      <c r="N639" s="19"/>
      <c r="O639" s="17" t="n">
        <v>3</v>
      </c>
      <c r="P639" s="18" t="s">
        <v>3316</v>
      </c>
      <c r="Q639" s="18" t="s">
        <v>2933</v>
      </c>
      <c r="R639" s="18" t="s">
        <v>3325</v>
      </c>
      <c r="S639" s="17" t="s">
        <v>3279</v>
      </c>
      <c r="T639" s="18" t="s">
        <v>3091</v>
      </c>
      <c r="U639" s="19"/>
      <c r="V639" s="18" t="s">
        <v>3326</v>
      </c>
      <c r="W639" s="17" t="s">
        <v>240</v>
      </c>
      <c r="X639" s="17" t="s">
        <v>3327</v>
      </c>
      <c r="Y639" s="17" t="s">
        <v>242</v>
      </c>
      <c r="Z639" s="19"/>
      <c r="AA639" s="19"/>
      <c r="AB639" s="17"/>
      <c r="AC639" s="19"/>
    </row>
    <row r="640" customFormat="false" ht="22.35" hidden="false" customHeight="false" outlineLevel="0" collapsed="false">
      <c r="A640" s="10" t="s">
        <v>3328</v>
      </c>
      <c r="B640" s="17" t="s">
        <v>112</v>
      </c>
      <c r="C640" s="18" t="s">
        <v>113</v>
      </c>
      <c r="D640" s="17" t="s">
        <v>19</v>
      </c>
      <c r="E640" s="17" t="s">
        <v>75</v>
      </c>
      <c r="F640" s="17" t="s">
        <v>2777</v>
      </c>
      <c r="G640" s="17" t="s">
        <v>114</v>
      </c>
      <c r="H640" s="17" t="s">
        <v>31</v>
      </c>
      <c r="I640" s="17" t="s">
        <v>333</v>
      </c>
      <c r="J640" s="17" t="s">
        <v>233</v>
      </c>
      <c r="K640" s="19"/>
      <c r="L640" s="19"/>
      <c r="M640" s="19"/>
      <c r="N640" s="19"/>
      <c r="O640" s="17" t="n">
        <v>3</v>
      </c>
      <c r="P640" s="18" t="s">
        <v>3316</v>
      </c>
      <c r="Q640" s="18" t="s">
        <v>2933</v>
      </c>
      <c r="R640" s="18" t="s">
        <v>3329</v>
      </c>
      <c r="S640" s="17" t="s">
        <v>3279</v>
      </c>
      <c r="T640" s="18" t="s">
        <v>3330</v>
      </c>
      <c r="U640" s="19"/>
      <c r="V640" s="18" t="s">
        <v>3331</v>
      </c>
      <c r="W640" s="17" t="s">
        <v>240</v>
      </c>
      <c r="X640" s="17" t="s">
        <v>3332</v>
      </c>
      <c r="Y640" s="17" t="s">
        <v>242</v>
      </c>
      <c r="Z640" s="19"/>
      <c r="AA640" s="19"/>
      <c r="AB640" s="17"/>
      <c r="AC640" s="19"/>
    </row>
    <row r="641" customFormat="false" ht="22.35" hidden="false" customHeight="false" outlineLevel="0" collapsed="false">
      <c r="A641" s="10" t="s">
        <v>3333</v>
      </c>
      <c r="B641" s="17" t="s">
        <v>112</v>
      </c>
      <c r="C641" s="18" t="s">
        <v>113</v>
      </c>
      <c r="D641" s="17" t="s">
        <v>19</v>
      </c>
      <c r="E641" s="17" t="s">
        <v>75</v>
      </c>
      <c r="F641" s="17" t="s">
        <v>2777</v>
      </c>
      <c r="G641" s="17" t="s">
        <v>114</v>
      </c>
      <c r="H641" s="17" t="s">
        <v>31</v>
      </c>
      <c r="I641" s="17" t="s">
        <v>316</v>
      </c>
      <c r="J641" s="17" t="s">
        <v>233</v>
      </c>
      <c r="K641" s="19"/>
      <c r="L641" s="19"/>
      <c r="M641" s="19"/>
      <c r="N641" s="19"/>
      <c r="O641" s="17" t="n">
        <v>3</v>
      </c>
      <c r="P641" s="18" t="s">
        <v>3316</v>
      </c>
      <c r="Q641" s="18" t="s">
        <v>2944</v>
      </c>
      <c r="R641" s="18" t="s">
        <v>3334</v>
      </c>
      <c r="S641" s="17" t="s">
        <v>3279</v>
      </c>
      <c r="T641" s="18" t="s">
        <v>3227</v>
      </c>
      <c r="U641" s="19"/>
      <c r="V641" s="18" t="s">
        <v>3335</v>
      </c>
      <c r="W641" s="17" t="s">
        <v>240</v>
      </c>
      <c r="X641" s="17" t="s">
        <v>2948</v>
      </c>
      <c r="Y641" s="17" t="s">
        <v>242</v>
      </c>
      <c r="Z641" s="19"/>
      <c r="AA641" s="19"/>
      <c r="AB641" s="17"/>
      <c r="AC641" s="19"/>
    </row>
    <row r="642" customFormat="false" ht="22.35" hidden="false" customHeight="false" outlineLevel="0" collapsed="false">
      <c r="A642" s="10" t="s">
        <v>3336</v>
      </c>
      <c r="B642" s="17" t="s">
        <v>112</v>
      </c>
      <c r="C642" s="18" t="s">
        <v>113</v>
      </c>
      <c r="D642" s="17" t="s">
        <v>19</v>
      </c>
      <c r="E642" s="17" t="s">
        <v>229</v>
      </c>
      <c r="F642" s="17" t="s">
        <v>2777</v>
      </c>
      <c r="G642" s="17" t="s">
        <v>114</v>
      </c>
      <c r="H642" s="17" t="s">
        <v>31</v>
      </c>
      <c r="I642" s="17" t="s">
        <v>289</v>
      </c>
      <c r="J642" s="17" t="s">
        <v>233</v>
      </c>
      <c r="K642" s="19"/>
      <c r="L642" s="19"/>
      <c r="M642" s="19"/>
      <c r="N642" s="19"/>
      <c r="O642" s="17" t="n">
        <v>3</v>
      </c>
      <c r="P642" s="18" t="s">
        <v>3316</v>
      </c>
      <c r="Q642" s="18" t="s">
        <v>2950</v>
      </c>
      <c r="R642" s="18" t="s">
        <v>3337</v>
      </c>
      <c r="S642" s="17" t="s">
        <v>3279</v>
      </c>
      <c r="T642" s="18" t="s">
        <v>3106</v>
      </c>
      <c r="U642" s="19"/>
      <c r="V642" s="18" t="s">
        <v>3231</v>
      </c>
      <c r="W642" s="17" t="s">
        <v>240</v>
      </c>
      <c r="X642" s="17" t="s">
        <v>3108</v>
      </c>
      <c r="Y642" s="17" t="s">
        <v>242</v>
      </c>
      <c r="Z642" s="19"/>
      <c r="AA642" s="19"/>
      <c r="AB642" s="17"/>
      <c r="AC642" s="19"/>
    </row>
    <row r="643" customFormat="false" ht="22.35" hidden="false" customHeight="false" outlineLevel="0" collapsed="false">
      <c r="A643" s="10" t="s">
        <v>3338</v>
      </c>
      <c r="B643" s="17" t="s">
        <v>112</v>
      </c>
      <c r="C643" s="18" t="s">
        <v>113</v>
      </c>
      <c r="D643" s="17" t="s">
        <v>19</v>
      </c>
      <c r="E643" s="17" t="s">
        <v>229</v>
      </c>
      <c r="F643" s="17" t="s">
        <v>2777</v>
      </c>
      <c r="G643" s="17" t="s">
        <v>114</v>
      </c>
      <c r="H643" s="17" t="s">
        <v>31</v>
      </c>
      <c r="I643" s="17" t="s">
        <v>289</v>
      </c>
      <c r="J643" s="17" t="s">
        <v>233</v>
      </c>
      <c r="K643" s="19"/>
      <c r="L643" s="19"/>
      <c r="M643" s="19"/>
      <c r="N643" s="19"/>
      <c r="O643" s="17" t="n">
        <v>3</v>
      </c>
      <c r="P643" s="18" t="s">
        <v>3316</v>
      </c>
      <c r="Q643" s="18" t="s">
        <v>2950</v>
      </c>
      <c r="R643" s="18" t="s">
        <v>3339</v>
      </c>
      <c r="S643" s="17" t="s">
        <v>3336</v>
      </c>
      <c r="T643" s="18" t="s">
        <v>3340</v>
      </c>
      <c r="U643" s="19"/>
      <c r="V643" s="18" t="s">
        <v>3341</v>
      </c>
      <c r="W643" s="17" t="s">
        <v>383</v>
      </c>
      <c r="X643" s="17" t="s">
        <v>378</v>
      </c>
      <c r="Y643" s="17" t="s">
        <v>242</v>
      </c>
      <c r="Z643" s="19"/>
      <c r="AA643" s="19"/>
      <c r="AB643" s="17"/>
      <c r="AC643" s="19"/>
    </row>
    <row r="644" customFormat="false" ht="22.35" hidden="false" customHeight="false" outlineLevel="0" collapsed="false">
      <c r="A644" s="10" t="s">
        <v>3342</v>
      </c>
      <c r="B644" s="17" t="s">
        <v>112</v>
      </c>
      <c r="C644" s="18" t="s">
        <v>113</v>
      </c>
      <c r="D644" s="17" t="s">
        <v>19</v>
      </c>
      <c r="E644" s="17" t="s">
        <v>75</v>
      </c>
      <c r="F644" s="17" t="s">
        <v>2777</v>
      </c>
      <c r="G644" s="17" t="s">
        <v>114</v>
      </c>
      <c r="H644" s="17" t="s">
        <v>31</v>
      </c>
      <c r="I644" s="17" t="s">
        <v>369</v>
      </c>
      <c r="J644" s="17" t="s">
        <v>233</v>
      </c>
      <c r="K644" s="19"/>
      <c r="L644" s="19"/>
      <c r="M644" s="19"/>
      <c r="N644" s="19"/>
      <c r="O644" s="17" t="n">
        <v>3</v>
      </c>
      <c r="P644" s="18" t="s">
        <v>3316</v>
      </c>
      <c r="Q644" s="18" t="s">
        <v>2965</v>
      </c>
      <c r="R644" s="18" t="s">
        <v>3343</v>
      </c>
      <c r="S644" s="17" t="s">
        <v>3300</v>
      </c>
      <c r="T644" s="18" t="s">
        <v>2967</v>
      </c>
      <c r="U644" s="19"/>
      <c r="V644" s="18" t="s">
        <v>3344</v>
      </c>
      <c r="W644" s="17" t="s">
        <v>240</v>
      </c>
      <c r="X644" s="17" t="s">
        <v>2969</v>
      </c>
      <c r="Y644" s="17" t="s">
        <v>242</v>
      </c>
      <c r="Z644" s="19"/>
      <c r="AA644" s="19"/>
      <c r="AB644" s="17"/>
      <c r="AC644" s="19"/>
    </row>
    <row r="645" customFormat="false" ht="22.35" hidden="false" customHeight="false" outlineLevel="0" collapsed="false">
      <c r="A645" s="10" t="s">
        <v>3345</v>
      </c>
      <c r="B645" s="17" t="s">
        <v>112</v>
      </c>
      <c r="C645" s="18" t="s">
        <v>113</v>
      </c>
      <c r="D645" s="17" t="s">
        <v>19</v>
      </c>
      <c r="E645" s="17" t="s">
        <v>75</v>
      </c>
      <c r="F645" s="17" t="s">
        <v>2777</v>
      </c>
      <c r="G645" s="17" t="s">
        <v>114</v>
      </c>
      <c r="H645" s="17" t="s">
        <v>31</v>
      </c>
      <c r="I645" s="17" t="s">
        <v>283</v>
      </c>
      <c r="J645" s="17" t="s">
        <v>233</v>
      </c>
      <c r="K645" s="19"/>
      <c r="L645" s="19"/>
      <c r="M645" s="19"/>
      <c r="N645" s="19"/>
      <c r="O645" s="17" t="n">
        <v>3</v>
      </c>
      <c r="P645" s="18" t="s">
        <v>3316</v>
      </c>
      <c r="Q645" s="18" t="s">
        <v>2965</v>
      </c>
      <c r="R645" s="18" t="s">
        <v>3346</v>
      </c>
      <c r="S645" s="17" t="s">
        <v>3347</v>
      </c>
      <c r="T645" s="18" t="s">
        <v>2849</v>
      </c>
      <c r="U645" s="19"/>
      <c r="V645" s="18" t="s">
        <v>3348</v>
      </c>
      <c r="W645" s="17" t="s">
        <v>240</v>
      </c>
      <c r="X645" s="17" t="s">
        <v>2851</v>
      </c>
      <c r="Y645" s="17" t="s">
        <v>242</v>
      </c>
      <c r="Z645" s="19"/>
      <c r="AA645" s="19"/>
      <c r="AB645" s="17"/>
      <c r="AC645" s="19"/>
    </row>
    <row r="646" customFormat="false" ht="22.35" hidden="false" customHeight="false" outlineLevel="0" collapsed="false">
      <c r="A646" s="10" t="s">
        <v>3349</v>
      </c>
      <c r="B646" s="17" t="s">
        <v>77</v>
      </c>
      <c r="C646" s="18" t="s">
        <v>78</v>
      </c>
      <c r="D646" s="17" t="s">
        <v>19</v>
      </c>
      <c r="E646" s="17" t="s">
        <v>75</v>
      </c>
      <c r="F646" s="17" t="s">
        <v>2777</v>
      </c>
      <c r="G646" s="17" t="s">
        <v>79</v>
      </c>
      <c r="H646" s="17" t="s">
        <v>31</v>
      </c>
      <c r="I646" s="17" t="s">
        <v>1028</v>
      </c>
      <c r="J646" s="17" t="s">
        <v>233</v>
      </c>
      <c r="K646" s="19"/>
      <c r="L646" s="19"/>
      <c r="M646" s="19"/>
      <c r="N646" s="19"/>
      <c r="O646" s="17" t="n">
        <v>1</v>
      </c>
      <c r="P646" s="18" t="s">
        <v>3350</v>
      </c>
      <c r="Q646" s="18" t="s">
        <v>3351</v>
      </c>
      <c r="R646" s="18" t="s">
        <v>3352</v>
      </c>
      <c r="S646" s="17" t="s">
        <v>237</v>
      </c>
      <c r="T646" s="18" t="s">
        <v>3353</v>
      </c>
      <c r="U646" s="19"/>
      <c r="V646" s="18" t="s">
        <v>3354</v>
      </c>
      <c r="W646" s="17" t="s">
        <v>240</v>
      </c>
      <c r="X646" s="17" t="s">
        <v>3355</v>
      </c>
      <c r="Y646" s="17" t="s">
        <v>242</v>
      </c>
      <c r="Z646" s="19"/>
      <c r="AA646" s="19"/>
      <c r="AB646" s="17"/>
      <c r="AC646" s="19"/>
    </row>
    <row r="647" customFormat="false" ht="22.35" hidden="false" customHeight="false" outlineLevel="0" collapsed="false">
      <c r="A647" s="10" t="s">
        <v>3356</v>
      </c>
      <c r="B647" s="17" t="s">
        <v>157</v>
      </c>
      <c r="C647" s="18" t="s">
        <v>158</v>
      </c>
      <c r="D647" s="17" t="s">
        <v>19</v>
      </c>
      <c r="E647" s="17" t="s">
        <v>75</v>
      </c>
      <c r="F647" s="17" t="s">
        <v>2777</v>
      </c>
      <c r="G647" s="17" t="s">
        <v>79</v>
      </c>
      <c r="H647" s="17" t="s">
        <v>31</v>
      </c>
      <c r="I647" s="17" t="s">
        <v>1028</v>
      </c>
      <c r="J647" s="17" t="s">
        <v>233</v>
      </c>
      <c r="K647" s="19"/>
      <c r="L647" s="19"/>
      <c r="M647" s="19"/>
      <c r="N647" s="19"/>
      <c r="O647" s="17" t="n">
        <v>1</v>
      </c>
      <c r="P647" s="18" t="s">
        <v>3350</v>
      </c>
      <c r="Q647" s="18" t="s">
        <v>3351</v>
      </c>
      <c r="R647" s="18" t="s">
        <v>3357</v>
      </c>
      <c r="S647" s="17" t="s">
        <v>3349</v>
      </c>
      <c r="T647" s="18" t="s">
        <v>3358</v>
      </c>
      <c r="U647" s="19"/>
      <c r="V647" s="18" t="s">
        <v>3359</v>
      </c>
      <c r="W647" s="17" t="s">
        <v>240</v>
      </c>
      <c r="X647" s="17" t="s">
        <v>3360</v>
      </c>
      <c r="Y647" s="17" t="s">
        <v>242</v>
      </c>
      <c r="Z647" s="19"/>
      <c r="AA647" s="19"/>
      <c r="AB647" s="17"/>
      <c r="AC647" s="19"/>
    </row>
    <row r="648" customFormat="false" ht="22.35" hidden="false" customHeight="false" outlineLevel="0" collapsed="false">
      <c r="A648" s="10" t="s">
        <v>3361</v>
      </c>
      <c r="B648" s="17" t="s">
        <v>77</v>
      </c>
      <c r="C648" s="18" t="s">
        <v>78</v>
      </c>
      <c r="D648" s="17" t="s">
        <v>19</v>
      </c>
      <c r="E648" s="17" t="s">
        <v>75</v>
      </c>
      <c r="F648" s="17" t="s">
        <v>2777</v>
      </c>
      <c r="G648" s="17" t="s">
        <v>79</v>
      </c>
      <c r="H648" s="17" t="s">
        <v>31</v>
      </c>
      <c r="I648" s="17" t="s">
        <v>1028</v>
      </c>
      <c r="J648" s="17" t="s">
        <v>233</v>
      </c>
      <c r="K648" s="19"/>
      <c r="L648" s="19"/>
      <c r="M648" s="19"/>
      <c r="N648" s="19"/>
      <c r="O648" s="17" t="n">
        <v>1</v>
      </c>
      <c r="P648" s="18" t="s">
        <v>3350</v>
      </c>
      <c r="Q648" s="18" t="s">
        <v>3351</v>
      </c>
      <c r="R648" s="18" t="s">
        <v>3362</v>
      </c>
      <c r="S648" s="17" t="s">
        <v>3356</v>
      </c>
      <c r="T648" s="18" t="s">
        <v>3363</v>
      </c>
      <c r="U648" s="19"/>
      <c r="V648" s="18" t="s">
        <v>3364</v>
      </c>
      <c r="W648" s="17" t="s">
        <v>240</v>
      </c>
      <c r="X648" s="17" t="s">
        <v>3365</v>
      </c>
      <c r="Y648" s="17" t="s">
        <v>242</v>
      </c>
      <c r="Z648" s="19"/>
      <c r="AA648" s="19"/>
      <c r="AB648" s="17"/>
      <c r="AC648" s="19"/>
    </row>
    <row r="649" customFormat="false" ht="22.35" hidden="false" customHeight="false" outlineLevel="0" collapsed="false">
      <c r="A649" s="10" t="s">
        <v>3366</v>
      </c>
      <c r="B649" s="17" t="s">
        <v>77</v>
      </c>
      <c r="C649" s="18" t="s">
        <v>78</v>
      </c>
      <c r="D649" s="17" t="s">
        <v>19</v>
      </c>
      <c r="E649" s="17" t="s">
        <v>75</v>
      </c>
      <c r="F649" s="17" t="s">
        <v>2777</v>
      </c>
      <c r="G649" s="17" t="s">
        <v>79</v>
      </c>
      <c r="H649" s="17" t="s">
        <v>31</v>
      </c>
      <c r="I649" s="17" t="s">
        <v>1028</v>
      </c>
      <c r="J649" s="17" t="s">
        <v>233</v>
      </c>
      <c r="K649" s="19"/>
      <c r="L649" s="19"/>
      <c r="M649" s="19"/>
      <c r="N649" s="19"/>
      <c r="O649" s="17" t="n">
        <v>1</v>
      </c>
      <c r="P649" s="18" t="s">
        <v>3350</v>
      </c>
      <c r="Q649" s="18" t="s">
        <v>3351</v>
      </c>
      <c r="R649" s="18" t="s">
        <v>3367</v>
      </c>
      <c r="S649" s="17" t="s">
        <v>3356</v>
      </c>
      <c r="T649" s="18" t="s">
        <v>3368</v>
      </c>
      <c r="U649" s="19"/>
      <c r="V649" s="18" t="s">
        <v>3369</v>
      </c>
      <c r="W649" s="17" t="s">
        <v>240</v>
      </c>
      <c r="X649" s="17" t="s">
        <v>3370</v>
      </c>
      <c r="Y649" s="17" t="s">
        <v>242</v>
      </c>
      <c r="Z649" s="19"/>
      <c r="AA649" s="19"/>
      <c r="AB649" s="17"/>
      <c r="AC649" s="19"/>
    </row>
    <row r="650" customFormat="false" ht="22.35" hidden="false" customHeight="false" outlineLevel="0" collapsed="false">
      <c r="A650" s="10" t="s">
        <v>3371</v>
      </c>
      <c r="B650" s="17" t="s">
        <v>77</v>
      </c>
      <c r="C650" s="18" t="s">
        <v>78</v>
      </c>
      <c r="D650" s="17" t="s">
        <v>19</v>
      </c>
      <c r="E650" s="17" t="s">
        <v>75</v>
      </c>
      <c r="F650" s="17" t="s">
        <v>2777</v>
      </c>
      <c r="G650" s="17" t="s">
        <v>79</v>
      </c>
      <c r="H650" s="17" t="s">
        <v>31</v>
      </c>
      <c r="I650" s="17" t="s">
        <v>283</v>
      </c>
      <c r="J650" s="17" t="s">
        <v>233</v>
      </c>
      <c r="K650" s="19"/>
      <c r="L650" s="19"/>
      <c r="M650" s="19"/>
      <c r="N650" s="19"/>
      <c r="O650" s="17" t="n">
        <v>1</v>
      </c>
      <c r="P650" s="18" t="s">
        <v>3350</v>
      </c>
      <c r="Q650" s="18" t="s">
        <v>3351</v>
      </c>
      <c r="R650" s="18" t="s">
        <v>3372</v>
      </c>
      <c r="S650" s="17" t="s">
        <v>3366</v>
      </c>
      <c r="T650" s="18" t="s">
        <v>2849</v>
      </c>
      <c r="U650" s="19"/>
      <c r="V650" s="18" t="s">
        <v>3373</v>
      </c>
      <c r="W650" s="17" t="s">
        <v>240</v>
      </c>
      <c r="X650" s="17" t="s">
        <v>2851</v>
      </c>
      <c r="Y650" s="17" t="s">
        <v>242</v>
      </c>
      <c r="Z650" s="19"/>
      <c r="AA650" s="19"/>
      <c r="AB650" s="17"/>
      <c r="AC650" s="19"/>
    </row>
    <row r="651" customFormat="false" ht="32.8" hidden="false" customHeight="false" outlineLevel="0" collapsed="false">
      <c r="A651" s="10" t="s">
        <v>3374</v>
      </c>
      <c r="B651" s="17" t="s">
        <v>77</v>
      </c>
      <c r="C651" s="18" t="s">
        <v>78</v>
      </c>
      <c r="D651" s="17" t="s">
        <v>19</v>
      </c>
      <c r="E651" s="17" t="s">
        <v>75</v>
      </c>
      <c r="F651" s="17" t="s">
        <v>2777</v>
      </c>
      <c r="G651" s="17" t="s">
        <v>79</v>
      </c>
      <c r="H651" s="17" t="s">
        <v>31</v>
      </c>
      <c r="I651" s="17" t="s">
        <v>1028</v>
      </c>
      <c r="J651" s="17" t="s">
        <v>233</v>
      </c>
      <c r="K651" s="19"/>
      <c r="L651" s="19"/>
      <c r="M651" s="19"/>
      <c r="N651" s="19"/>
      <c r="O651" s="17" t="n">
        <v>4</v>
      </c>
      <c r="P651" s="18" t="s">
        <v>3375</v>
      </c>
      <c r="Q651" s="18" t="s">
        <v>3376</v>
      </c>
      <c r="R651" s="18" t="s">
        <v>3377</v>
      </c>
      <c r="S651" s="17" t="s">
        <v>3378</v>
      </c>
      <c r="T651" s="18" t="s">
        <v>3379</v>
      </c>
      <c r="U651" s="19"/>
      <c r="V651" s="18" t="s">
        <v>3380</v>
      </c>
      <c r="W651" s="17" t="s">
        <v>240</v>
      </c>
      <c r="X651" s="17" t="s">
        <v>3381</v>
      </c>
      <c r="Y651" s="17" t="s">
        <v>242</v>
      </c>
      <c r="Z651" s="19"/>
      <c r="AA651" s="19"/>
      <c r="AB651" s="17"/>
      <c r="AC651" s="19"/>
    </row>
    <row r="652" customFormat="false" ht="32.8" hidden="false" customHeight="false" outlineLevel="0" collapsed="false">
      <c r="A652" s="10" t="s">
        <v>3382</v>
      </c>
      <c r="B652" s="17" t="s">
        <v>77</v>
      </c>
      <c r="C652" s="18" t="s">
        <v>78</v>
      </c>
      <c r="D652" s="17" t="s">
        <v>19</v>
      </c>
      <c r="E652" s="17" t="s">
        <v>75</v>
      </c>
      <c r="F652" s="17" t="s">
        <v>2777</v>
      </c>
      <c r="G652" s="17" t="s">
        <v>79</v>
      </c>
      <c r="H652" s="17" t="s">
        <v>31</v>
      </c>
      <c r="I652" s="17" t="s">
        <v>450</v>
      </c>
      <c r="J652" s="17" t="s">
        <v>233</v>
      </c>
      <c r="K652" s="19"/>
      <c r="L652" s="19"/>
      <c r="M652" s="19"/>
      <c r="N652" s="19"/>
      <c r="O652" s="17" t="n">
        <v>4</v>
      </c>
      <c r="P652" s="18" t="s">
        <v>3375</v>
      </c>
      <c r="Q652" s="18" t="s">
        <v>3376</v>
      </c>
      <c r="R652" s="18" t="s">
        <v>3383</v>
      </c>
      <c r="S652" s="17" t="s">
        <v>3374</v>
      </c>
      <c r="T652" s="18" t="s">
        <v>3384</v>
      </c>
      <c r="U652" s="19"/>
      <c r="V652" s="18" t="s">
        <v>3385</v>
      </c>
      <c r="W652" s="17" t="s">
        <v>240</v>
      </c>
      <c r="X652" s="17" t="s">
        <v>3386</v>
      </c>
      <c r="Y652" s="17" t="s">
        <v>242</v>
      </c>
      <c r="Z652" s="19"/>
      <c r="AA652" s="19"/>
      <c r="AB652" s="17"/>
      <c r="AC652" s="19"/>
    </row>
    <row r="653" customFormat="false" ht="22.35" hidden="false" customHeight="false" outlineLevel="0" collapsed="false">
      <c r="A653" s="10" t="s">
        <v>3387</v>
      </c>
      <c r="B653" s="17" t="s">
        <v>77</v>
      </c>
      <c r="C653" s="18" t="s">
        <v>78</v>
      </c>
      <c r="D653" s="17" t="s">
        <v>19</v>
      </c>
      <c r="E653" s="17" t="s">
        <v>75</v>
      </c>
      <c r="F653" s="17" t="s">
        <v>2777</v>
      </c>
      <c r="G653" s="17" t="s">
        <v>79</v>
      </c>
      <c r="H653" s="17" t="s">
        <v>31</v>
      </c>
      <c r="I653" s="17" t="s">
        <v>1028</v>
      </c>
      <c r="J653" s="17" t="s">
        <v>233</v>
      </c>
      <c r="K653" s="19"/>
      <c r="L653" s="19"/>
      <c r="M653" s="19"/>
      <c r="N653" s="19"/>
      <c r="O653" s="17" t="n">
        <v>5</v>
      </c>
      <c r="P653" s="18" t="s">
        <v>3375</v>
      </c>
      <c r="Q653" s="18" t="s">
        <v>3376</v>
      </c>
      <c r="R653" s="18" t="s">
        <v>3388</v>
      </c>
      <c r="S653" s="17" t="s">
        <v>3382</v>
      </c>
      <c r="T653" s="18" t="s">
        <v>3389</v>
      </c>
      <c r="U653" s="19"/>
      <c r="V653" s="18" t="s">
        <v>3390</v>
      </c>
      <c r="W653" s="17" t="s">
        <v>240</v>
      </c>
      <c r="X653" s="17" t="s">
        <v>3391</v>
      </c>
      <c r="Y653" s="17" t="s">
        <v>242</v>
      </c>
      <c r="Z653" s="19"/>
      <c r="AA653" s="19"/>
      <c r="AB653" s="17"/>
      <c r="AC653" s="19"/>
    </row>
    <row r="654" customFormat="false" ht="22.35" hidden="false" customHeight="false" outlineLevel="0" collapsed="false">
      <c r="A654" s="10" t="s">
        <v>3392</v>
      </c>
      <c r="B654" s="17" t="s">
        <v>77</v>
      </c>
      <c r="C654" s="18" t="s">
        <v>78</v>
      </c>
      <c r="D654" s="17" t="s">
        <v>19</v>
      </c>
      <c r="E654" s="17" t="s">
        <v>75</v>
      </c>
      <c r="F654" s="17" t="s">
        <v>2777</v>
      </c>
      <c r="G654" s="17" t="s">
        <v>79</v>
      </c>
      <c r="H654" s="17" t="s">
        <v>31</v>
      </c>
      <c r="I654" s="17" t="s">
        <v>283</v>
      </c>
      <c r="J654" s="17" t="s">
        <v>233</v>
      </c>
      <c r="K654" s="19"/>
      <c r="L654" s="19"/>
      <c r="M654" s="19"/>
      <c r="N654" s="19"/>
      <c r="O654" s="17" t="n">
        <v>5</v>
      </c>
      <c r="P654" s="18" t="s">
        <v>3375</v>
      </c>
      <c r="Q654" s="18" t="s">
        <v>3376</v>
      </c>
      <c r="R654" s="18" t="s">
        <v>3393</v>
      </c>
      <c r="S654" s="17" t="s">
        <v>3387</v>
      </c>
      <c r="T654" s="18" t="s">
        <v>2849</v>
      </c>
      <c r="U654" s="19"/>
      <c r="V654" s="18" t="s">
        <v>3394</v>
      </c>
      <c r="W654" s="17" t="s">
        <v>240</v>
      </c>
      <c r="X654" s="17" t="s">
        <v>2851</v>
      </c>
      <c r="Y654" s="17" t="s">
        <v>242</v>
      </c>
      <c r="Z654" s="19"/>
      <c r="AA654" s="19"/>
      <c r="AB654" s="17"/>
      <c r="AC654" s="19"/>
    </row>
    <row r="655" customFormat="false" ht="22.35" hidden="false" customHeight="false" outlineLevel="0" collapsed="false">
      <c r="A655" s="10" t="s">
        <v>3395</v>
      </c>
      <c r="B655" s="17" t="s">
        <v>91</v>
      </c>
      <c r="C655" s="18" t="s">
        <v>92</v>
      </c>
      <c r="D655" s="17" t="s">
        <v>19</v>
      </c>
      <c r="E655" s="17" t="s">
        <v>75</v>
      </c>
      <c r="F655" s="17" t="s">
        <v>2777</v>
      </c>
      <c r="G655" s="17" t="s">
        <v>79</v>
      </c>
      <c r="H655" s="17" t="s">
        <v>31</v>
      </c>
      <c r="I655" s="17" t="s">
        <v>1028</v>
      </c>
      <c r="J655" s="17" t="s">
        <v>233</v>
      </c>
      <c r="K655" s="19"/>
      <c r="L655" s="19"/>
      <c r="M655" s="19"/>
      <c r="N655" s="19"/>
      <c r="O655" s="17" t="n">
        <v>4</v>
      </c>
      <c r="P655" s="18" t="s">
        <v>3396</v>
      </c>
      <c r="Q655" s="18" t="s">
        <v>3397</v>
      </c>
      <c r="R655" s="18" t="s">
        <v>3398</v>
      </c>
      <c r="S655" s="17" t="s">
        <v>3356</v>
      </c>
      <c r="T655" s="18" t="s">
        <v>3399</v>
      </c>
      <c r="U655" s="19"/>
      <c r="V655" s="18" t="s">
        <v>3400</v>
      </c>
      <c r="W655" s="17" t="s">
        <v>240</v>
      </c>
      <c r="X655" s="17" t="s">
        <v>3401</v>
      </c>
      <c r="Y655" s="17" t="s">
        <v>242</v>
      </c>
      <c r="Z655" s="19"/>
      <c r="AA655" s="19"/>
      <c r="AB655" s="17"/>
      <c r="AC655" s="19"/>
    </row>
    <row r="656" customFormat="false" ht="22.35" hidden="false" customHeight="false" outlineLevel="0" collapsed="false">
      <c r="A656" s="10" t="s">
        <v>3402</v>
      </c>
      <c r="B656" s="17" t="s">
        <v>91</v>
      </c>
      <c r="C656" s="18" t="s">
        <v>92</v>
      </c>
      <c r="D656" s="17" t="s">
        <v>19</v>
      </c>
      <c r="E656" s="17" t="s">
        <v>75</v>
      </c>
      <c r="F656" s="17" t="s">
        <v>2777</v>
      </c>
      <c r="G656" s="17" t="s">
        <v>79</v>
      </c>
      <c r="H656" s="17" t="s">
        <v>31</v>
      </c>
      <c r="I656" s="17" t="s">
        <v>1028</v>
      </c>
      <c r="J656" s="17" t="s">
        <v>233</v>
      </c>
      <c r="K656" s="19"/>
      <c r="L656" s="19"/>
      <c r="M656" s="19"/>
      <c r="N656" s="19"/>
      <c r="O656" s="17" t="n">
        <v>4</v>
      </c>
      <c r="P656" s="18" t="s">
        <v>3396</v>
      </c>
      <c r="Q656" s="18" t="s">
        <v>3397</v>
      </c>
      <c r="R656" s="18" t="s">
        <v>3403</v>
      </c>
      <c r="S656" s="17" t="s">
        <v>3404</v>
      </c>
      <c r="T656" s="18" t="s">
        <v>3405</v>
      </c>
      <c r="U656" s="19"/>
      <c r="V656" s="18" t="s">
        <v>3406</v>
      </c>
      <c r="W656" s="17" t="s">
        <v>240</v>
      </c>
      <c r="X656" s="17" t="s">
        <v>3407</v>
      </c>
      <c r="Y656" s="17" t="s">
        <v>242</v>
      </c>
      <c r="Z656" s="19"/>
      <c r="AA656" s="19"/>
      <c r="AB656" s="17"/>
      <c r="AC656" s="19"/>
    </row>
    <row r="657" customFormat="false" ht="22.35" hidden="false" customHeight="false" outlineLevel="0" collapsed="false">
      <c r="A657" s="10" t="s">
        <v>3408</v>
      </c>
      <c r="B657" s="17" t="s">
        <v>91</v>
      </c>
      <c r="C657" s="18" t="s">
        <v>92</v>
      </c>
      <c r="D657" s="17" t="s">
        <v>19</v>
      </c>
      <c r="E657" s="17" t="s">
        <v>75</v>
      </c>
      <c r="F657" s="17" t="s">
        <v>2777</v>
      </c>
      <c r="G657" s="17" t="s">
        <v>79</v>
      </c>
      <c r="H657" s="17" t="s">
        <v>31</v>
      </c>
      <c r="I657" s="17" t="s">
        <v>1028</v>
      </c>
      <c r="J657" s="17" t="s">
        <v>233</v>
      </c>
      <c r="K657" s="19"/>
      <c r="L657" s="19"/>
      <c r="M657" s="19"/>
      <c r="N657" s="19"/>
      <c r="O657" s="17" t="n">
        <v>5</v>
      </c>
      <c r="P657" s="18" t="s">
        <v>3396</v>
      </c>
      <c r="Q657" s="18" t="s">
        <v>3397</v>
      </c>
      <c r="R657" s="18" t="s">
        <v>3409</v>
      </c>
      <c r="S657" s="17" t="s">
        <v>3402</v>
      </c>
      <c r="T657" s="18" t="s">
        <v>3410</v>
      </c>
      <c r="U657" s="19"/>
      <c r="V657" s="18" t="s">
        <v>3411</v>
      </c>
      <c r="W657" s="17" t="s">
        <v>240</v>
      </c>
      <c r="X657" s="17" t="s">
        <v>3412</v>
      </c>
      <c r="Y657" s="17" t="s">
        <v>242</v>
      </c>
      <c r="Z657" s="19"/>
      <c r="AA657" s="19"/>
      <c r="AB657" s="17"/>
      <c r="AC657" s="19"/>
    </row>
    <row r="658" customFormat="false" ht="32.8" hidden="false" customHeight="false" outlineLevel="0" collapsed="false">
      <c r="A658" s="10" t="s">
        <v>3413</v>
      </c>
      <c r="B658" s="17" t="s">
        <v>157</v>
      </c>
      <c r="C658" s="18" t="s">
        <v>158</v>
      </c>
      <c r="D658" s="17" t="s">
        <v>19</v>
      </c>
      <c r="E658" s="17" t="s">
        <v>75</v>
      </c>
      <c r="F658" s="17" t="s">
        <v>2777</v>
      </c>
      <c r="G658" s="17" t="s">
        <v>79</v>
      </c>
      <c r="H658" s="17" t="s">
        <v>31</v>
      </c>
      <c r="I658" s="17" t="s">
        <v>1028</v>
      </c>
      <c r="J658" s="17" t="s">
        <v>233</v>
      </c>
      <c r="K658" s="19"/>
      <c r="L658" s="19"/>
      <c r="M658" s="19"/>
      <c r="N658" s="19"/>
      <c r="O658" s="17" t="n">
        <v>5</v>
      </c>
      <c r="P658" s="18" t="s">
        <v>3396</v>
      </c>
      <c r="Q658" s="18" t="s">
        <v>3397</v>
      </c>
      <c r="R658" s="18" t="s">
        <v>3414</v>
      </c>
      <c r="S658" s="17" t="s">
        <v>3415</v>
      </c>
      <c r="T658" s="18" t="s">
        <v>3416</v>
      </c>
      <c r="U658" s="19"/>
      <c r="V658" s="18" t="s">
        <v>3417</v>
      </c>
      <c r="W658" s="17" t="s">
        <v>240</v>
      </c>
      <c r="X658" s="17" t="s">
        <v>3418</v>
      </c>
      <c r="Y658" s="17" t="s">
        <v>242</v>
      </c>
      <c r="Z658" s="19"/>
      <c r="AA658" s="19"/>
      <c r="AB658" s="17"/>
      <c r="AC658" s="19"/>
    </row>
    <row r="659" customFormat="false" ht="22.35" hidden="false" customHeight="false" outlineLevel="0" collapsed="false">
      <c r="A659" s="10" t="s">
        <v>3419</v>
      </c>
      <c r="B659" s="17" t="s">
        <v>91</v>
      </c>
      <c r="C659" s="18" t="s">
        <v>92</v>
      </c>
      <c r="D659" s="17" t="s">
        <v>19</v>
      </c>
      <c r="E659" s="17" t="s">
        <v>75</v>
      </c>
      <c r="F659" s="17" t="s">
        <v>2777</v>
      </c>
      <c r="G659" s="17" t="s">
        <v>79</v>
      </c>
      <c r="H659" s="17" t="s">
        <v>31</v>
      </c>
      <c r="I659" s="17" t="s">
        <v>283</v>
      </c>
      <c r="J659" s="17" t="s">
        <v>233</v>
      </c>
      <c r="K659" s="19"/>
      <c r="L659" s="19"/>
      <c r="M659" s="19"/>
      <c r="N659" s="19"/>
      <c r="O659" s="17" t="n">
        <v>5</v>
      </c>
      <c r="P659" s="18" t="s">
        <v>3396</v>
      </c>
      <c r="Q659" s="18" t="s">
        <v>3397</v>
      </c>
      <c r="R659" s="18" t="s">
        <v>3420</v>
      </c>
      <c r="S659" s="17" t="s">
        <v>3421</v>
      </c>
      <c r="T659" s="18" t="s">
        <v>2849</v>
      </c>
      <c r="U659" s="19"/>
      <c r="V659" s="18" t="s">
        <v>3422</v>
      </c>
      <c r="W659" s="17" t="s">
        <v>240</v>
      </c>
      <c r="X659" s="17" t="s">
        <v>2851</v>
      </c>
      <c r="Y659" s="17" t="s">
        <v>242</v>
      </c>
      <c r="Z659" s="19"/>
      <c r="AA659" s="19"/>
      <c r="AB659" s="17"/>
      <c r="AC659" s="19"/>
    </row>
    <row r="660" customFormat="false" ht="22.35" hidden="false" customHeight="false" outlineLevel="0" collapsed="false">
      <c r="A660" s="10" t="s">
        <v>3423</v>
      </c>
      <c r="B660" s="17" t="s">
        <v>97</v>
      </c>
      <c r="C660" s="18" t="s">
        <v>98</v>
      </c>
      <c r="D660" s="17" t="s">
        <v>19</v>
      </c>
      <c r="E660" s="17" t="s">
        <v>229</v>
      </c>
      <c r="F660" s="17" t="s">
        <v>3424</v>
      </c>
      <c r="G660" s="17" t="s">
        <v>99</v>
      </c>
      <c r="H660" s="17" t="s">
        <v>33</v>
      </c>
      <c r="I660" s="17" t="s">
        <v>232</v>
      </c>
      <c r="J660" s="17" t="s">
        <v>233</v>
      </c>
      <c r="K660" s="19"/>
      <c r="L660" s="19"/>
      <c r="M660" s="19"/>
      <c r="N660" s="19"/>
      <c r="O660" s="17" t="n">
        <v>0</v>
      </c>
      <c r="P660" s="18" t="s">
        <v>3425</v>
      </c>
      <c r="Q660" s="18" t="s">
        <v>3426</v>
      </c>
      <c r="R660" s="18" t="s">
        <v>3427</v>
      </c>
      <c r="S660" s="17" t="s">
        <v>3428</v>
      </c>
      <c r="T660" s="18" t="s">
        <v>3429</v>
      </c>
      <c r="U660" s="19"/>
      <c r="V660" s="18" t="s">
        <v>3430</v>
      </c>
      <c r="W660" s="17" t="s">
        <v>240</v>
      </c>
      <c r="X660" s="17" t="s">
        <v>3431</v>
      </c>
      <c r="Y660" s="17" t="s">
        <v>242</v>
      </c>
      <c r="Z660" s="19"/>
      <c r="AA660" s="19"/>
      <c r="AB660" s="17"/>
      <c r="AC660" s="19"/>
    </row>
    <row r="661" customFormat="false" ht="22.35" hidden="false" customHeight="false" outlineLevel="0" collapsed="false">
      <c r="A661" s="10" t="s">
        <v>3432</v>
      </c>
      <c r="B661" s="17" t="s">
        <v>97</v>
      </c>
      <c r="C661" s="18" t="s">
        <v>98</v>
      </c>
      <c r="D661" s="17" t="s">
        <v>19</v>
      </c>
      <c r="E661" s="17" t="s">
        <v>229</v>
      </c>
      <c r="F661" s="17" t="s">
        <v>3424</v>
      </c>
      <c r="G661" s="17" t="s">
        <v>99</v>
      </c>
      <c r="H661" s="17" t="s">
        <v>33</v>
      </c>
      <c r="I661" s="17" t="s">
        <v>232</v>
      </c>
      <c r="J661" s="17" t="s">
        <v>233</v>
      </c>
      <c r="K661" s="19"/>
      <c r="L661" s="19"/>
      <c r="M661" s="19"/>
      <c r="N661" s="19"/>
      <c r="O661" s="17" t="n">
        <v>0</v>
      </c>
      <c r="P661" s="18" t="s">
        <v>3425</v>
      </c>
      <c r="Q661" s="18" t="s">
        <v>3426</v>
      </c>
      <c r="R661" s="18" t="s">
        <v>3433</v>
      </c>
      <c r="S661" s="17" t="s">
        <v>2852</v>
      </c>
      <c r="T661" s="18" t="s">
        <v>2076</v>
      </c>
      <c r="U661" s="19"/>
      <c r="V661" s="18" t="s">
        <v>2086</v>
      </c>
      <c r="W661" s="17" t="s">
        <v>240</v>
      </c>
      <c r="X661" s="17" t="s">
        <v>3434</v>
      </c>
      <c r="Y661" s="17" t="s">
        <v>242</v>
      </c>
      <c r="Z661" s="19"/>
      <c r="AA661" s="19"/>
      <c r="AB661" s="17"/>
      <c r="AC661" s="19"/>
    </row>
    <row r="662" customFormat="false" ht="22.35" hidden="false" customHeight="false" outlineLevel="0" collapsed="false">
      <c r="A662" s="10" t="s">
        <v>3435</v>
      </c>
      <c r="B662" s="17" t="s">
        <v>97</v>
      </c>
      <c r="C662" s="18" t="s">
        <v>98</v>
      </c>
      <c r="D662" s="17" t="s">
        <v>19</v>
      </c>
      <c r="E662" s="17" t="s">
        <v>229</v>
      </c>
      <c r="F662" s="17" t="s">
        <v>3424</v>
      </c>
      <c r="G662" s="17" t="s">
        <v>99</v>
      </c>
      <c r="H662" s="17" t="s">
        <v>33</v>
      </c>
      <c r="I662" s="17" t="s">
        <v>232</v>
      </c>
      <c r="J662" s="17" t="s">
        <v>233</v>
      </c>
      <c r="K662" s="19"/>
      <c r="L662" s="19"/>
      <c r="M662" s="19"/>
      <c r="N662" s="19"/>
      <c r="O662" s="17" t="n">
        <v>0</v>
      </c>
      <c r="P662" s="18" t="s">
        <v>3425</v>
      </c>
      <c r="Q662" s="18" t="s">
        <v>3426</v>
      </c>
      <c r="R662" s="18" t="s">
        <v>3436</v>
      </c>
      <c r="S662" s="17" t="s">
        <v>3432</v>
      </c>
      <c r="T662" s="18" t="s">
        <v>3437</v>
      </c>
      <c r="U662" s="19"/>
      <c r="V662" s="18" t="s">
        <v>3438</v>
      </c>
      <c r="W662" s="17" t="s">
        <v>240</v>
      </c>
      <c r="X662" s="17" t="s">
        <v>3439</v>
      </c>
      <c r="Y662" s="17" t="s">
        <v>242</v>
      </c>
      <c r="Z662" s="19"/>
      <c r="AA662" s="19"/>
      <c r="AB662" s="17"/>
      <c r="AC662" s="19"/>
    </row>
    <row r="663" customFormat="false" ht="32.8" hidden="false" customHeight="false" outlineLevel="0" collapsed="false">
      <c r="A663" s="10" t="s">
        <v>3440</v>
      </c>
      <c r="B663" s="17" t="s">
        <v>97</v>
      </c>
      <c r="C663" s="18" t="s">
        <v>98</v>
      </c>
      <c r="D663" s="17" t="s">
        <v>19</v>
      </c>
      <c r="E663" s="17" t="s">
        <v>229</v>
      </c>
      <c r="F663" s="17" t="s">
        <v>3424</v>
      </c>
      <c r="G663" s="17" t="s">
        <v>99</v>
      </c>
      <c r="H663" s="17" t="s">
        <v>33</v>
      </c>
      <c r="I663" s="17" t="s">
        <v>928</v>
      </c>
      <c r="J663" s="17" t="s">
        <v>233</v>
      </c>
      <c r="K663" s="19"/>
      <c r="L663" s="19"/>
      <c r="M663" s="19"/>
      <c r="N663" s="19"/>
      <c r="O663" s="17" t="n">
        <v>0</v>
      </c>
      <c r="P663" s="18" t="s">
        <v>3425</v>
      </c>
      <c r="Q663" s="18" t="s">
        <v>3426</v>
      </c>
      <c r="R663" s="18" t="s">
        <v>3441</v>
      </c>
      <c r="S663" s="17" t="s">
        <v>237</v>
      </c>
      <c r="T663" s="18" t="s">
        <v>2272</v>
      </c>
      <c r="U663" s="19"/>
      <c r="V663" s="18" t="s">
        <v>3442</v>
      </c>
      <c r="W663" s="17" t="s">
        <v>240</v>
      </c>
      <c r="X663" s="17" t="s">
        <v>3443</v>
      </c>
      <c r="Y663" s="17" t="s">
        <v>242</v>
      </c>
      <c r="Z663" s="19"/>
      <c r="AA663" s="19"/>
      <c r="AB663" s="17"/>
      <c r="AC663" s="19"/>
    </row>
    <row r="664" customFormat="false" ht="22.35" hidden="false" customHeight="false" outlineLevel="0" collapsed="false">
      <c r="A664" s="10" t="s">
        <v>3444</v>
      </c>
      <c r="B664" s="17" t="s">
        <v>97</v>
      </c>
      <c r="C664" s="18" t="s">
        <v>98</v>
      </c>
      <c r="D664" s="17" t="s">
        <v>19</v>
      </c>
      <c r="E664" s="17" t="s">
        <v>229</v>
      </c>
      <c r="F664" s="17" t="s">
        <v>3424</v>
      </c>
      <c r="G664" s="17" t="s">
        <v>99</v>
      </c>
      <c r="H664" s="17" t="s">
        <v>33</v>
      </c>
      <c r="I664" s="17" t="s">
        <v>232</v>
      </c>
      <c r="J664" s="17" t="s">
        <v>233</v>
      </c>
      <c r="K664" s="19"/>
      <c r="L664" s="19"/>
      <c r="M664" s="19"/>
      <c r="N664" s="19"/>
      <c r="O664" s="17" t="n">
        <v>0</v>
      </c>
      <c r="P664" s="18" t="s">
        <v>3425</v>
      </c>
      <c r="Q664" s="18" t="s">
        <v>3426</v>
      </c>
      <c r="R664" s="18" t="s">
        <v>3445</v>
      </c>
      <c r="S664" s="17" t="s">
        <v>237</v>
      </c>
      <c r="T664" s="18" t="s">
        <v>2272</v>
      </c>
      <c r="U664" s="19"/>
      <c r="V664" s="18" t="s">
        <v>3446</v>
      </c>
      <c r="W664" s="17" t="s">
        <v>240</v>
      </c>
      <c r="X664" s="17" t="s">
        <v>3447</v>
      </c>
      <c r="Y664" s="17" t="s">
        <v>242</v>
      </c>
      <c r="Z664" s="19"/>
      <c r="AA664" s="19"/>
      <c r="AB664" s="17"/>
      <c r="AC664" s="19"/>
    </row>
    <row r="665" customFormat="false" ht="22.35" hidden="false" customHeight="false" outlineLevel="0" collapsed="false">
      <c r="A665" s="10" t="s">
        <v>3448</v>
      </c>
      <c r="B665" s="17" t="s">
        <v>97</v>
      </c>
      <c r="C665" s="18" t="s">
        <v>98</v>
      </c>
      <c r="D665" s="17" t="s">
        <v>19</v>
      </c>
      <c r="E665" s="17" t="s">
        <v>229</v>
      </c>
      <c r="F665" s="17" t="s">
        <v>3424</v>
      </c>
      <c r="G665" s="17" t="s">
        <v>99</v>
      </c>
      <c r="H665" s="17" t="s">
        <v>33</v>
      </c>
      <c r="I665" s="17" t="s">
        <v>928</v>
      </c>
      <c r="J665" s="17" t="s">
        <v>233</v>
      </c>
      <c r="K665" s="19"/>
      <c r="L665" s="19"/>
      <c r="M665" s="19"/>
      <c r="N665" s="19"/>
      <c r="O665" s="17" t="n">
        <v>0</v>
      </c>
      <c r="P665" s="18" t="s">
        <v>3425</v>
      </c>
      <c r="Q665" s="18" t="s">
        <v>3426</v>
      </c>
      <c r="R665" s="18" t="s">
        <v>3449</v>
      </c>
      <c r="S665" s="17" t="s">
        <v>237</v>
      </c>
      <c r="T665" s="18" t="s">
        <v>3450</v>
      </c>
      <c r="U665" s="19"/>
      <c r="V665" s="18" t="s">
        <v>3451</v>
      </c>
      <c r="W665" s="17" t="s">
        <v>240</v>
      </c>
      <c r="X665" s="17" t="s">
        <v>3452</v>
      </c>
      <c r="Y665" s="17" t="s">
        <v>242</v>
      </c>
      <c r="Z665" s="19"/>
      <c r="AA665" s="19"/>
      <c r="AB665" s="17"/>
      <c r="AC665" s="19"/>
    </row>
    <row r="666" customFormat="false" ht="22.35" hidden="false" customHeight="false" outlineLevel="0" collapsed="false">
      <c r="A666" s="10" t="s">
        <v>3453</v>
      </c>
      <c r="B666" s="17" t="s">
        <v>97</v>
      </c>
      <c r="C666" s="18" t="s">
        <v>98</v>
      </c>
      <c r="D666" s="17" t="s">
        <v>19</v>
      </c>
      <c r="E666" s="17" t="s">
        <v>229</v>
      </c>
      <c r="F666" s="17" t="s">
        <v>3424</v>
      </c>
      <c r="G666" s="17" t="s">
        <v>99</v>
      </c>
      <c r="H666" s="17" t="s">
        <v>33</v>
      </c>
      <c r="I666" s="17" t="s">
        <v>1786</v>
      </c>
      <c r="J666" s="17" t="s">
        <v>233</v>
      </c>
      <c r="K666" s="19"/>
      <c r="L666" s="19"/>
      <c r="M666" s="19"/>
      <c r="N666" s="19"/>
      <c r="O666" s="17" t="n">
        <v>0</v>
      </c>
      <c r="P666" s="18" t="s">
        <v>3425</v>
      </c>
      <c r="Q666" s="18" t="s">
        <v>3426</v>
      </c>
      <c r="R666" s="18" t="s">
        <v>3454</v>
      </c>
      <c r="S666" s="17" t="s">
        <v>3423</v>
      </c>
      <c r="T666" s="18" t="s">
        <v>3455</v>
      </c>
      <c r="U666" s="19"/>
      <c r="V666" s="18" t="s">
        <v>3456</v>
      </c>
      <c r="W666" s="17" t="s">
        <v>240</v>
      </c>
      <c r="X666" s="17" t="s">
        <v>3457</v>
      </c>
      <c r="Y666" s="17" t="s">
        <v>242</v>
      </c>
      <c r="Z666" s="19"/>
      <c r="AA666" s="19"/>
      <c r="AB666" s="17"/>
      <c r="AC666" s="19"/>
    </row>
    <row r="667" customFormat="false" ht="22.35" hidden="false" customHeight="false" outlineLevel="0" collapsed="false">
      <c r="A667" s="10" t="s">
        <v>3458</v>
      </c>
      <c r="B667" s="17" t="s">
        <v>97</v>
      </c>
      <c r="C667" s="18" t="s">
        <v>98</v>
      </c>
      <c r="D667" s="17" t="s">
        <v>19</v>
      </c>
      <c r="E667" s="17" t="s">
        <v>229</v>
      </c>
      <c r="F667" s="17" t="s">
        <v>3424</v>
      </c>
      <c r="G667" s="17" t="s">
        <v>99</v>
      </c>
      <c r="H667" s="17" t="s">
        <v>33</v>
      </c>
      <c r="I667" s="17" t="s">
        <v>277</v>
      </c>
      <c r="J667" s="17" t="s">
        <v>233</v>
      </c>
      <c r="K667" s="19"/>
      <c r="L667" s="19"/>
      <c r="M667" s="19"/>
      <c r="N667" s="19"/>
      <c r="O667" s="17" t="n">
        <v>0</v>
      </c>
      <c r="P667" s="18" t="s">
        <v>3425</v>
      </c>
      <c r="Q667" s="18" t="s">
        <v>3426</v>
      </c>
      <c r="R667" s="18" t="s">
        <v>3459</v>
      </c>
      <c r="S667" s="17" t="s">
        <v>3432</v>
      </c>
      <c r="T667" s="18" t="s">
        <v>2284</v>
      </c>
      <c r="U667" s="19"/>
      <c r="V667" s="18" t="s">
        <v>2285</v>
      </c>
      <c r="W667" s="17" t="s">
        <v>240</v>
      </c>
      <c r="X667" s="17" t="s">
        <v>2102</v>
      </c>
      <c r="Y667" s="17" t="s">
        <v>242</v>
      </c>
      <c r="Z667" s="19"/>
      <c r="AA667" s="19"/>
      <c r="AB667" s="17"/>
      <c r="AC667" s="19"/>
    </row>
    <row r="668" customFormat="false" ht="15" hidden="false" customHeight="false" outlineLevel="0" collapsed="false">
      <c r="A668" s="10" t="s">
        <v>3460</v>
      </c>
      <c r="B668" s="17" t="s">
        <v>97</v>
      </c>
      <c r="C668" s="18" t="s">
        <v>98</v>
      </c>
      <c r="D668" s="17" t="s">
        <v>19</v>
      </c>
      <c r="E668" s="17" t="s">
        <v>229</v>
      </c>
      <c r="F668" s="17" t="s">
        <v>3424</v>
      </c>
      <c r="G668" s="17" t="s">
        <v>99</v>
      </c>
      <c r="H668" s="17" t="s">
        <v>33</v>
      </c>
      <c r="I668" s="17" t="s">
        <v>283</v>
      </c>
      <c r="J668" s="17" t="s">
        <v>233</v>
      </c>
      <c r="K668" s="19"/>
      <c r="L668" s="19"/>
      <c r="M668" s="19"/>
      <c r="N668" s="19"/>
      <c r="O668" s="17" t="n">
        <v>0</v>
      </c>
      <c r="P668" s="18" t="s">
        <v>3425</v>
      </c>
      <c r="Q668" s="18" t="s">
        <v>3426</v>
      </c>
      <c r="R668" s="18" t="s">
        <v>3461</v>
      </c>
      <c r="S668" s="17" t="s">
        <v>3458</v>
      </c>
      <c r="T668" s="18" t="s">
        <v>2105</v>
      </c>
      <c r="U668" s="19"/>
      <c r="V668" s="18" t="s">
        <v>2106</v>
      </c>
      <c r="W668" s="17" t="s">
        <v>240</v>
      </c>
      <c r="X668" s="17" t="s">
        <v>2107</v>
      </c>
      <c r="Y668" s="17" t="s">
        <v>242</v>
      </c>
      <c r="Z668" s="19"/>
      <c r="AA668" s="19"/>
      <c r="AB668" s="17"/>
      <c r="AC668" s="19"/>
    </row>
    <row r="669" customFormat="false" ht="22.35" hidden="false" customHeight="false" outlineLevel="0" collapsed="false">
      <c r="A669" s="10" t="s">
        <v>3462</v>
      </c>
      <c r="B669" s="17" t="s">
        <v>97</v>
      </c>
      <c r="C669" s="18" t="s">
        <v>98</v>
      </c>
      <c r="D669" s="17" t="s">
        <v>19</v>
      </c>
      <c r="E669" s="17" t="s">
        <v>75</v>
      </c>
      <c r="F669" s="17" t="s">
        <v>3424</v>
      </c>
      <c r="G669" s="17" t="s">
        <v>99</v>
      </c>
      <c r="H669" s="17" t="s">
        <v>33</v>
      </c>
      <c r="I669" s="17" t="s">
        <v>893</v>
      </c>
      <c r="J669" s="17" t="s">
        <v>233</v>
      </c>
      <c r="K669" s="19"/>
      <c r="L669" s="19"/>
      <c r="M669" s="19"/>
      <c r="N669" s="19"/>
      <c r="O669" s="17" t="n">
        <v>2</v>
      </c>
      <c r="P669" s="18" t="s">
        <v>3463</v>
      </c>
      <c r="Q669" s="18" t="s">
        <v>3464</v>
      </c>
      <c r="R669" s="18" t="s">
        <v>3465</v>
      </c>
      <c r="S669" s="17" t="s">
        <v>3466</v>
      </c>
      <c r="T669" s="18" t="s">
        <v>3467</v>
      </c>
      <c r="U669" s="19"/>
      <c r="V669" s="18" t="s">
        <v>3468</v>
      </c>
      <c r="W669" s="17" t="s">
        <v>240</v>
      </c>
      <c r="X669" s="17" t="s">
        <v>3469</v>
      </c>
      <c r="Y669" s="17" t="s">
        <v>242</v>
      </c>
      <c r="Z669" s="19"/>
      <c r="AA669" s="19"/>
      <c r="AB669" s="17"/>
      <c r="AC669" s="19"/>
    </row>
    <row r="670" customFormat="false" ht="22.35" hidden="false" customHeight="false" outlineLevel="0" collapsed="false">
      <c r="A670" s="10" t="s">
        <v>3470</v>
      </c>
      <c r="B670" s="17" t="s">
        <v>97</v>
      </c>
      <c r="C670" s="18" t="s">
        <v>98</v>
      </c>
      <c r="D670" s="17" t="s">
        <v>19</v>
      </c>
      <c r="E670" s="17" t="s">
        <v>75</v>
      </c>
      <c r="F670" s="17" t="s">
        <v>3424</v>
      </c>
      <c r="G670" s="17" t="s">
        <v>99</v>
      </c>
      <c r="H670" s="17" t="s">
        <v>33</v>
      </c>
      <c r="I670" s="17" t="s">
        <v>316</v>
      </c>
      <c r="J670" s="17" t="s">
        <v>233</v>
      </c>
      <c r="K670" s="19"/>
      <c r="L670" s="19"/>
      <c r="M670" s="19"/>
      <c r="N670" s="19"/>
      <c r="O670" s="17" t="n">
        <v>2</v>
      </c>
      <c r="P670" s="18" t="s">
        <v>3463</v>
      </c>
      <c r="Q670" s="18" t="s">
        <v>3464</v>
      </c>
      <c r="R670" s="18" t="s">
        <v>3471</v>
      </c>
      <c r="S670" s="17" t="s">
        <v>3423</v>
      </c>
      <c r="T670" s="18" t="s">
        <v>3472</v>
      </c>
      <c r="U670" s="19"/>
      <c r="V670" s="18" t="s">
        <v>3473</v>
      </c>
      <c r="W670" s="17" t="s">
        <v>240</v>
      </c>
      <c r="X670" s="17" t="s">
        <v>3474</v>
      </c>
      <c r="Y670" s="17" t="s">
        <v>242</v>
      </c>
      <c r="Z670" s="19"/>
      <c r="AA670" s="19"/>
      <c r="AB670" s="17"/>
      <c r="AC670" s="19"/>
    </row>
    <row r="671" customFormat="false" ht="22.35" hidden="false" customHeight="false" outlineLevel="0" collapsed="false">
      <c r="A671" s="10" t="s">
        <v>3475</v>
      </c>
      <c r="B671" s="17" t="s">
        <v>97</v>
      </c>
      <c r="C671" s="18" t="s">
        <v>98</v>
      </c>
      <c r="D671" s="17" t="s">
        <v>19</v>
      </c>
      <c r="E671" s="17" t="s">
        <v>75</v>
      </c>
      <c r="F671" s="17" t="s">
        <v>3424</v>
      </c>
      <c r="G671" s="17" t="s">
        <v>99</v>
      </c>
      <c r="H671" s="17" t="s">
        <v>33</v>
      </c>
      <c r="I671" s="17" t="s">
        <v>893</v>
      </c>
      <c r="J671" s="17" t="s">
        <v>233</v>
      </c>
      <c r="K671" s="19"/>
      <c r="L671" s="19"/>
      <c r="M671" s="19"/>
      <c r="N671" s="19"/>
      <c r="O671" s="17" t="n">
        <v>2</v>
      </c>
      <c r="P671" s="18" t="s">
        <v>3463</v>
      </c>
      <c r="Q671" s="18" t="s">
        <v>3464</v>
      </c>
      <c r="R671" s="18" t="s">
        <v>3476</v>
      </c>
      <c r="S671" s="17" t="s">
        <v>3453</v>
      </c>
      <c r="T671" s="18" t="s">
        <v>3477</v>
      </c>
      <c r="U671" s="19"/>
      <c r="V671" s="18" t="s">
        <v>3478</v>
      </c>
      <c r="W671" s="17" t="s">
        <v>240</v>
      </c>
      <c r="X671" s="17" t="s">
        <v>3479</v>
      </c>
      <c r="Y671" s="17" t="s">
        <v>242</v>
      </c>
      <c r="Z671" s="19"/>
      <c r="AA671" s="19"/>
      <c r="AB671" s="17"/>
      <c r="AC671" s="19"/>
    </row>
    <row r="672" customFormat="false" ht="22.35" hidden="false" customHeight="false" outlineLevel="0" collapsed="false">
      <c r="A672" s="10" t="s">
        <v>3480</v>
      </c>
      <c r="B672" s="17" t="s">
        <v>97</v>
      </c>
      <c r="C672" s="18" t="s">
        <v>98</v>
      </c>
      <c r="D672" s="17" t="s">
        <v>19</v>
      </c>
      <c r="E672" s="17" t="s">
        <v>75</v>
      </c>
      <c r="F672" s="17" t="s">
        <v>3424</v>
      </c>
      <c r="G672" s="17" t="s">
        <v>99</v>
      </c>
      <c r="H672" s="17" t="s">
        <v>33</v>
      </c>
      <c r="I672" s="17" t="s">
        <v>316</v>
      </c>
      <c r="J672" s="17" t="s">
        <v>233</v>
      </c>
      <c r="K672" s="19"/>
      <c r="L672" s="19"/>
      <c r="M672" s="19"/>
      <c r="N672" s="19"/>
      <c r="O672" s="17" t="n">
        <v>2</v>
      </c>
      <c r="P672" s="18" t="s">
        <v>3463</v>
      </c>
      <c r="Q672" s="18" t="s">
        <v>3464</v>
      </c>
      <c r="R672" s="18" t="s">
        <v>3481</v>
      </c>
      <c r="S672" s="17" t="s">
        <v>3470</v>
      </c>
      <c r="T672" s="18" t="s">
        <v>3482</v>
      </c>
      <c r="U672" s="19"/>
      <c r="V672" s="18" t="s">
        <v>3483</v>
      </c>
      <c r="W672" s="17" t="s">
        <v>240</v>
      </c>
      <c r="X672" s="17" t="s">
        <v>3484</v>
      </c>
      <c r="Y672" s="17" t="s">
        <v>242</v>
      </c>
      <c r="Z672" s="19"/>
      <c r="AA672" s="19"/>
      <c r="AB672" s="17"/>
      <c r="AC672" s="19"/>
    </row>
    <row r="673" customFormat="false" ht="15" hidden="false" customHeight="false" outlineLevel="0" collapsed="false">
      <c r="A673" s="10" t="s">
        <v>3485</v>
      </c>
      <c r="B673" s="17" t="s">
        <v>97</v>
      </c>
      <c r="C673" s="18" t="s">
        <v>98</v>
      </c>
      <c r="D673" s="17" t="s">
        <v>19</v>
      </c>
      <c r="E673" s="17" t="s">
        <v>75</v>
      </c>
      <c r="F673" s="17" t="s">
        <v>3424</v>
      </c>
      <c r="G673" s="17" t="s">
        <v>99</v>
      </c>
      <c r="H673" s="17" t="s">
        <v>33</v>
      </c>
      <c r="I673" s="17" t="s">
        <v>316</v>
      </c>
      <c r="J673" s="17" t="s">
        <v>233</v>
      </c>
      <c r="K673" s="19"/>
      <c r="L673" s="19"/>
      <c r="M673" s="19"/>
      <c r="N673" s="19"/>
      <c r="O673" s="17" t="n">
        <v>2</v>
      </c>
      <c r="P673" s="18" t="s">
        <v>3463</v>
      </c>
      <c r="Q673" s="18" t="s">
        <v>3464</v>
      </c>
      <c r="R673" s="18" t="s">
        <v>3486</v>
      </c>
      <c r="S673" s="17" t="s">
        <v>3480</v>
      </c>
      <c r="T673" s="18" t="s">
        <v>2234</v>
      </c>
      <c r="U673" s="19"/>
      <c r="V673" s="18" t="s">
        <v>3487</v>
      </c>
      <c r="W673" s="17" t="s">
        <v>240</v>
      </c>
      <c r="X673" s="17" t="s">
        <v>3484</v>
      </c>
      <c r="Y673" s="17" t="s">
        <v>242</v>
      </c>
      <c r="Z673" s="19"/>
      <c r="AA673" s="19"/>
      <c r="AB673" s="17"/>
      <c r="AC673" s="19"/>
    </row>
    <row r="674" customFormat="false" ht="22.35" hidden="false" customHeight="false" outlineLevel="0" collapsed="false">
      <c r="A674" s="10" t="s">
        <v>3488</v>
      </c>
      <c r="B674" s="17" t="s">
        <v>97</v>
      </c>
      <c r="C674" s="18" t="s">
        <v>98</v>
      </c>
      <c r="D674" s="17" t="s">
        <v>19</v>
      </c>
      <c r="E674" s="17" t="s">
        <v>75</v>
      </c>
      <c r="F674" s="17" t="s">
        <v>3424</v>
      </c>
      <c r="G674" s="17" t="s">
        <v>99</v>
      </c>
      <c r="H674" s="17" t="s">
        <v>33</v>
      </c>
      <c r="I674" s="17" t="s">
        <v>316</v>
      </c>
      <c r="J674" s="17" t="s">
        <v>233</v>
      </c>
      <c r="K674" s="19"/>
      <c r="L674" s="19"/>
      <c r="M674" s="19"/>
      <c r="N674" s="19"/>
      <c r="O674" s="17" t="n">
        <v>2</v>
      </c>
      <c r="P674" s="18" t="s">
        <v>3463</v>
      </c>
      <c r="Q674" s="18" t="s">
        <v>3464</v>
      </c>
      <c r="R674" s="18" t="s">
        <v>3489</v>
      </c>
      <c r="S674" s="17" t="s">
        <v>3490</v>
      </c>
      <c r="T674" s="18" t="s">
        <v>3491</v>
      </c>
      <c r="U674" s="19"/>
      <c r="V674" s="18" t="s">
        <v>3492</v>
      </c>
      <c r="W674" s="17" t="s">
        <v>240</v>
      </c>
      <c r="X674" s="17" t="s">
        <v>3434</v>
      </c>
      <c r="Y674" s="17" t="s">
        <v>242</v>
      </c>
      <c r="Z674" s="19"/>
      <c r="AA674" s="19"/>
      <c r="AB674" s="17"/>
      <c r="AC674" s="19"/>
    </row>
    <row r="675" customFormat="false" ht="22.35" hidden="false" customHeight="false" outlineLevel="0" collapsed="false">
      <c r="A675" s="10" t="s">
        <v>3493</v>
      </c>
      <c r="B675" s="17" t="s">
        <v>97</v>
      </c>
      <c r="C675" s="18" t="s">
        <v>98</v>
      </c>
      <c r="D675" s="17" t="s">
        <v>19</v>
      </c>
      <c r="E675" s="17" t="s">
        <v>229</v>
      </c>
      <c r="F675" s="17" t="s">
        <v>3424</v>
      </c>
      <c r="G675" s="17" t="s">
        <v>99</v>
      </c>
      <c r="H675" s="17" t="s">
        <v>33</v>
      </c>
      <c r="I675" s="17" t="s">
        <v>277</v>
      </c>
      <c r="J675" s="17" t="s">
        <v>233</v>
      </c>
      <c r="K675" s="19"/>
      <c r="L675" s="19"/>
      <c r="M675" s="19"/>
      <c r="N675" s="19"/>
      <c r="O675" s="17" t="n">
        <v>2</v>
      </c>
      <c r="P675" s="18" t="s">
        <v>3463</v>
      </c>
      <c r="Q675" s="18" t="s">
        <v>3494</v>
      </c>
      <c r="R675" s="18" t="s">
        <v>3495</v>
      </c>
      <c r="S675" s="17" t="s">
        <v>3488</v>
      </c>
      <c r="T675" s="18" t="s">
        <v>3496</v>
      </c>
      <c r="U675" s="19"/>
      <c r="V675" s="18" t="s">
        <v>3497</v>
      </c>
      <c r="W675" s="17" t="s">
        <v>240</v>
      </c>
      <c r="X675" s="17" t="s">
        <v>3498</v>
      </c>
      <c r="Y675" s="17" t="s">
        <v>242</v>
      </c>
      <c r="Z675" s="19"/>
      <c r="AA675" s="19"/>
      <c r="AB675" s="17"/>
      <c r="AC675" s="19"/>
    </row>
    <row r="676" customFormat="false" ht="15" hidden="false" customHeight="false" outlineLevel="0" collapsed="false">
      <c r="A676" s="10" t="s">
        <v>3499</v>
      </c>
      <c r="B676" s="17" t="s">
        <v>97</v>
      </c>
      <c r="C676" s="18" t="s">
        <v>98</v>
      </c>
      <c r="D676" s="17" t="s">
        <v>19</v>
      </c>
      <c r="E676" s="17" t="s">
        <v>229</v>
      </c>
      <c r="F676" s="17" t="s">
        <v>3424</v>
      </c>
      <c r="G676" s="17" t="s">
        <v>99</v>
      </c>
      <c r="H676" s="17" t="s">
        <v>33</v>
      </c>
      <c r="I676" s="17" t="s">
        <v>1346</v>
      </c>
      <c r="J676" s="17" t="s">
        <v>233</v>
      </c>
      <c r="K676" s="19"/>
      <c r="L676" s="19"/>
      <c r="M676" s="19"/>
      <c r="N676" s="19"/>
      <c r="O676" s="17" t="n">
        <v>2</v>
      </c>
      <c r="P676" s="18" t="s">
        <v>3463</v>
      </c>
      <c r="Q676" s="18" t="s">
        <v>3494</v>
      </c>
      <c r="R676" s="18" t="s">
        <v>3500</v>
      </c>
      <c r="S676" s="17" t="s">
        <v>3488</v>
      </c>
      <c r="T676" s="18" t="s">
        <v>3496</v>
      </c>
      <c r="U676" s="19"/>
      <c r="V676" s="18" t="s">
        <v>3501</v>
      </c>
      <c r="W676" s="17" t="s">
        <v>240</v>
      </c>
      <c r="X676" s="17" t="s">
        <v>3502</v>
      </c>
      <c r="Y676" s="17" t="s">
        <v>242</v>
      </c>
      <c r="Z676" s="19"/>
      <c r="AA676" s="19"/>
      <c r="AB676" s="17"/>
      <c r="AC676" s="19"/>
    </row>
    <row r="677" customFormat="false" ht="15" hidden="false" customHeight="false" outlineLevel="0" collapsed="false">
      <c r="A677" s="10" t="s">
        <v>3503</v>
      </c>
      <c r="B677" s="17" t="s">
        <v>97</v>
      </c>
      <c r="C677" s="18" t="s">
        <v>98</v>
      </c>
      <c r="D677" s="17" t="s">
        <v>19</v>
      </c>
      <c r="E677" s="17" t="s">
        <v>229</v>
      </c>
      <c r="F677" s="17" t="s">
        <v>3424</v>
      </c>
      <c r="G677" s="17" t="s">
        <v>99</v>
      </c>
      <c r="H677" s="17" t="s">
        <v>33</v>
      </c>
      <c r="I677" s="17" t="s">
        <v>277</v>
      </c>
      <c r="J677" s="17" t="s">
        <v>233</v>
      </c>
      <c r="K677" s="19"/>
      <c r="L677" s="19"/>
      <c r="M677" s="19"/>
      <c r="N677" s="19"/>
      <c r="O677" s="17" t="n">
        <v>2</v>
      </c>
      <c r="P677" s="18" t="s">
        <v>3463</v>
      </c>
      <c r="Q677" s="18" t="s">
        <v>3494</v>
      </c>
      <c r="R677" s="18" t="s">
        <v>3504</v>
      </c>
      <c r="S677" s="17" t="s">
        <v>3505</v>
      </c>
      <c r="T677" s="18" t="s">
        <v>3496</v>
      </c>
      <c r="U677" s="19"/>
      <c r="V677" s="18" t="s">
        <v>3506</v>
      </c>
      <c r="W677" s="17" t="s">
        <v>240</v>
      </c>
      <c r="X677" s="17" t="s">
        <v>3507</v>
      </c>
      <c r="Y677" s="17" t="s">
        <v>242</v>
      </c>
      <c r="Z677" s="19"/>
      <c r="AA677" s="19"/>
      <c r="AB677" s="17"/>
      <c r="AC677" s="19"/>
    </row>
    <row r="678" customFormat="false" ht="32.8" hidden="false" customHeight="false" outlineLevel="0" collapsed="false">
      <c r="A678" s="10" t="s">
        <v>3508</v>
      </c>
      <c r="B678" s="17" t="s">
        <v>97</v>
      </c>
      <c r="C678" s="18" t="s">
        <v>98</v>
      </c>
      <c r="D678" s="17" t="s">
        <v>19</v>
      </c>
      <c r="E678" s="17" t="s">
        <v>75</v>
      </c>
      <c r="F678" s="17" t="s">
        <v>3424</v>
      </c>
      <c r="G678" s="17" t="s">
        <v>99</v>
      </c>
      <c r="H678" s="17" t="s">
        <v>33</v>
      </c>
      <c r="I678" s="17" t="s">
        <v>283</v>
      </c>
      <c r="J678" s="17" t="s">
        <v>233</v>
      </c>
      <c r="K678" s="19"/>
      <c r="L678" s="19"/>
      <c r="M678" s="19"/>
      <c r="N678" s="19"/>
      <c r="O678" s="17" t="n">
        <v>2</v>
      </c>
      <c r="P678" s="18" t="s">
        <v>3463</v>
      </c>
      <c r="Q678" s="18" t="s">
        <v>3494</v>
      </c>
      <c r="R678" s="18" t="s">
        <v>3509</v>
      </c>
      <c r="S678" s="17" t="s">
        <v>3503</v>
      </c>
      <c r="T678" s="18" t="s">
        <v>3510</v>
      </c>
      <c r="U678" s="19"/>
      <c r="V678" s="18" t="s">
        <v>3511</v>
      </c>
      <c r="W678" s="17" t="s">
        <v>240</v>
      </c>
      <c r="X678" s="17" t="s">
        <v>3469</v>
      </c>
      <c r="Y678" s="17" t="s">
        <v>242</v>
      </c>
      <c r="Z678" s="19"/>
      <c r="AA678" s="19"/>
      <c r="AB678" s="17"/>
      <c r="AC678" s="19"/>
    </row>
    <row r="679" customFormat="false" ht="22.35" hidden="false" customHeight="false" outlineLevel="0" collapsed="false">
      <c r="A679" s="10" t="s">
        <v>3512</v>
      </c>
      <c r="B679" s="17" t="s">
        <v>97</v>
      </c>
      <c r="C679" s="18" t="s">
        <v>98</v>
      </c>
      <c r="D679" s="17" t="s">
        <v>19</v>
      </c>
      <c r="E679" s="17" t="s">
        <v>75</v>
      </c>
      <c r="F679" s="17" t="s">
        <v>3424</v>
      </c>
      <c r="G679" s="17" t="s">
        <v>99</v>
      </c>
      <c r="H679" s="17" t="s">
        <v>33</v>
      </c>
      <c r="I679" s="17" t="s">
        <v>283</v>
      </c>
      <c r="J679" s="17" t="s">
        <v>233</v>
      </c>
      <c r="K679" s="19"/>
      <c r="L679" s="19"/>
      <c r="M679" s="19"/>
      <c r="N679" s="19"/>
      <c r="O679" s="17" t="n">
        <v>2</v>
      </c>
      <c r="P679" s="18" t="s">
        <v>3463</v>
      </c>
      <c r="Q679" s="18" t="s">
        <v>3494</v>
      </c>
      <c r="R679" s="18" t="s">
        <v>3513</v>
      </c>
      <c r="S679" s="17" t="s">
        <v>3508</v>
      </c>
      <c r="T679" s="18" t="s">
        <v>2105</v>
      </c>
      <c r="U679" s="19"/>
      <c r="V679" s="18" t="s">
        <v>2106</v>
      </c>
      <c r="W679" s="17" t="s">
        <v>240</v>
      </c>
      <c r="X679" s="17" t="s">
        <v>2107</v>
      </c>
      <c r="Y679" s="17" t="s">
        <v>242</v>
      </c>
      <c r="Z679" s="19"/>
      <c r="AA679" s="19"/>
      <c r="AB679" s="17"/>
      <c r="AC679" s="19"/>
    </row>
    <row r="680" customFormat="false" ht="22.35" hidden="false" customHeight="false" outlineLevel="0" collapsed="false">
      <c r="A680" s="10" t="s">
        <v>3514</v>
      </c>
      <c r="B680" s="17" t="s">
        <v>97</v>
      </c>
      <c r="C680" s="18" t="s">
        <v>98</v>
      </c>
      <c r="D680" s="17" t="s">
        <v>19</v>
      </c>
      <c r="E680" s="17" t="s">
        <v>229</v>
      </c>
      <c r="F680" s="17" t="s">
        <v>3424</v>
      </c>
      <c r="G680" s="17" t="s">
        <v>99</v>
      </c>
      <c r="H680" s="17" t="s">
        <v>33</v>
      </c>
      <c r="I680" s="17" t="s">
        <v>450</v>
      </c>
      <c r="J680" s="17" t="s">
        <v>233</v>
      </c>
      <c r="K680" s="19"/>
      <c r="L680" s="19"/>
      <c r="M680" s="19"/>
      <c r="N680" s="19"/>
      <c r="O680" s="17" t="n">
        <v>2</v>
      </c>
      <c r="P680" s="18" t="s">
        <v>3515</v>
      </c>
      <c r="Q680" s="18" t="s">
        <v>3516</v>
      </c>
      <c r="R680" s="18" t="s">
        <v>3517</v>
      </c>
      <c r="S680" s="17" t="s">
        <v>3423</v>
      </c>
      <c r="T680" s="18" t="s">
        <v>2344</v>
      </c>
      <c r="U680" s="19"/>
      <c r="V680" s="18" t="s">
        <v>2551</v>
      </c>
      <c r="W680" s="17" t="s">
        <v>240</v>
      </c>
      <c r="X680" s="17" t="s">
        <v>2165</v>
      </c>
      <c r="Y680" s="17" t="s">
        <v>242</v>
      </c>
      <c r="Z680" s="19"/>
      <c r="AA680" s="19"/>
      <c r="AB680" s="17"/>
      <c r="AC680" s="19"/>
    </row>
    <row r="681" customFormat="false" ht="15" hidden="false" customHeight="false" outlineLevel="0" collapsed="false">
      <c r="A681" s="10" t="s">
        <v>3518</v>
      </c>
      <c r="B681" s="17" t="s">
        <v>97</v>
      </c>
      <c r="C681" s="18" t="s">
        <v>98</v>
      </c>
      <c r="D681" s="17" t="s">
        <v>19</v>
      </c>
      <c r="E681" s="17" t="s">
        <v>75</v>
      </c>
      <c r="F681" s="17" t="s">
        <v>3424</v>
      </c>
      <c r="G681" s="17" t="s">
        <v>99</v>
      </c>
      <c r="H681" s="17" t="s">
        <v>33</v>
      </c>
      <c r="I681" s="17" t="s">
        <v>316</v>
      </c>
      <c r="J681" s="17" t="s">
        <v>233</v>
      </c>
      <c r="K681" s="19"/>
      <c r="L681" s="19"/>
      <c r="M681" s="19"/>
      <c r="N681" s="19"/>
      <c r="O681" s="17" t="n">
        <v>2</v>
      </c>
      <c r="P681" s="18" t="s">
        <v>3515</v>
      </c>
      <c r="Q681" s="18" t="s">
        <v>3516</v>
      </c>
      <c r="R681" s="18" t="s">
        <v>3519</v>
      </c>
      <c r="S681" s="17" t="s">
        <v>2415</v>
      </c>
      <c r="T681" s="18" t="s">
        <v>3520</v>
      </c>
      <c r="U681" s="19"/>
      <c r="V681" s="18" t="s">
        <v>3521</v>
      </c>
      <c r="W681" s="17" t="s">
        <v>240</v>
      </c>
      <c r="X681" s="17" t="s">
        <v>3522</v>
      </c>
      <c r="Y681" s="17" t="s">
        <v>242</v>
      </c>
      <c r="Z681" s="19"/>
      <c r="AA681" s="19"/>
      <c r="AB681" s="17"/>
      <c r="AC681" s="19"/>
    </row>
    <row r="682" customFormat="false" ht="22.35" hidden="false" customHeight="false" outlineLevel="0" collapsed="false">
      <c r="A682" s="10" t="s">
        <v>3523</v>
      </c>
      <c r="B682" s="17" t="s">
        <v>97</v>
      </c>
      <c r="C682" s="18" t="s">
        <v>98</v>
      </c>
      <c r="D682" s="17" t="s">
        <v>19</v>
      </c>
      <c r="E682" s="17" t="s">
        <v>229</v>
      </c>
      <c r="F682" s="17" t="s">
        <v>3424</v>
      </c>
      <c r="G682" s="17" t="s">
        <v>99</v>
      </c>
      <c r="H682" s="17" t="s">
        <v>33</v>
      </c>
      <c r="I682" s="17" t="s">
        <v>450</v>
      </c>
      <c r="J682" s="17" t="s">
        <v>233</v>
      </c>
      <c r="K682" s="19"/>
      <c r="L682" s="19"/>
      <c r="M682" s="19"/>
      <c r="N682" s="19"/>
      <c r="O682" s="17" t="n">
        <v>2</v>
      </c>
      <c r="P682" s="18" t="s">
        <v>3515</v>
      </c>
      <c r="Q682" s="18" t="s">
        <v>3516</v>
      </c>
      <c r="R682" s="18" t="s">
        <v>3524</v>
      </c>
      <c r="S682" s="17" t="s">
        <v>3440</v>
      </c>
      <c r="T682" s="18" t="s">
        <v>3525</v>
      </c>
      <c r="U682" s="19"/>
      <c r="V682" s="18" t="s">
        <v>3526</v>
      </c>
      <c r="W682" s="17" t="s">
        <v>240</v>
      </c>
      <c r="X682" s="17" t="s">
        <v>3527</v>
      </c>
      <c r="Y682" s="17" t="s">
        <v>242</v>
      </c>
      <c r="Z682" s="19"/>
      <c r="AA682" s="19"/>
      <c r="AB682" s="17"/>
      <c r="AC682" s="19"/>
    </row>
    <row r="683" customFormat="false" ht="15" hidden="false" customHeight="false" outlineLevel="0" collapsed="false">
      <c r="A683" s="10" t="s">
        <v>3528</v>
      </c>
      <c r="B683" s="17" t="s">
        <v>97</v>
      </c>
      <c r="C683" s="18" t="s">
        <v>98</v>
      </c>
      <c r="D683" s="17" t="s">
        <v>19</v>
      </c>
      <c r="E683" s="17" t="s">
        <v>75</v>
      </c>
      <c r="F683" s="17" t="s">
        <v>3424</v>
      </c>
      <c r="G683" s="17" t="s">
        <v>99</v>
      </c>
      <c r="H683" s="17" t="s">
        <v>33</v>
      </c>
      <c r="I683" s="17" t="s">
        <v>283</v>
      </c>
      <c r="J683" s="17" t="s">
        <v>233</v>
      </c>
      <c r="K683" s="19"/>
      <c r="L683" s="19"/>
      <c r="M683" s="19"/>
      <c r="N683" s="19"/>
      <c r="O683" s="17" t="n">
        <v>2</v>
      </c>
      <c r="P683" s="18" t="s">
        <v>3515</v>
      </c>
      <c r="Q683" s="18" t="s">
        <v>3516</v>
      </c>
      <c r="R683" s="18" t="s">
        <v>3529</v>
      </c>
      <c r="S683" s="17" t="s">
        <v>3523</v>
      </c>
      <c r="T683" s="18" t="s">
        <v>2105</v>
      </c>
      <c r="U683" s="19"/>
      <c r="V683" s="18" t="s">
        <v>2106</v>
      </c>
      <c r="W683" s="17" t="s">
        <v>240</v>
      </c>
      <c r="X683" s="17" t="s">
        <v>2107</v>
      </c>
      <c r="Y683" s="17" t="s">
        <v>242</v>
      </c>
      <c r="Z683" s="19"/>
      <c r="AA683" s="19"/>
      <c r="AB683" s="17"/>
      <c r="AC683" s="19"/>
    </row>
    <row r="684" customFormat="false" ht="22.35" hidden="false" customHeight="false" outlineLevel="0" collapsed="false">
      <c r="A684" s="10" t="s">
        <v>3530</v>
      </c>
      <c r="B684" s="17" t="s">
        <v>97</v>
      </c>
      <c r="C684" s="18" t="s">
        <v>98</v>
      </c>
      <c r="D684" s="17" t="s">
        <v>19</v>
      </c>
      <c r="E684" s="17" t="s">
        <v>75</v>
      </c>
      <c r="F684" s="17" t="s">
        <v>3424</v>
      </c>
      <c r="G684" s="17" t="s">
        <v>99</v>
      </c>
      <c r="H684" s="17" t="s">
        <v>33</v>
      </c>
      <c r="I684" s="17" t="s">
        <v>333</v>
      </c>
      <c r="J684" s="17" t="s">
        <v>233</v>
      </c>
      <c r="K684" s="19"/>
      <c r="L684" s="19"/>
      <c r="M684" s="19"/>
      <c r="N684" s="19"/>
      <c r="O684" s="17" t="n">
        <v>2</v>
      </c>
      <c r="P684" s="18" t="s">
        <v>3531</v>
      </c>
      <c r="Q684" s="18" t="s">
        <v>3532</v>
      </c>
      <c r="R684" s="18" t="s">
        <v>3533</v>
      </c>
      <c r="S684" s="17" t="s">
        <v>3462</v>
      </c>
      <c r="T684" s="18" t="s">
        <v>1643</v>
      </c>
      <c r="U684" s="19"/>
      <c r="V684" s="18" t="s">
        <v>3534</v>
      </c>
      <c r="W684" s="17" t="s">
        <v>240</v>
      </c>
      <c r="X684" s="17" t="s">
        <v>2188</v>
      </c>
      <c r="Y684" s="17" t="s">
        <v>242</v>
      </c>
      <c r="Z684" s="19"/>
      <c r="AA684" s="19"/>
      <c r="AB684" s="17"/>
      <c r="AC684" s="19"/>
    </row>
    <row r="685" customFormat="false" ht="22.35" hidden="false" customHeight="false" outlineLevel="0" collapsed="false">
      <c r="A685" s="10" t="s">
        <v>3535</v>
      </c>
      <c r="B685" s="17" t="s">
        <v>97</v>
      </c>
      <c r="C685" s="18" t="s">
        <v>98</v>
      </c>
      <c r="D685" s="17" t="s">
        <v>19</v>
      </c>
      <c r="E685" s="17" t="s">
        <v>75</v>
      </c>
      <c r="F685" s="17" t="s">
        <v>3424</v>
      </c>
      <c r="G685" s="17" t="s">
        <v>99</v>
      </c>
      <c r="H685" s="17" t="s">
        <v>33</v>
      </c>
      <c r="I685" s="17" t="s">
        <v>333</v>
      </c>
      <c r="J685" s="17" t="s">
        <v>233</v>
      </c>
      <c r="K685" s="19"/>
      <c r="L685" s="19"/>
      <c r="M685" s="19"/>
      <c r="N685" s="19"/>
      <c r="O685" s="17" t="n">
        <v>2</v>
      </c>
      <c r="P685" s="18" t="s">
        <v>3531</v>
      </c>
      <c r="Q685" s="18" t="s">
        <v>3532</v>
      </c>
      <c r="R685" s="18" t="s">
        <v>3536</v>
      </c>
      <c r="S685" s="17" t="s">
        <v>3462</v>
      </c>
      <c r="T685" s="18" t="s">
        <v>3537</v>
      </c>
      <c r="U685" s="19"/>
      <c r="V685" s="18" t="s">
        <v>3538</v>
      </c>
      <c r="W685" s="17" t="s">
        <v>240</v>
      </c>
      <c r="X685" s="17" t="s">
        <v>2188</v>
      </c>
      <c r="Y685" s="17" t="s">
        <v>242</v>
      </c>
      <c r="Z685" s="19"/>
      <c r="AA685" s="19"/>
      <c r="AB685" s="17"/>
      <c r="AC685" s="19"/>
    </row>
    <row r="686" customFormat="false" ht="22.35" hidden="false" customHeight="false" outlineLevel="0" collapsed="false">
      <c r="A686" s="10" t="s">
        <v>3539</v>
      </c>
      <c r="B686" s="17" t="s">
        <v>97</v>
      </c>
      <c r="C686" s="18" t="s">
        <v>98</v>
      </c>
      <c r="D686" s="17" t="s">
        <v>19</v>
      </c>
      <c r="E686" s="17" t="s">
        <v>229</v>
      </c>
      <c r="F686" s="17" t="s">
        <v>3424</v>
      </c>
      <c r="G686" s="17" t="s">
        <v>99</v>
      </c>
      <c r="H686" s="17" t="s">
        <v>33</v>
      </c>
      <c r="I686" s="17" t="s">
        <v>316</v>
      </c>
      <c r="J686" s="17" t="s">
        <v>233</v>
      </c>
      <c r="K686" s="19"/>
      <c r="L686" s="19"/>
      <c r="M686" s="19"/>
      <c r="N686" s="19"/>
      <c r="O686" s="17" t="n">
        <v>2</v>
      </c>
      <c r="P686" s="18" t="s">
        <v>3531</v>
      </c>
      <c r="Q686" s="18" t="s">
        <v>3532</v>
      </c>
      <c r="R686" s="18" t="s">
        <v>3540</v>
      </c>
      <c r="S686" s="17" t="s">
        <v>2195</v>
      </c>
      <c r="T686" s="18" t="s">
        <v>2196</v>
      </c>
      <c r="U686" s="19"/>
      <c r="V686" s="18" t="s">
        <v>3541</v>
      </c>
      <c r="W686" s="17" t="s">
        <v>240</v>
      </c>
      <c r="X686" s="17" t="s">
        <v>356</v>
      </c>
      <c r="Y686" s="17" t="s">
        <v>242</v>
      </c>
      <c r="Z686" s="19"/>
      <c r="AA686" s="19"/>
      <c r="AB686" s="17"/>
      <c r="AC686" s="19"/>
    </row>
    <row r="687" customFormat="false" ht="15" hidden="false" customHeight="false" outlineLevel="0" collapsed="false">
      <c r="A687" s="10" t="s">
        <v>3542</v>
      </c>
      <c r="B687" s="17" t="s">
        <v>97</v>
      </c>
      <c r="C687" s="18" t="s">
        <v>98</v>
      </c>
      <c r="D687" s="17" t="s">
        <v>19</v>
      </c>
      <c r="E687" s="17" t="s">
        <v>75</v>
      </c>
      <c r="F687" s="17" t="s">
        <v>3424</v>
      </c>
      <c r="G687" s="17" t="s">
        <v>99</v>
      </c>
      <c r="H687" s="17" t="s">
        <v>33</v>
      </c>
      <c r="I687" s="17" t="s">
        <v>283</v>
      </c>
      <c r="J687" s="17" t="s">
        <v>233</v>
      </c>
      <c r="K687" s="19"/>
      <c r="L687" s="19"/>
      <c r="M687" s="19"/>
      <c r="N687" s="19"/>
      <c r="O687" s="17" t="n">
        <v>2</v>
      </c>
      <c r="P687" s="18" t="s">
        <v>3531</v>
      </c>
      <c r="Q687" s="18" t="s">
        <v>3532</v>
      </c>
      <c r="R687" s="18" t="s">
        <v>3543</v>
      </c>
      <c r="S687" s="17" t="s">
        <v>3539</v>
      </c>
      <c r="T687" s="18" t="s">
        <v>2105</v>
      </c>
      <c r="U687" s="19"/>
      <c r="V687" s="18" t="s">
        <v>2106</v>
      </c>
      <c r="W687" s="17" t="s">
        <v>240</v>
      </c>
      <c r="X687" s="17" t="s">
        <v>2107</v>
      </c>
      <c r="Y687" s="17" t="s">
        <v>242</v>
      </c>
      <c r="Z687" s="19"/>
      <c r="AA687" s="19"/>
      <c r="AB687" s="17"/>
      <c r="AC687" s="19"/>
    </row>
    <row r="688" customFormat="false" ht="22.35" hidden="false" customHeight="false" outlineLevel="0" collapsed="false">
      <c r="A688" s="10" t="s">
        <v>3544</v>
      </c>
      <c r="B688" s="17" t="s">
        <v>97</v>
      </c>
      <c r="C688" s="18" t="s">
        <v>98</v>
      </c>
      <c r="D688" s="17" t="s">
        <v>19</v>
      </c>
      <c r="E688" s="17" t="s">
        <v>75</v>
      </c>
      <c r="F688" s="17" t="s">
        <v>3424</v>
      </c>
      <c r="G688" s="17" t="s">
        <v>99</v>
      </c>
      <c r="H688" s="17" t="s">
        <v>33</v>
      </c>
      <c r="I688" s="17" t="s">
        <v>316</v>
      </c>
      <c r="J688" s="17" t="s">
        <v>233</v>
      </c>
      <c r="K688" s="19"/>
      <c r="L688" s="19"/>
      <c r="M688" s="19"/>
      <c r="N688" s="19"/>
      <c r="O688" s="17" t="n">
        <v>2</v>
      </c>
      <c r="P688" s="18" t="s">
        <v>3545</v>
      </c>
      <c r="Q688" s="18" t="s">
        <v>3546</v>
      </c>
      <c r="R688" s="18" t="s">
        <v>3547</v>
      </c>
      <c r="S688" s="17" t="s">
        <v>3512</v>
      </c>
      <c r="T688" s="18" t="s">
        <v>2209</v>
      </c>
      <c r="U688" s="19"/>
      <c r="V688" s="18" t="s">
        <v>3548</v>
      </c>
      <c r="W688" s="17" t="s">
        <v>240</v>
      </c>
      <c r="X688" s="17" t="s">
        <v>2206</v>
      </c>
      <c r="Y688" s="17" t="s">
        <v>242</v>
      </c>
      <c r="Z688" s="19"/>
      <c r="AA688" s="19"/>
      <c r="AB688" s="17"/>
      <c r="AC688" s="19"/>
    </row>
    <row r="689" customFormat="false" ht="22.35" hidden="false" customHeight="false" outlineLevel="0" collapsed="false">
      <c r="A689" s="10" t="s">
        <v>3549</v>
      </c>
      <c r="B689" s="17" t="s">
        <v>97</v>
      </c>
      <c r="C689" s="18" t="s">
        <v>98</v>
      </c>
      <c r="D689" s="17" t="s">
        <v>19</v>
      </c>
      <c r="E689" s="17" t="s">
        <v>75</v>
      </c>
      <c r="F689" s="17" t="s">
        <v>3424</v>
      </c>
      <c r="G689" s="17" t="s">
        <v>99</v>
      </c>
      <c r="H689" s="17" t="s">
        <v>33</v>
      </c>
      <c r="I689" s="17" t="s">
        <v>289</v>
      </c>
      <c r="J689" s="17" t="s">
        <v>233</v>
      </c>
      <c r="K689" s="19"/>
      <c r="L689" s="19"/>
      <c r="M689" s="19"/>
      <c r="N689" s="19"/>
      <c r="O689" s="17" t="n">
        <v>2</v>
      </c>
      <c r="P689" s="18" t="s">
        <v>3545</v>
      </c>
      <c r="Q689" s="18" t="s">
        <v>3546</v>
      </c>
      <c r="R689" s="18" t="s">
        <v>3550</v>
      </c>
      <c r="S689" s="17" t="s">
        <v>3544</v>
      </c>
      <c r="T689" s="18" t="s">
        <v>2374</v>
      </c>
      <c r="U689" s="19"/>
      <c r="V689" s="18" t="s">
        <v>3551</v>
      </c>
      <c r="W689" s="17" t="s">
        <v>240</v>
      </c>
      <c r="X689" s="17" t="s">
        <v>2206</v>
      </c>
      <c r="Y689" s="17" t="s">
        <v>242</v>
      </c>
      <c r="Z689" s="19"/>
      <c r="AA689" s="19"/>
      <c r="AB689" s="17"/>
      <c r="AC689" s="19"/>
    </row>
    <row r="690" customFormat="false" ht="22.35" hidden="false" customHeight="false" outlineLevel="0" collapsed="false">
      <c r="A690" s="10" t="s">
        <v>3552</v>
      </c>
      <c r="B690" s="17" t="s">
        <v>97</v>
      </c>
      <c r="C690" s="18" t="s">
        <v>98</v>
      </c>
      <c r="D690" s="17" t="s">
        <v>19</v>
      </c>
      <c r="E690" s="17" t="s">
        <v>75</v>
      </c>
      <c r="F690" s="17" t="s">
        <v>3424</v>
      </c>
      <c r="G690" s="17" t="s">
        <v>99</v>
      </c>
      <c r="H690" s="17" t="s">
        <v>33</v>
      </c>
      <c r="I690" s="17" t="s">
        <v>283</v>
      </c>
      <c r="J690" s="17" t="s">
        <v>233</v>
      </c>
      <c r="K690" s="19"/>
      <c r="L690" s="19"/>
      <c r="M690" s="19"/>
      <c r="N690" s="19"/>
      <c r="O690" s="17" t="n">
        <v>2</v>
      </c>
      <c r="P690" s="18" t="s">
        <v>3545</v>
      </c>
      <c r="Q690" s="18" t="s">
        <v>3546</v>
      </c>
      <c r="R690" s="18" t="s">
        <v>3553</v>
      </c>
      <c r="S690" s="17" t="s">
        <v>3549</v>
      </c>
      <c r="T690" s="18" t="s">
        <v>2105</v>
      </c>
      <c r="U690" s="19"/>
      <c r="V690" s="18" t="s">
        <v>2106</v>
      </c>
      <c r="W690" s="17" t="s">
        <v>240</v>
      </c>
      <c r="X690" s="17" t="s">
        <v>2107</v>
      </c>
      <c r="Y690" s="17" t="s">
        <v>242</v>
      </c>
      <c r="Z690" s="19"/>
      <c r="AA690" s="19"/>
      <c r="AB690" s="17"/>
      <c r="AC690" s="19"/>
    </row>
    <row r="691" customFormat="false" ht="15" hidden="false" customHeight="false" outlineLevel="0" collapsed="false">
      <c r="A691" s="10" t="s">
        <v>3554</v>
      </c>
      <c r="B691" s="17" t="s">
        <v>97</v>
      </c>
      <c r="C691" s="18" t="s">
        <v>98</v>
      </c>
      <c r="D691" s="17" t="s">
        <v>19</v>
      </c>
      <c r="E691" s="17" t="s">
        <v>75</v>
      </c>
      <c r="F691" s="17" t="s">
        <v>3424</v>
      </c>
      <c r="G691" s="17" t="s">
        <v>99</v>
      </c>
      <c r="H691" s="17" t="s">
        <v>33</v>
      </c>
      <c r="I691" s="17" t="s">
        <v>289</v>
      </c>
      <c r="J691" s="17" t="s">
        <v>233</v>
      </c>
      <c r="K691" s="19"/>
      <c r="L691" s="19"/>
      <c r="M691" s="19"/>
      <c r="N691" s="19"/>
      <c r="O691" s="17" t="n">
        <v>2</v>
      </c>
      <c r="P691" s="18" t="s">
        <v>3555</v>
      </c>
      <c r="Q691" s="18" t="s">
        <v>2223</v>
      </c>
      <c r="R691" s="18" t="s">
        <v>3556</v>
      </c>
      <c r="S691" s="17" t="s">
        <v>3458</v>
      </c>
      <c r="T691" s="18" t="s">
        <v>2385</v>
      </c>
      <c r="U691" s="19"/>
      <c r="V691" s="18" t="s">
        <v>2386</v>
      </c>
      <c r="W691" s="17" t="s">
        <v>240</v>
      </c>
      <c r="X691" s="17" t="s">
        <v>2227</v>
      </c>
      <c r="Y691" s="17" t="s">
        <v>242</v>
      </c>
      <c r="Z691" s="19"/>
      <c r="AA691" s="19"/>
      <c r="AB691" s="17"/>
      <c r="AC691" s="19"/>
    </row>
    <row r="692" customFormat="false" ht="22.35" hidden="false" customHeight="false" outlineLevel="0" collapsed="false">
      <c r="A692" s="10" t="s">
        <v>3557</v>
      </c>
      <c r="B692" s="17" t="s">
        <v>97</v>
      </c>
      <c r="C692" s="18" t="s">
        <v>98</v>
      </c>
      <c r="D692" s="17" t="s">
        <v>19</v>
      </c>
      <c r="E692" s="17" t="s">
        <v>229</v>
      </c>
      <c r="F692" s="17" t="s">
        <v>3424</v>
      </c>
      <c r="G692" s="17" t="s">
        <v>99</v>
      </c>
      <c r="H692" s="17" t="s">
        <v>33</v>
      </c>
      <c r="I692" s="17" t="s">
        <v>289</v>
      </c>
      <c r="J692" s="17" t="s">
        <v>233</v>
      </c>
      <c r="K692" s="19"/>
      <c r="L692" s="19"/>
      <c r="M692" s="19"/>
      <c r="N692" s="19"/>
      <c r="O692" s="17" t="n">
        <v>2</v>
      </c>
      <c r="P692" s="18" t="s">
        <v>3555</v>
      </c>
      <c r="Q692" s="18" t="s">
        <v>2223</v>
      </c>
      <c r="R692" s="18" t="s">
        <v>3558</v>
      </c>
      <c r="S692" s="17" t="s">
        <v>3559</v>
      </c>
      <c r="T692" s="18" t="s">
        <v>2389</v>
      </c>
      <c r="U692" s="19"/>
      <c r="V692" s="18" t="s">
        <v>3560</v>
      </c>
      <c r="W692" s="17" t="s">
        <v>383</v>
      </c>
      <c r="X692" s="17" t="s">
        <v>378</v>
      </c>
      <c r="Y692" s="17" t="s">
        <v>242</v>
      </c>
      <c r="Z692" s="19"/>
      <c r="AA692" s="19"/>
      <c r="AB692" s="17"/>
      <c r="AC692" s="19"/>
    </row>
    <row r="693" customFormat="false" ht="15" hidden="false" customHeight="false" outlineLevel="0" collapsed="false">
      <c r="A693" s="10" t="s">
        <v>3561</v>
      </c>
      <c r="B693" s="17" t="s">
        <v>97</v>
      </c>
      <c r="C693" s="18" t="s">
        <v>98</v>
      </c>
      <c r="D693" s="17" t="s">
        <v>19</v>
      </c>
      <c r="E693" s="17" t="s">
        <v>75</v>
      </c>
      <c r="F693" s="17" t="s">
        <v>3424</v>
      </c>
      <c r="G693" s="17" t="s">
        <v>99</v>
      </c>
      <c r="H693" s="17" t="s">
        <v>33</v>
      </c>
      <c r="I693" s="17" t="s">
        <v>289</v>
      </c>
      <c r="J693" s="17" t="s">
        <v>233</v>
      </c>
      <c r="K693" s="19"/>
      <c r="L693" s="19"/>
      <c r="M693" s="19"/>
      <c r="N693" s="19"/>
      <c r="O693" s="17" t="n">
        <v>2</v>
      </c>
      <c r="P693" s="18" t="s">
        <v>3555</v>
      </c>
      <c r="Q693" s="18" t="s">
        <v>2223</v>
      </c>
      <c r="R693" s="18" t="s">
        <v>3562</v>
      </c>
      <c r="S693" s="17" t="s">
        <v>3554</v>
      </c>
      <c r="T693" s="18" t="s">
        <v>2393</v>
      </c>
      <c r="U693" s="19"/>
      <c r="V693" s="18" t="s">
        <v>3563</v>
      </c>
      <c r="W693" s="17" t="s">
        <v>240</v>
      </c>
      <c r="X693" s="17" t="s">
        <v>2227</v>
      </c>
      <c r="Y693" s="17" t="s">
        <v>242</v>
      </c>
      <c r="Z693" s="19"/>
      <c r="AA693" s="19"/>
      <c r="AB693" s="17"/>
      <c r="AC693" s="19"/>
    </row>
    <row r="694" customFormat="false" ht="22.35" hidden="false" customHeight="false" outlineLevel="0" collapsed="false">
      <c r="A694" s="10" t="s">
        <v>3564</v>
      </c>
      <c r="B694" s="17" t="s">
        <v>97</v>
      </c>
      <c r="C694" s="18" t="s">
        <v>98</v>
      </c>
      <c r="D694" s="17" t="s">
        <v>19</v>
      </c>
      <c r="E694" s="17" t="s">
        <v>75</v>
      </c>
      <c r="F694" s="17" t="s">
        <v>3424</v>
      </c>
      <c r="G694" s="17" t="s">
        <v>99</v>
      </c>
      <c r="H694" s="17" t="s">
        <v>33</v>
      </c>
      <c r="I694" s="17" t="s">
        <v>283</v>
      </c>
      <c r="J694" s="17" t="s">
        <v>233</v>
      </c>
      <c r="K694" s="19"/>
      <c r="L694" s="19"/>
      <c r="M694" s="19"/>
      <c r="N694" s="19"/>
      <c r="O694" s="17" t="n">
        <v>2</v>
      </c>
      <c r="P694" s="18" t="s">
        <v>3555</v>
      </c>
      <c r="Q694" s="18" t="s">
        <v>2223</v>
      </c>
      <c r="R694" s="18" t="s">
        <v>3565</v>
      </c>
      <c r="S694" s="17" t="s">
        <v>3561</v>
      </c>
      <c r="T694" s="18" t="s">
        <v>2105</v>
      </c>
      <c r="U694" s="19"/>
      <c r="V694" s="18" t="s">
        <v>2106</v>
      </c>
      <c r="W694" s="17" t="s">
        <v>240</v>
      </c>
      <c r="X694" s="17" t="s">
        <v>2107</v>
      </c>
      <c r="Y694" s="17" t="s">
        <v>242</v>
      </c>
      <c r="Z694" s="19"/>
      <c r="AA694" s="19"/>
      <c r="AB694" s="17"/>
      <c r="AC694" s="19"/>
    </row>
    <row r="695" customFormat="false" ht="22.35" hidden="false" customHeight="false" outlineLevel="0" collapsed="false">
      <c r="A695" s="10" t="s">
        <v>3566</v>
      </c>
      <c r="B695" s="17" t="s">
        <v>97</v>
      </c>
      <c r="C695" s="18" t="s">
        <v>98</v>
      </c>
      <c r="D695" s="17" t="s">
        <v>19</v>
      </c>
      <c r="E695" s="17" t="s">
        <v>75</v>
      </c>
      <c r="F695" s="17" t="s">
        <v>3424</v>
      </c>
      <c r="G695" s="17" t="s">
        <v>99</v>
      </c>
      <c r="H695" s="17" t="s">
        <v>33</v>
      </c>
      <c r="I695" s="17" t="s">
        <v>369</v>
      </c>
      <c r="J695" s="17" t="s">
        <v>233</v>
      </c>
      <c r="K695" s="19"/>
      <c r="L695" s="19"/>
      <c r="M695" s="19"/>
      <c r="N695" s="19"/>
      <c r="O695" s="17" t="n">
        <v>2</v>
      </c>
      <c r="P695" s="18" t="s">
        <v>3567</v>
      </c>
      <c r="Q695" s="18" t="s">
        <v>3568</v>
      </c>
      <c r="R695" s="18" t="s">
        <v>3569</v>
      </c>
      <c r="S695" s="17" t="s">
        <v>3512</v>
      </c>
      <c r="T695" s="18" t="s">
        <v>870</v>
      </c>
      <c r="U695" s="19"/>
      <c r="V695" s="18" t="s">
        <v>3570</v>
      </c>
      <c r="W695" s="17" t="s">
        <v>240</v>
      </c>
      <c r="X695" s="17" t="s">
        <v>2243</v>
      </c>
      <c r="Y695" s="17" t="s">
        <v>242</v>
      </c>
      <c r="Z695" s="19"/>
      <c r="AA695" s="19"/>
      <c r="AB695" s="17"/>
      <c r="AC695" s="19"/>
    </row>
    <row r="696" customFormat="false" ht="15" hidden="false" customHeight="false" outlineLevel="0" collapsed="false">
      <c r="A696" s="10" t="s">
        <v>3571</v>
      </c>
      <c r="B696" s="17" t="s">
        <v>97</v>
      </c>
      <c r="C696" s="18" t="s">
        <v>98</v>
      </c>
      <c r="D696" s="17" t="s">
        <v>19</v>
      </c>
      <c r="E696" s="17" t="s">
        <v>75</v>
      </c>
      <c r="F696" s="17" t="s">
        <v>3424</v>
      </c>
      <c r="G696" s="17" t="s">
        <v>99</v>
      </c>
      <c r="H696" s="17" t="s">
        <v>33</v>
      </c>
      <c r="I696" s="17" t="s">
        <v>369</v>
      </c>
      <c r="J696" s="17" t="s">
        <v>233</v>
      </c>
      <c r="K696" s="19"/>
      <c r="L696" s="19"/>
      <c r="M696" s="19"/>
      <c r="N696" s="19"/>
      <c r="O696" s="17" t="n">
        <v>2</v>
      </c>
      <c r="P696" s="18" t="s">
        <v>3567</v>
      </c>
      <c r="Q696" s="18" t="s">
        <v>3568</v>
      </c>
      <c r="R696" s="18" t="s">
        <v>3572</v>
      </c>
      <c r="S696" s="17" t="s">
        <v>3566</v>
      </c>
      <c r="T696" s="18" t="s">
        <v>3573</v>
      </c>
      <c r="U696" s="19"/>
      <c r="V696" s="18" t="s">
        <v>2403</v>
      </c>
      <c r="W696" s="17" t="s">
        <v>240</v>
      </c>
      <c r="X696" s="17" t="s">
        <v>2243</v>
      </c>
      <c r="Y696" s="17" t="s">
        <v>242</v>
      </c>
      <c r="Z696" s="19"/>
      <c r="AA696" s="19"/>
      <c r="AB696" s="17"/>
      <c r="AC696" s="19"/>
    </row>
    <row r="697" customFormat="false" ht="22.35" hidden="false" customHeight="false" outlineLevel="0" collapsed="false">
      <c r="A697" s="10" t="s">
        <v>3574</v>
      </c>
      <c r="B697" s="17" t="s">
        <v>97</v>
      </c>
      <c r="C697" s="18" t="s">
        <v>98</v>
      </c>
      <c r="D697" s="17" t="s">
        <v>19</v>
      </c>
      <c r="E697" s="17" t="s">
        <v>75</v>
      </c>
      <c r="F697" s="17" t="s">
        <v>3424</v>
      </c>
      <c r="G697" s="17" t="s">
        <v>99</v>
      </c>
      <c r="H697" s="17" t="s">
        <v>33</v>
      </c>
      <c r="I697" s="17" t="s">
        <v>283</v>
      </c>
      <c r="J697" s="17" t="s">
        <v>233</v>
      </c>
      <c r="K697" s="19"/>
      <c r="L697" s="19"/>
      <c r="M697" s="19"/>
      <c r="N697" s="19"/>
      <c r="O697" s="17" t="n">
        <v>2</v>
      </c>
      <c r="P697" s="18" t="s">
        <v>3567</v>
      </c>
      <c r="Q697" s="18" t="s">
        <v>3568</v>
      </c>
      <c r="R697" s="18" t="s">
        <v>3575</v>
      </c>
      <c r="S697" s="17" t="s">
        <v>3571</v>
      </c>
      <c r="T697" s="18" t="s">
        <v>2105</v>
      </c>
      <c r="U697" s="19"/>
      <c r="V697" s="18" t="s">
        <v>2106</v>
      </c>
      <c r="W697" s="17" t="s">
        <v>240</v>
      </c>
      <c r="X697" s="17" t="s">
        <v>2107</v>
      </c>
      <c r="Y697" s="17" t="s">
        <v>242</v>
      </c>
      <c r="Z697" s="19"/>
      <c r="AA697" s="19"/>
      <c r="AB697" s="17"/>
      <c r="AC697" s="19"/>
    </row>
    <row r="698" customFormat="false" ht="22.35" hidden="false" customHeight="false" outlineLevel="0" collapsed="false">
      <c r="A698" s="10" t="s">
        <v>3576</v>
      </c>
      <c r="B698" s="17" t="s">
        <v>103</v>
      </c>
      <c r="C698" s="18" t="s">
        <v>104</v>
      </c>
      <c r="D698" s="17" t="s">
        <v>19</v>
      </c>
      <c r="E698" s="17" t="s">
        <v>229</v>
      </c>
      <c r="F698" s="17" t="s">
        <v>3424</v>
      </c>
      <c r="G698" s="17" t="s">
        <v>105</v>
      </c>
      <c r="H698" s="17" t="s">
        <v>33</v>
      </c>
      <c r="I698" s="17" t="s">
        <v>2896</v>
      </c>
      <c r="J698" s="17" t="s">
        <v>233</v>
      </c>
      <c r="K698" s="19"/>
      <c r="L698" s="19"/>
      <c r="M698" s="19"/>
      <c r="N698" s="19"/>
      <c r="O698" s="17" t="n">
        <v>0</v>
      </c>
      <c r="P698" s="18" t="s">
        <v>3577</v>
      </c>
      <c r="Q698" s="18" t="s">
        <v>3578</v>
      </c>
      <c r="R698" s="18" t="s">
        <v>3579</v>
      </c>
      <c r="S698" s="17" t="s">
        <v>3453</v>
      </c>
      <c r="T698" s="18" t="s">
        <v>3580</v>
      </c>
      <c r="U698" s="19"/>
      <c r="V698" s="18" t="s">
        <v>3581</v>
      </c>
      <c r="W698" s="17" t="s">
        <v>240</v>
      </c>
      <c r="X698" s="17" t="s">
        <v>3582</v>
      </c>
      <c r="Y698" s="17" t="s">
        <v>242</v>
      </c>
      <c r="Z698" s="19"/>
      <c r="AA698" s="19"/>
      <c r="AB698" s="17"/>
      <c r="AC698" s="19"/>
    </row>
    <row r="699" customFormat="false" ht="22.35" hidden="false" customHeight="false" outlineLevel="0" collapsed="false">
      <c r="A699" s="10" t="s">
        <v>3583</v>
      </c>
      <c r="B699" s="17" t="s">
        <v>103</v>
      </c>
      <c r="C699" s="18" t="s">
        <v>104</v>
      </c>
      <c r="D699" s="17" t="s">
        <v>19</v>
      </c>
      <c r="E699" s="17" t="s">
        <v>229</v>
      </c>
      <c r="F699" s="17" t="s">
        <v>3424</v>
      </c>
      <c r="G699" s="17" t="s">
        <v>105</v>
      </c>
      <c r="H699" s="17" t="s">
        <v>33</v>
      </c>
      <c r="I699" s="17" t="s">
        <v>232</v>
      </c>
      <c r="J699" s="17" t="s">
        <v>233</v>
      </c>
      <c r="K699" s="19"/>
      <c r="L699" s="19"/>
      <c r="M699" s="19"/>
      <c r="N699" s="19"/>
      <c r="O699" s="17" t="n">
        <v>0</v>
      </c>
      <c r="P699" s="18" t="s">
        <v>3577</v>
      </c>
      <c r="Q699" s="18" t="s">
        <v>3578</v>
      </c>
      <c r="R699" s="18" t="s">
        <v>3584</v>
      </c>
      <c r="S699" s="17" t="s">
        <v>237</v>
      </c>
      <c r="T699" s="18" t="s">
        <v>3585</v>
      </c>
      <c r="U699" s="19"/>
      <c r="V699" s="18" t="s">
        <v>3586</v>
      </c>
      <c r="W699" s="17" t="s">
        <v>240</v>
      </c>
      <c r="X699" s="17" t="s">
        <v>3582</v>
      </c>
      <c r="Y699" s="17" t="s">
        <v>242</v>
      </c>
      <c r="Z699" s="19"/>
      <c r="AA699" s="19"/>
      <c r="AB699" s="17"/>
      <c r="AC699" s="19"/>
    </row>
    <row r="700" customFormat="false" ht="22.35" hidden="false" customHeight="false" outlineLevel="0" collapsed="false">
      <c r="A700" s="10" t="s">
        <v>3587</v>
      </c>
      <c r="B700" s="17" t="s">
        <v>103</v>
      </c>
      <c r="C700" s="18" t="s">
        <v>104</v>
      </c>
      <c r="D700" s="17" t="s">
        <v>19</v>
      </c>
      <c r="E700" s="17" t="s">
        <v>75</v>
      </c>
      <c r="F700" s="17" t="s">
        <v>3424</v>
      </c>
      <c r="G700" s="17" t="s">
        <v>105</v>
      </c>
      <c r="H700" s="17" t="s">
        <v>33</v>
      </c>
      <c r="I700" s="17" t="s">
        <v>316</v>
      </c>
      <c r="J700" s="17" t="s">
        <v>233</v>
      </c>
      <c r="K700" s="19"/>
      <c r="L700" s="19"/>
      <c r="M700" s="19"/>
      <c r="N700" s="19"/>
      <c r="O700" s="17" t="n">
        <v>2</v>
      </c>
      <c r="P700" s="18" t="s">
        <v>3577</v>
      </c>
      <c r="Q700" s="18" t="s">
        <v>3578</v>
      </c>
      <c r="R700" s="18" t="s">
        <v>3588</v>
      </c>
      <c r="S700" s="17" t="s">
        <v>3503</v>
      </c>
      <c r="T700" s="18" t="s">
        <v>3589</v>
      </c>
      <c r="U700" s="19"/>
      <c r="V700" s="18" t="s">
        <v>3590</v>
      </c>
      <c r="W700" s="17" t="s">
        <v>240</v>
      </c>
      <c r="X700" s="17" t="s">
        <v>3591</v>
      </c>
      <c r="Y700" s="17" t="s">
        <v>242</v>
      </c>
      <c r="Z700" s="19"/>
      <c r="AA700" s="19"/>
      <c r="AB700" s="17"/>
      <c r="AC700" s="19"/>
    </row>
    <row r="701" customFormat="false" ht="22.35" hidden="false" customHeight="false" outlineLevel="0" collapsed="false">
      <c r="A701" s="10" t="s">
        <v>3592</v>
      </c>
      <c r="B701" s="17" t="s">
        <v>103</v>
      </c>
      <c r="C701" s="18" t="s">
        <v>104</v>
      </c>
      <c r="D701" s="17" t="s">
        <v>19</v>
      </c>
      <c r="E701" s="17" t="s">
        <v>75</v>
      </c>
      <c r="F701" s="17" t="s">
        <v>3424</v>
      </c>
      <c r="G701" s="17" t="s">
        <v>105</v>
      </c>
      <c r="H701" s="17" t="s">
        <v>33</v>
      </c>
      <c r="I701" s="17" t="s">
        <v>283</v>
      </c>
      <c r="J701" s="17" t="s">
        <v>233</v>
      </c>
      <c r="K701" s="19"/>
      <c r="L701" s="19"/>
      <c r="M701" s="19"/>
      <c r="N701" s="19"/>
      <c r="O701" s="17" t="n">
        <v>2</v>
      </c>
      <c r="P701" s="18" t="s">
        <v>3577</v>
      </c>
      <c r="Q701" s="18" t="s">
        <v>3578</v>
      </c>
      <c r="R701" s="18" t="s">
        <v>3593</v>
      </c>
      <c r="S701" s="17" t="s">
        <v>3587</v>
      </c>
      <c r="T701" s="18" t="s">
        <v>2105</v>
      </c>
      <c r="U701" s="19"/>
      <c r="V701" s="18" t="s">
        <v>2106</v>
      </c>
      <c r="W701" s="17" t="s">
        <v>240</v>
      </c>
      <c r="X701" s="17" t="s">
        <v>2107</v>
      </c>
      <c r="Y701" s="17" t="s">
        <v>242</v>
      </c>
      <c r="Z701" s="19"/>
      <c r="AA701" s="19"/>
      <c r="AB701" s="17"/>
      <c r="AC701" s="19"/>
    </row>
    <row r="702" customFormat="false" ht="22.35" hidden="false" customHeight="false" outlineLevel="0" collapsed="false">
      <c r="A702" s="10" t="s">
        <v>3594</v>
      </c>
      <c r="B702" s="17" t="s">
        <v>103</v>
      </c>
      <c r="C702" s="18" t="s">
        <v>104</v>
      </c>
      <c r="D702" s="17" t="s">
        <v>19</v>
      </c>
      <c r="E702" s="17" t="s">
        <v>229</v>
      </c>
      <c r="F702" s="17" t="s">
        <v>3424</v>
      </c>
      <c r="G702" s="17" t="s">
        <v>105</v>
      </c>
      <c r="H702" s="17" t="s">
        <v>33</v>
      </c>
      <c r="I702" s="17" t="s">
        <v>1413</v>
      </c>
      <c r="J702" s="17" t="s">
        <v>233</v>
      </c>
      <c r="K702" s="19"/>
      <c r="L702" s="19"/>
      <c r="M702" s="19"/>
      <c r="N702" s="19"/>
      <c r="O702" s="17" t="n">
        <v>3</v>
      </c>
      <c r="P702" s="18" t="s">
        <v>3595</v>
      </c>
      <c r="Q702" s="18" t="s">
        <v>3596</v>
      </c>
      <c r="R702" s="18" t="s">
        <v>3597</v>
      </c>
      <c r="S702" s="17" t="s">
        <v>3598</v>
      </c>
      <c r="T702" s="18" t="s">
        <v>3599</v>
      </c>
      <c r="U702" s="19"/>
      <c r="V702" s="18" t="s">
        <v>3600</v>
      </c>
      <c r="W702" s="17" t="s">
        <v>240</v>
      </c>
      <c r="X702" s="17" t="s">
        <v>3601</v>
      </c>
      <c r="Y702" s="17" t="s">
        <v>242</v>
      </c>
      <c r="Z702" s="19"/>
      <c r="AA702" s="19"/>
      <c r="AB702" s="17"/>
      <c r="AC702" s="19"/>
    </row>
    <row r="703" customFormat="false" ht="22.35" hidden="false" customHeight="false" outlineLevel="0" collapsed="false">
      <c r="A703" s="10" t="s">
        <v>3602</v>
      </c>
      <c r="B703" s="17" t="s">
        <v>103</v>
      </c>
      <c r="C703" s="18" t="s">
        <v>104</v>
      </c>
      <c r="D703" s="17" t="s">
        <v>19</v>
      </c>
      <c r="E703" s="17" t="s">
        <v>75</v>
      </c>
      <c r="F703" s="17" t="s">
        <v>3424</v>
      </c>
      <c r="G703" s="17" t="s">
        <v>105</v>
      </c>
      <c r="H703" s="17" t="s">
        <v>33</v>
      </c>
      <c r="I703" s="17" t="s">
        <v>1413</v>
      </c>
      <c r="J703" s="17" t="s">
        <v>233</v>
      </c>
      <c r="K703" s="19"/>
      <c r="L703" s="19"/>
      <c r="M703" s="19"/>
      <c r="N703" s="19"/>
      <c r="O703" s="17" t="n">
        <v>3</v>
      </c>
      <c r="P703" s="18" t="s">
        <v>3595</v>
      </c>
      <c r="Q703" s="18" t="s">
        <v>3596</v>
      </c>
      <c r="R703" s="18" t="s">
        <v>3603</v>
      </c>
      <c r="S703" s="17" t="s">
        <v>3583</v>
      </c>
      <c r="T703" s="18" t="s">
        <v>3604</v>
      </c>
      <c r="U703" s="19"/>
      <c r="V703" s="18" t="s">
        <v>3605</v>
      </c>
      <c r="W703" s="17" t="s">
        <v>240</v>
      </c>
      <c r="X703" s="17" t="s">
        <v>3606</v>
      </c>
      <c r="Y703" s="17" t="s">
        <v>242</v>
      </c>
      <c r="Z703" s="19"/>
      <c r="AA703" s="19"/>
      <c r="AB703" s="17"/>
      <c r="AC703" s="19"/>
    </row>
    <row r="704" customFormat="false" ht="15" hidden="false" customHeight="false" outlineLevel="0" collapsed="false">
      <c r="A704" s="10" t="s">
        <v>3607</v>
      </c>
      <c r="B704" s="17" t="s">
        <v>103</v>
      </c>
      <c r="C704" s="18" t="s">
        <v>104</v>
      </c>
      <c r="D704" s="17" t="s">
        <v>19</v>
      </c>
      <c r="E704" s="17" t="s">
        <v>75</v>
      </c>
      <c r="F704" s="17" t="s">
        <v>3424</v>
      </c>
      <c r="G704" s="17" t="s">
        <v>105</v>
      </c>
      <c r="H704" s="17" t="s">
        <v>33</v>
      </c>
      <c r="I704" s="17" t="s">
        <v>1413</v>
      </c>
      <c r="J704" s="17" t="s">
        <v>233</v>
      </c>
      <c r="K704" s="19"/>
      <c r="L704" s="19"/>
      <c r="M704" s="19"/>
      <c r="N704" s="19"/>
      <c r="O704" s="17" t="n">
        <v>3</v>
      </c>
      <c r="P704" s="18" t="s">
        <v>3595</v>
      </c>
      <c r="Q704" s="18" t="s">
        <v>3596</v>
      </c>
      <c r="R704" s="18" t="s">
        <v>3608</v>
      </c>
      <c r="S704" s="17" t="s">
        <v>3594</v>
      </c>
      <c r="T704" s="18" t="s">
        <v>3609</v>
      </c>
      <c r="U704" s="19"/>
      <c r="V704" s="18" t="s">
        <v>3610</v>
      </c>
      <c r="W704" s="17" t="s">
        <v>240</v>
      </c>
      <c r="X704" s="17" t="s">
        <v>3582</v>
      </c>
      <c r="Y704" s="17" t="s">
        <v>242</v>
      </c>
      <c r="Z704" s="19"/>
      <c r="AA704" s="19"/>
      <c r="AB704" s="17"/>
      <c r="AC704" s="19"/>
    </row>
    <row r="705" customFormat="false" ht="22.35" hidden="false" customHeight="false" outlineLevel="0" collapsed="false">
      <c r="A705" s="10" t="s">
        <v>3611</v>
      </c>
      <c r="B705" s="17" t="s">
        <v>103</v>
      </c>
      <c r="C705" s="18" t="s">
        <v>104</v>
      </c>
      <c r="D705" s="17" t="s">
        <v>19</v>
      </c>
      <c r="E705" s="17" t="s">
        <v>229</v>
      </c>
      <c r="F705" s="17" t="s">
        <v>3424</v>
      </c>
      <c r="G705" s="17" t="s">
        <v>105</v>
      </c>
      <c r="H705" s="17" t="s">
        <v>33</v>
      </c>
      <c r="I705" s="17" t="s">
        <v>1413</v>
      </c>
      <c r="J705" s="17" t="s">
        <v>233</v>
      </c>
      <c r="K705" s="19"/>
      <c r="L705" s="19"/>
      <c r="M705" s="19"/>
      <c r="N705" s="19"/>
      <c r="O705" s="17" t="n">
        <v>3</v>
      </c>
      <c r="P705" s="18" t="s">
        <v>3595</v>
      </c>
      <c r="Q705" s="18" t="s">
        <v>3596</v>
      </c>
      <c r="R705" s="18" t="s">
        <v>3612</v>
      </c>
      <c r="S705" s="17" t="s">
        <v>3613</v>
      </c>
      <c r="T705" s="18" t="s">
        <v>3614</v>
      </c>
      <c r="U705" s="19"/>
      <c r="V705" s="18" t="s">
        <v>3615</v>
      </c>
      <c r="W705" s="17" t="s">
        <v>240</v>
      </c>
      <c r="X705" s="17" t="s">
        <v>2525</v>
      </c>
      <c r="Y705" s="17" t="s">
        <v>242</v>
      </c>
      <c r="Z705" s="19"/>
      <c r="AA705" s="19"/>
      <c r="AB705" s="17"/>
      <c r="AC705" s="19"/>
    </row>
    <row r="706" customFormat="false" ht="22.35" hidden="false" customHeight="false" outlineLevel="0" collapsed="false">
      <c r="A706" s="10" t="s">
        <v>3616</v>
      </c>
      <c r="B706" s="17" t="s">
        <v>103</v>
      </c>
      <c r="C706" s="18" t="s">
        <v>104</v>
      </c>
      <c r="D706" s="17" t="s">
        <v>19</v>
      </c>
      <c r="E706" s="17" t="s">
        <v>229</v>
      </c>
      <c r="F706" s="17" t="s">
        <v>3424</v>
      </c>
      <c r="G706" s="17" t="s">
        <v>105</v>
      </c>
      <c r="H706" s="17" t="s">
        <v>33</v>
      </c>
      <c r="I706" s="17" t="s">
        <v>333</v>
      </c>
      <c r="J706" s="17" t="s">
        <v>233</v>
      </c>
      <c r="K706" s="19"/>
      <c r="L706" s="19"/>
      <c r="M706" s="19"/>
      <c r="N706" s="19"/>
      <c r="O706" s="17" t="n">
        <v>3</v>
      </c>
      <c r="P706" s="18" t="s">
        <v>3595</v>
      </c>
      <c r="Q706" s="18" t="s">
        <v>3596</v>
      </c>
      <c r="R706" s="18" t="s">
        <v>3617</v>
      </c>
      <c r="S706" s="17" t="s">
        <v>2495</v>
      </c>
      <c r="T706" s="18" t="s">
        <v>3618</v>
      </c>
      <c r="U706" s="19"/>
      <c r="V706" s="18" t="s">
        <v>3619</v>
      </c>
      <c r="W706" s="17" t="s">
        <v>240</v>
      </c>
      <c r="X706" s="17" t="s">
        <v>3620</v>
      </c>
      <c r="Y706" s="17" t="s">
        <v>242</v>
      </c>
      <c r="Z706" s="19"/>
      <c r="AA706" s="19"/>
      <c r="AB706" s="17"/>
      <c r="AC706" s="19"/>
    </row>
    <row r="707" customFormat="false" ht="22.35" hidden="false" customHeight="false" outlineLevel="0" collapsed="false">
      <c r="A707" s="10" t="s">
        <v>3621</v>
      </c>
      <c r="B707" s="17" t="s">
        <v>103</v>
      </c>
      <c r="C707" s="18" t="s">
        <v>104</v>
      </c>
      <c r="D707" s="17" t="s">
        <v>19</v>
      </c>
      <c r="E707" s="17" t="s">
        <v>75</v>
      </c>
      <c r="F707" s="17" t="s">
        <v>3424</v>
      </c>
      <c r="G707" s="17" t="s">
        <v>105</v>
      </c>
      <c r="H707" s="17" t="s">
        <v>33</v>
      </c>
      <c r="I707" s="17" t="s">
        <v>283</v>
      </c>
      <c r="J707" s="17" t="s">
        <v>233</v>
      </c>
      <c r="K707" s="19"/>
      <c r="L707" s="19"/>
      <c r="M707" s="19"/>
      <c r="N707" s="19"/>
      <c r="O707" s="17" t="n">
        <v>3</v>
      </c>
      <c r="P707" s="18" t="s">
        <v>3595</v>
      </c>
      <c r="Q707" s="18" t="s">
        <v>3596</v>
      </c>
      <c r="R707" s="18" t="s">
        <v>3622</v>
      </c>
      <c r="S707" s="17" t="s">
        <v>3616</v>
      </c>
      <c r="T707" s="18" t="s">
        <v>2105</v>
      </c>
      <c r="U707" s="19"/>
      <c r="V707" s="18" t="s">
        <v>2106</v>
      </c>
      <c r="W707" s="17" t="s">
        <v>240</v>
      </c>
      <c r="X707" s="17" t="s">
        <v>2107</v>
      </c>
      <c r="Y707" s="17" t="s">
        <v>242</v>
      </c>
      <c r="Z707" s="19"/>
      <c r="AA707" s="19"/>
      <c r="AB707" s="17"/>
      <c r="AC707" s="19"/>
    </row>
    <row r="708" customFormat="false" ht="22.35" hidden="false" customHeight="false" outlineLevel="0" collapsed="false">
      <c r="A708" s="10" t="s">
        <v>3623</v>
      </c>
      <c r="B708" s="17" t="s">
        <v>103</v>
      </c>
      <c r="C708" s="18" t="s">
        <v>104</v>
      </c>
      <c r="D708" s="17" t="s">
        <v>19</v>
      </c>
      <c r="E708" s="17" t="s">
        <v>229</v>
      </c>
      <c r="F708" s="17" t="s">
        <v>3424</v>
      </c>
      <c r="G708" s="17" t="s">
        <v>105</v>
      </c>
      <c r="H708" s="17" t="s">
        <v>33</v>
      </c>
      <c r="I708" s="17" t="s">
        <v>289</v>
      </c>
      <c r="J708" s="17" t="s">
        <v>233</v>
      </c>
      <c r="K708" s="19"/>
      <c r="L708" s="19"/>
      <c r="M708" s="19"/>
      <c r="N708" s="19"/>
      <c r="O708" s="17" t="n">
        <v>3</v>
      </c>
      <c r="P708" s="18" t="s">
        <v>3624</v>
      </c>
      <c r="Q708" s="18" t="s">
        <v>3625</v>
      </c>
      <c r="R708" s="18" t="s">
        <v>3626</v>
      </c>
      <c r="S708" s="17" t="s">
        <v>3594</v>
      </c>
      <c r="T708" s="18" t="s">
        <v>2389</v>
      </c>
      <c r="U708" s="19"/>
      <c r="V708" s="18" t="s">
        <v>3627</v>
      </c>
      <c r="W708" s="17" t="s">
        <v>383</v>
      </c>
      <c r="X708" s="17" t="s">
        <v>378</v>
      </c>
      <c r="Y708" s="17" t="s">
        <v>242</v>
      </c>
      <c r="Z708" s="19"/>
      <c r="AA708" s="19"/>
      <c r="AB708" s="17"/>
      <c r="AC708" s="19"/>
    </row>
    <row r="709" customFormat="false" ht="22.35" hidden="false" customHeight="false" outlineLevel="0" collapsed="false">
      <c r="A709" s="10" t="s">
        <v>3628</v>
      </c>
      <c r="B709" s="17" t="s">
        <v>103</v>
      </c>
      <c r="C709" s="18" t="s">
        <v>104</v>
      </c>
      <c r="D709" s="17" t="s">
        <v>19</v>
      </c>
      <c r="E709" s="17" t="s">
        <v>75</v>
      </c>
      <c r="F709" s="17" t="s">
        <v>3424</v>
      </c>
      <c r="G709" s="17" t="s">
        <v>105</v>
      </c>
      <c r="H709" s="17" t="s">
        <v>33</v>
      </c>
      <c r="I709" s="17" t="s">
        <v>289</v>
      </c>
      <c r="J709" s="17" t="s">
        <v>233</v>
      </c>
      <c r="K709" s="19"/>
      <c r="L709" s="19"/>
      <c r="M709" s="19"/>
      <c r="N709" s="19"/>
      <c r="O709" s="17" t="n">
        <v>3</v>
      </c>
      <c r="P709" s="18" t="s">
        <v>3624</v>
      </c>
      <c r="Q709" s="18" t="s">
        <v>3625</v>
      </c>
      <c r="R709" s="18" t="s">
        <v>3629</v>
      </c>
      <c r="S709" s="17" t="s">
        <v>3607</v>
      </c>
      <c r="T709" s="18" t="s">
        <v>3630</v>
      </c>
      <c r="U709" s="19"/>
      <c r="V709" s="18" t="s">
        <v>3631</v>
      </c>
      <c r="W709" s="17" t="s">
        <v>240</v>
      </c>
      <c r="X709" s="17" t="s">
        <v>2206</v>
      </c>
      <c r="Y709" s="17" t="s">
        <v>242</v>
      </c>
      <c r="Z709" s="19"/>
      <c r="AA709" s="19"/>
      <c r="AB709" s="17"/>
      <c r="AC709" s="19"/>
    </row>
    <row r="710" customFormat="false" ht="22.35" hidden="false" customHeight="false" outlineLevel="0" collapsed="false">
      <c r="A710" s="10" t="s">
        <v>3632</v>
      </c>
      <c r="B710" s="17" t="s">
        <v>103</v>
      </c>
      <c r="C710" s="18" t="s">
        <v>104</v>
      </c>
      <c r="D710" s="17" t="s">
        <v>19</v>
      </c>
      <c r="E710" s="17" t="s">
        <v>75</v>
      </c>
      <c r="F710" s="17" t="s">
        <v>3424</v>
      </c>
      <c r="G710" s="17" t="s">
        <v>105</v>
      </c>
      <c r="H710" s="17" t="s">
        <v>33</v>
      </c>
      <c r="I710" s="17" t="s">
        <v>369</v>
      </c>
      <c r="J710" s="17" t="s">
        <v>233</v>
      </c>
      <c r="K710" s="19"/>
      <c r="L710" s="19"/>
      <c r="M710" s="19"/>
      <c r="N710" s="19"/>
      <c r="O710" s="17" t="n">
        <v>3</v>
      </c>
      <c r="P710" s="18" t="s">
        <v>3624</v>
      </c>
      <c r="Q710" s="18" t="s">
        <v>3625</v>
      </c>
      <c r="R710" s="18" t="s">
        <v>3633</v>
      </c>
      <c r="S710" s="17" t="s">
        <v>3602</v>
      </c>
      <c r="T710" s="18" t="s">
        <v>870</v>
      </c>
      <c r="U710" s="19"/>
      <c r="V710" s="18" t="s">
        <v>3634</v>
      </c>
      <c r="W710" s="17" t="s">
        <v>240</v>
      </c>
      <c r="X710" s="17" t="s">
        <v>2243</v>
      </c>
      <c r="Y710" s="17" t="s">
        <v>242</v>
      </c>
      <c r="Z710" s="19"/>
      <c r="AA710" s="19"/>
      <c r="AB710" s="17"/>
      <c r="AC710" s="19"/>
    </row>
    <row r="711" customFormat="false" ht="22.35" hidden="false" customHeight="false" outlineLevel="0" collapsed="false">
      <c r="A711" s="10" t="s">
        <v>3635</v>
      </c>
      <c r="B711" s="17" t="s">
        <v>103</v>
      </c>
      <c r="C711" s="18" t="s">
        <v>104</v>
      </c>
      <c r="D711" s="17" t="s">
        <v>19</v>
      </c>
      <c r="E711" s="17" t="s">
        <v>75</v>
      </c>
      <c r="F711" s="17" t="s">
        <v>3424</v>
      </c>
      <c r="G711" s="17" t="s">
        <v>105</v>
      </c>
      <c r="H711" s="17" t="s">
        <v>33</v>
      </c>
      <c r="I711" s="17" t="s">
        <v>283</v>
      </c>
      <c r="J711" s="17" t="s">
        <v>233</v>
      </c>
      <c r="K711" s="19"/>
      <c r="L711" s="19"/>
      <c r="M711" s="19"/>
      <c r="N711" s="19"/>
      <c r="O711" s="17" t="n">
        <v>3</v>
      </c>
      <c r="P711" s="18" t="s">
        <v>3624</v>
      </c>
      <c r="Q711" s="18" t="s">
        <v>3625</v>
      </c>
      <c r="R711" s="18" t="s">
        <v>3636</v>
      </c>
      <c r="S711" s="17" t="s">
        <v>3632</v>
      </c>
      <c r="T711" s="18" t="s">
        <v>2105</v>
      </c>
      <c r="U711" s="19"/>
      <c r="V711" s="18" t="s">
        <v>2106</v>
      </c>
      <c r="W711" s="17" t="s">
        <v>240</v>
      </c>
      <c r="X711" s="17" t="s">
        <v>2107</v>
      </c>
      <c r="Y711" s="17" t="s">
        <v>242</v>
      </c>
      <c r="Z711" s="19"/>
      <c r="AA711" s="19"/>
      <c r="AB711" s="17"/>
      <c r="AC711" s="19"/>
    </row>
    <row r="712" customFormat="false" ht="22.35" hidden="false" customHeight="false" outlineLevel="0" collapsed="false">
      <c r="A712" s="10" t="s">
        <v>3637</v>
      </c>
      <c r="B712" s="17" t="s">
        <v>100</v>
      </c>
      <c r="C712" s="18" t="s">
        <v>101</v>
      </c>
      <c r="D712" s="17" t="s">
        <v>19</v>
      </c>
      <c r="E712" s="17" t="s">
        <v>229</v>
      </c>
      <c r="F712" s="17" t="s">
        <v>3424</v>
      </c>
      <c r="G712" s="17" t="s">
        <v>3638</v>
      </c>
      <c r="H712" s="17" t="s">
        <v>33</v>
      </c>
      <c r="I712" s="17" t="s">
        <v>1564</v>
      </c>
      <c r="J712" s="17" t="s">
        <v>233</v>
      </c>
      <c r="K712" s="19"/>
      <c r="L712" s="19"/>
      <c r="M712" s="19"/>
      <c r="N712" s="19"/>
      <c r="O712" s="17" t="n">
        <v>0</v>
      </c>
      <c r="P712" s="18" t="s">
        <v>3639</v>
      </c>
      <c r="Q712" s="18" t="s">
        <v>3640</v>
      </c>
      <c r="R712" s="18" t="s">
        <v>3641</v>
      </c>
      <c r="S712" s="17" t="s">
        <v>237</v>
      </c>
      <c r="T712" s="18" t="s">
        <v>3642</v>
      </c>
      <c r="U712" s="19"/>
      <c r="V712" s="18" t="s">
        <v>3643</v>
      </c>
      <c r="W712" s="17" t="s">
        <v>240</v>
      </c>
      <c r="X712" s="17" t="s">
        <v>3644</v>
      </c>
      <c r="Y712" s="17" t="s">
        <v>242</v>
      </c>
      <c r="Z712" s="19"/>
      <c r="AA712" s="19"/>
      <c r="AB712" s="17"/>
      <c r="AC712" s="19"/>
    </row>
    <row r="713" customFormat="false" ht="22.35" hidden="false" customHeight="false" outlineLevel="0" collapsed="false">
      <c r="A713" s="10" t="s">
        <v>3645</v>
      </c>
      <c r="B713" s="17" t="s">
        <v>100</v>
      </c>
      <c r="C713" s="18" t="s">
        <v>101</v>
      </c>
      <c r="D713" s="17" t="s">
        <v>19</v>
      </c>
      <c r="E713" s="17" t="s">
        <v>229</v>
      </c>
      <c r="F713" s="17" t="s">
        <v>3424</v>
      </c>
      <c r="G713" s="17" t="s">
        <v>3638</v>
      </c>
      <c r="H713" s="17" t="s">
        <v>33</v>
      </c>
      <c r="I713" s="17" t="s">
        <v>1413</v>
      </c>
      <c r="J713" s="17" t="s">
        <v>233</v>
      </c>
      <c r="K713" s="19"/>
      <c r="L713" s="19"/>
      <c r="M713" s="19"/>
      <c r="N713" s="19"/>
      <c r="O713" s="17" t="n">
        <v>0</v>
      </c>
      <c r="P713" s="18" t="s">
        <v>3639</v>
      </c>
      <c r="Q713" s="18" t="s">
        <v>3640</v>
      </c>
      <c r="R713" s="18" t="s">
        <v>3646</v>
      </c>
      <c r="S713" s="17" t="s">
        <v>3637</v>
      </c>
      <c r="T713" s="18" t="s">
        <v>3647</v>
      </c>
      <c r="U713" s="19"/>
      <c r="V713" s="18" t="s">
        <v>3648</v>
      </c>
      <c r="W713" s="17" t="s">
        <v>240</v>
      </c>
      <c r="X713" s="17" t="s">
        <v>3649</v>
      </c>
      <c r="Y713" s="17" t="s">
        <v>242</v>
      </c>
      <c r="Z713" s="19"/>
      <c r="AA713" s="19"/>
      <c r="AB713" s="17"/>
      <c r="AC713" s="19"/>
    </row>
    <row r="714" customFormat="false" ht="22.35" hidden="false" customHeight="false" outlineLevel="0" collapsed="false">
      <c r="A714" s="10" t="s">
        <v>3650</v>
      </c>
      <c r="B714" s="17" t="s">
        <v>100</v>
      </c>
      <c r="C714" s="18" t="s">
        <v>101</v>
      </c>
      <c r="D714" s="17" t="s">
        <v>19</v>
      </c>
      <c r="E714" s="17" t="s">
        <v>229</v>
      </c>
      <c r="F714" s="17" t="s">
        <v>3424</v>
      </c>
      <c r="G714" s="17" t="s">
        <v>3638</v>
      </c>
      <c r="H714" s="17" t="s">
        <v>33</v>
      </c>
      <c r="I714" s="17" t="s">
        <v>1564</v>
      </c>
      <c r="J714" s="17" t="s">
        <v>233</v>
      </c>
      <c r="K714" s="19"/>
      <c r="L714" s="19"/>
      <c r="M714" s="19"/>
      <c r="N714" s="19"/>
      <c r="O714" s="17" t="n">
        <v>0</v>
      </c>
      <c r="P714" s="18" t="s">
        <v>3639</v>
      </c>
      <c r="Q714" s="18" t="s">
        <v>3640</v>
      </c>
      <c r="R714" s="18" t="s">
        <v>3651</v>
      </c>
      <c r="S714" s="17" t="s">
        <v>3637</v>
      </c>
      <c r="T714" s="18" t="s">
        <v>3652</v>
      </c>
      <c r="U714" s="19"/>
      <c r="V714" s="18" t="s">
        <v>3653</v>
      </c>
      <c r="W714" s="17" t="s">
        <v>240</v>
      </c>
      <c r="X714" s="17" t="s">
        <v>3654</v>
      </c>
      <c r="Y714" s="17" t="s">
        <v>242</v>
      </c>
      <c r="Z714" s="19"/>
      <c r="AA714" s="19"/>
      <c r="AB714" s="17"/>
      <c r="AC714" s="19"/>
    </row>
    <row r="715" customFormat="false" ht="15" hidden="false" customHeight="false" outlineLevel="0" collapsed="false">
      <c r="A715" s="10" t="s">
        <v>3655</v>
      </c>
      <c r="B715" s="17" t="s">
        <v>100</v>
      </c>
      <c r="C715" s="18" t="s">
        <v>101</v>
      </c>
      <c r="D715" s="17" t="s">
        <v>19</v>
      </c>
      <c r="E715" s="17" t="s">
        <v>229</v>
      </c>
      <c r="F715" s="17" t="s">
        <v>3424</v>
      </c>
      <c r="G715" s="17" t="s">
        <v>3638</v>
      </c>
      <c r="H715" s="17" t="s">
        <v>33</v>
      </c>
      <c r="I715" s="17" t="s">
        <v>283</v>
      </c>
      <c r="J715" s="17" t="s">
        <v>233</v>
      </c>
      <c r="K715" s="19"/>
      <c r="L715" s="19"/>
      <c r="M715" s="19"/>
      <c r="N715" s="19"/>
      <c r="O715" s="17" t="n">
        <v>0</v>
      </c>
      <c r="P715" s="18" t="s">
        <v>3639</v>
      </c>
      <c r="Q715" s="18" t="s">
        <v>3640</v>
      </c>
      <c r="R715" s="18" t="s">
        <v>3656</v>
      </c>
      <c r="S715" s="17" t="s">
        <v>3637</v>
      </c>
      <c r="T715" s="18" t="s">
        <v>3657</v>
      </c>
      <c r="U715" s="19"/>
      <c r="V715" s="18" t="s">
        <v>3658</v>
      </c>
      <c r="W715" s="17" t="s">
        <v>240</v>
      </c>
      <c r="X715" s="17" t="s">
        <v>3659</v>
      </c>
      <c r="Y715" s="17" t="s">
        <v>242</v>
      </c>
      <c r="Z715" s="19"/>
      <c r="AA715" s="19"/>
      <c r="AB715" s="17"/>
      <c r="AC715" s="19"/>
    </row>
    <row r="716" customFormat="false" ht="22.35" hidden="false" customHeight="false" outlineLevel="0" collapsed="false">
      <c r="A716" s="10" t="s">
        <v>3660</v>
      </c>
      <c r="B716" s="17" t="s">
        <v>100</v>
      </c>
      <c r="C716" s="18" t="s">
        <v>101</v>
      </c>
      <c r="D716" s="17" t="s">
        <v>19</v>
      </c>
      <c r="E716" s="17" t="s">
        <v>229</v>
      </c>
      <c r="F716" s="17" t="s">
        <v>3424</v>
      </c>
      <c r="G716" s="17" t="s">
        <v>3638</v>
      </c>
      <c r="H716" s="17" t="s">
        <v>33</v>
      </c>
      <c r="I716" s="17" t="s">
        <v>1564</v>
      </c>
      <c r="J716" s="17" t="s">
        <v>233</v>
      </c>
      <c r="K716" s="19"/>
      <c r="L716" s="19"/>
      <c r="M716" s="19"/>
      <c r="N716" s="19"/>
      <c r="O716" s="17" t="n">
        <v>0</v>
      </c>
      <c r="P716" s="18" t="s">
        <v>3639</v>
      </c>
      <c r="Q716" s="18" t="s">
        <v>3640</v>
      </c>
      <c r="R716" s="18" t="s">
        <v>3661</v>
      </c>
      <c r="S716" s="17" t="s">
        <v>2415</v>
      </c>
      <c r="T716" s="18" t="s">
        <v>3662</v>
      </c>
      <c r="U716" s="19"/>
      <c r="V716" s="18" t="s">
        <v>3663</v>
      </c>
      <c r="W716" s="17" t="s">
        <v>240</v>
      </c>
      <c r="X716" s="17" t="s">
        <v>3664</v>
      </c>
      <c r="Y716" s="17" t="s">
        <v>242</v>
      </c>
      <c r="Z716" s="19"/>
      <c r="AA716" s="19"/>
      <c r="AB716" s="17"/>
      <c r="AC716" s="19"/>
    </row>
    <row r="717" customFormat="false" ht="22.35" hidden="false" customHeight="false" outlineLevel="0" collapsed="false">
      <c r="A717" s="10" t="s">
        <v>3665</v>
      </c>
      <c r="B717" s="17" t="s">
        <v>100</v>
      </c>
      <c r="C717" s="18" t="s">
        <v>101</v>
      </c>
      <c r="D717" s="17" t="s">
        <v>19</v>
      </c>
      <c r="E717" s="17" t="s">
        <v>229</v>
      </c>
      <c r="F717" s="17" t="s">
        <v>3424</v>
      </c>
      <c r="G717" s="17" t="s">
        <v>3638</v>
      </c>
      <c r="H717" s="17" t="s">
        <v>33</v>
      </c>
      <c r="I717" s="17" t="s">
        <v>283</v>
      </c>
      <c r="J717" s="17" t="s">
        <v>233</v>
      </c>
      <c r="K717" s="19"/>
      <c r="L717" s="19"/>
      <c r="M717" s="19"/>
      <c r="N717" s="19"/>
      <c r="O717" s="17" t="n">
        <v>0</v>
      </c>
      <c r="P717" s="18" t="s">
        <v>3639</v>
      </c>
      <c r="Q717" s="18" t="s">
        <v>3640</v>
      </c>
      <c r="R717" s="18" t="s">
        <v>3666</v>
      </c>
      <c r="S717" s="17" t="s">
        <v>3660</v>
      </c>
      <c r="T717" s="18" t="s">
        <v>2105</v>
      </c>
      <c r="U717" s="19"/>
      <c r="V717" s="18" t="s">
        <v>2106</v>
      </c>
      <c r="W717" s="17" t="s">
        <v>240</v>
      </c>
      <c r="X717" s="17" t="s">
        <v>2107</v>
      </c>
      <c r="Y717" s="17" t="s">
        <v>242</v>
      </c>
      <c r="Z717" s="19"/>
      <c r="AA717" s="19"/>
      <c r="AB717" s="17"/>
      <c r="AC717" s="19"/>
    </row>
    <row r="718" customFormat="false" ht="22.35" hidden="false" customHeight="false" outlineLevel="0" collapsed="false">
      <c r="A718" s="10" t="s">
        <v>3667</v>
      </c>
      <c r="B718" s="17" t="s">
        <v>100</v>
      </c>
      <c r="C718" s="18" t="s">
        <v>101</v>
      </c>
      <c r="D718" s="17" t="s">
        <v>19</v>
      </c>
      <c r="E718" s="17" t="s">
        <v>75</v>
      </c>
      <c r="F718" s="17" t="s">
        <v>3424</v>
      </c>
      <c r="G718" s="17" t="s">
        <v>3638</v>
      </c>
      <c r="H718" s="17" t="s">
        <v>33</v>
      </c>
      <c r="I718" s="17" t="s">
        <v>1564</v>
      </c>
      <c r="J718" s="17" t="s">
        <v>233</v>
      </c>
      <c r="K718" s="19"/>
      <c r="L718" s="19"/>
      <c r="M718" s="19"/>
      <c r="N718" s="19"/>
      <c r="O718" s="17" t="n">
        <v>2</v>
      </c>
      <c r="P718" s="18" t="s">
        <v>3668</v>
      </c>
      <c r="Q718" s="18" t="s">
        <v>3669</v>
      </c>
      <c r="R718" s="18" t="s">
        <v>3670</v>
      </c>
      <c r="S718" s="17" t="s">
        <v>3645</v>
      </c>
      <c r="T718" s="18" t="s">
        <v>3671</v>
      </c>
      <c r="U718" s="19"/>
      <c r="V718" s="18" t="s">
        <v>3672</v>
      </c>
      <c r="W718" s="17" t="s">
        <v>240</v>
      </c>
      <c r="X718" s="17" t="s">
        <v>3673</v>
      </c>
      <c r="Y718" s="17" t="s">
        <v>242</v>
      </c>
      <c r="Z718" s="19"/>
      <c r="AA718" s="19"/>
      <c r="AB718" s="17"/>
      <c r="AC718" s="19"/>
    </row>
    <row r="719" customFormat="false" ht="22.35" hidden="false" customHeight="false" outlineLevel="0" collapsed="false">
      <c r="A719" s="10" t="s">
        <v>3674</v>
      </c>
      <c r="B719" s="17" t="s">
        <v>100</v>
      </c>
      <c r="C719" s="18" t="s">
        <v>101</v>
      </c>
      <c r="D719" s="17" t="s">
        <v>19</v>
      </c>
      <c r="E719" s="17" t="s">
        <v>75</v>
      </c>
      <c r="F719" s="17" t="s">
        <v>3424</v>
      </c>
      <c r="G719" s="17" t="s">
        <v>3638</v>
      </c>
      <c r="H719" s="17" t="s">
        <v>33</v>
      </c>
      <c r="I719" s="17" t="s">
        <v>1564</v>
      </c>
      <c r="J719" s="17" t="s">
        <v>233</v>
      </c>
      <c r="K719" s="19"/>
      <c r="L719" s="19"/>
      <c r="M719" s="19"/>
      <c r="N719" s="19"/>
      <c r="O719" s="17" t="n">
        <v>2</v>
      </c>
      <c r="P719" s="18" t="s">
        <v>3668</v>
      </c>
      <c r="Q719" s="18" t="s">
        <v>3669</v>
      </c>
      <c r="R719" s="18" t="s">
        <v>3675</v>
      </c>
      <c r="S719" s="17" t="s">
        <v>3650</v>
      </c>
      <c r="T719" s="18" t="s">
        <v>3676</v>
      </c>
      <c r="U719" s="19"/>
      <c r="V719" s="18" t="s">
        <v>3677</v>
      </c>
      <c r="W719" s="17" t="s">
        <v>240</v>
      </c>
      <c r="X719" s="17" t="s">
        <v>3678</v>
      </c>
      <c r="Y719" s="17" t="s">
        <v>242</v>
      </c>
      <c r="Z719" s="19"/>
      <c r="AA719" s="19"/>
      <c r="AB719" s="17"/>
      <c r="AC719" s="19"/>
    </row>
    <row r="720" customFormat="false" ht="22.35" hidden="false" customHeight="false" outlineLevel="0" collapsed="false">
      <c r="A720" s="10" t="s">
        <v>3679</v>
      </c>
      <c r="B720" s="17" t="s">
        <v>100</v>
      </c>
      <c r="C720" s="18" t="s">
        <v>101</v>
      </c>
      <c r="D720" s="17" t="s">
        <v>19</v>
      </c>
      <c r="E720" s="17" t="s">
        <v>229</v>
      </c>
      <c r="F720" s="17" t="s">
        <v>3424</v>
      </c>
      <c r="G720" s="17" t="s">
        <v>3638</v>
      </c>
      <c r="H720" s="17" t="s">
        <v>33</v>
      </c>
      <c r="I720" s="17" t="s">
        <v>1346</v>
      </c>
      <c r="J720" s="17" t="s">
        <v>233</v>
      </c>
      <c r="K720" s="19"/>
      <c r="L720" s="19"/>
      <c r="M720" s="19"/>
      <c r="N720" s="19"/>
      <c r="O720" s="17" t="n">
        <v>2</v>
      </c>
      <c r="P720" s="18" t="s">
        <v>3668</v>
      </c>
      <c r="Q720" s="18" t="s">
        <v>3669</v>
      </c>
      <c r="R720" s="18" t="s">
        <v>3680</v>
      </c>
      <c r="S720" s="17" t="s">
        <v>3637</v>
      </c>
      <c r="T720" s="18" t="s">
        <v>3681</v>
      </c>
      <c r="U720" s="19"/>
      <c r="V720" s="18" t="s">
        <v>3682</v>
      </c>
      <c r="W720" s="17" t="s">
        <v>240</v>
      </c>
      <c r="X720" s="17" t="s">
        <v>3683</v>
      </c>
      <c r="Y720" s="17" t="s">
        <v>242</v>
      </c>
      <c r="Z720" s="19"/>
      <c r="AA720" s="19"/>
      <c r="AB720" s="17"/>
      <c r="AC720" s="19"/>
    </row>
    <row r="721" customFormat="false" ht="22.35" hidden="false" customHeight="false" outlineLevel="0" collapsed="false">
      <c r="A721" s="10" t="s">
        <v>3684</v>
      </c>
      <c r="B721" s="17" t="s">
        <v>100</v>
      </c>
      <c r="C721" s="18" t="s">
        <v>101</v>
      </c>
      <c r="D721" s="17" t="s">
        <v>19</v>
      </c>
      <c r="E721" s="17" t="s">
        <v>75</v>
      </c>
      <c r="F721" s="17" t="s">
        <v>3424</v>
      </c>
      <c r="G721" s="17" t="s">
        <v>3638</v>
      </c>
      <c r="H721" s="17" t="s">
        <v>33</v>
      </c>
      <c r="I721" s="17" t="s">
        <v>1564</v>
      </c>
      <c r="J721" s="17" t="s">
        <v>233</v>
      </c>
      <c r="K721" s="19"/>
      <c r="L721" s="19"/>
      <c r="M721" s="19"/>
      <c r="N721" s="19"/>
      <c r="O721" s="17" t="n">
        <v>2</v>
      </c>
      <c r="P721" s="18" t="s">
        <v>3668</v>
      </c>
      <c r="Q721" s="18" t="s">
        <v>3669</v>
      </c>
      <c r="R721" s="18" t="s">
        <v>3685</v>
      </c>
      <c r="S721" s="17" t="s">
        <v>3674</v>
      </c>
      <c r="T721" s="18" t="s">
        <v>3686</v>
      </c>
      <c r="U721" s="19"/>
      <c r="V721" s="18" t="s">
        <v>3687</v>
      </c>
      <c r="W721" s="17" t="s">
        <v>240</v>
      </c>
      <c r="X721" s="17" t="s">
        <v>3688</v>
      </c>
      <c r="Y721" s="17" t="s">
        <v>242</v>
      </c>
      <c r="Z721" s="19"/>
      <c r="AA721" s="19"/>
      <c r="AB721" s="17"/>
      <c r="AC721" s="19"/>
    </row>
    <row r="722" customFormat="false" ht="22.35" hidden="false" customHeight="false" outlineLevel="0" collapsed="false">
      <c r="A722" s="10" t="s">
        <v>3689</v>
      </c>
      <c r="B722" s="17" t="s">
        <v>100</v>
      </c>
      <c r="C722" s="18" t="s">
        <v>101</v>
      </c>
      <c r="D722" s="17" t="s">
        <v>19</v>
      </c>
      <c r="E722" s="17" t="s">
        <v>229</v>
      </c>
      <c r="F722" s="17" t="s">
        <v>3424</v>
      </c>
      <c r="G722" s="17" t="s">
        <v>3638</v>
      </c>
      <c r="H722" s="17" t="s">
        <v>33</v>
      </c>
      <c r="I722" s="17" t="s">
        <v>316</v>
      </c>
      <c r="J722" s="17" t="s">
        <v>233</v>
      </c>
      <c r="K722" s="19"/>
      <c r="L722" s="19"/>
      <c r="M722" s="19"/>
      <c r="N722" s="19"/>
      <c r="O722" s="17" t="n">
        <v>2</v>
      </c>
      <c r="P722" s="18" t="s">
        <v>3668</v>
      </c>
      <c r="Q722" s="18" t="s">
        <v>3669</v>
      </c>
      <c r="R722" s="18" t="s">
        <v>3690</v>
      </c>
      <c r="S722" s="17" t="s">
        <v>340</v>
      </c>
      <c r="T722" s="18" t="s">
        <v>3691</v>
      </c>
      <c r="U722" s="19"/>
      <c r="V722" s="18" t="s">
        <v>3692</v>
      </c>
      <c r="W722" s="17" t="s">
        <v>240</v>
      </c>
      <c r="X722" s="17" t="s">
        <v>3693</v>
      </c>
      <c r="Y722" s="17" t="s">
        <v>242</v>
      </c>
      <c r="Z722" s="19"/>
      <c r="AA722" s="19"/>
      <c r="AB722" s="17"/>
      <c r="AC722" s="19"/>
    </row>
    <row r="723" customFormat="false" ht="22.35" hidden="false" customHeight="false" outlineLevel="0" collapsed="false">
      <c r="A723" s="10" t="s">
        <v>3694</v>
      </c>
      <c r="B723" s="17" t="s">
        <v>100</v>
      </c>
      <c r="C723" s="18" t="s">
        <v>101</v>
      </c>
      <c r="D723" s="17" t="s">
        <v>19</v>
      </c>
      <c r="E723" s="17" t="s">
        <v>75</v>
      </c>
      <c r="F723" s="17" t="s">
        <v>3424</v>
      </c>
      <c r="G723" s="17" t="s">
        <v>3638</v>
      </c>
      <c r="H723" s="17" t="s">
        <v>33</v>
      </c>
      <c r="I723" s="17" t="s">
        <v>316</v>
      </c>
      <c r="J723" s="17" t="s">
        <v>233</v>
      </c>
      <c r="K723" s="19"/>
      <c r="L723" s="19"/>
      <c r="M723" s="19"/>
      <c r="N723" s="19"/>
      <c r="O723" s="17" t="n">
        <v>2</v>
      </c>
      <c r="P723" s="18" t="s">
        <v>3668</v>
      </c>
      <c r="Q723" s="18" t="s">
        <v>3669</v>
      </c>
      <c r="R723" s="18" t="s">
        <v>3695</v>
      </c>
      <c r="S723" s="17" t="s">
        <v>3696</v>
      </c>
      <c r="T723" s="18" t="s">
        <v>3697</v>
      </c>
      <c r="U723" s="19"/>
      <c r="V723" s="18" t="s">
        <v>3698</v>
      </c>
      <c r="W723" s="17" t="s">
        <v>240</v>
      </c>
      <c r="X723" s="17" t="s">
        <v>3699</v>
      </c>
      <c r="Y723" s="17" t="s">
        <v>242</v>
      </c>
      <c r="Z723" s="19"/>
      <c r="AA723" s="19"/>
      <c r="AB723" s="17"/>
      <c r="AC723" s="19"/>
    </row>
    <row r="724" customFormat="false" ht="22.35" hidden="false" customHeight="false" outlineLevel="0" collapsed="false">
      <c r="A724" s="10" t="s">
        <v>3700</v>
      </c>
      <c r="B724" s="17" t="s">
        <v>100</v>
      </c>
      <c r="C724" s="18" t="s">
        <v>101</v>
      </c>
      <c r="D724" s="17" t="s">
        <v>19</v>
      </c>
      <c r="E724" s="17" t="s">
        <v>229</v>
      </c>
      <c r="F724" s="17" t="s">
        <v>3424</v>
      </c>
      <c r="G724" s="17" t="s">
        <v>3638</v>
      </c>
      <c r="H724" s="17" t="s">
        <v>33</v>
      </c>
      <c r="I724" s="17" t="s">
        <v>1564</v>
      </c>
      <c r="J724" s="17" t="s">
        <v>233</v>
      </c>
      <c r="K724" s="19"/>
      <c r="L724" s="19"/>
      <c r="M724" s="19"/>
      <c r="N724" s="19"/>
      <c r="O724" s="17" t="n">
        <v>2</v>
      </c>
      <c r="P724" s="18" t="s">
        <v>3668</v>
      </c>
      <c r="Q724" s="18" t="s">
        <v>3669</v>
      </c>
      <c r="R724" s="18" t="s">
        <v>3701</v>
      </c>
      <c r="S724" s="17" t="s">
        <v>3694</v>
      </c>
      <c r="T724" s="18" t="s">
        <v>3702</v>
      </c>
      <c r="U724" s="19"/>
      <c r="V724" s="18" t="s">
        <v>3703</v>
      </c>
      <c r="W724" s="17" t="s">
        <v>240</v>
      </c>
      <c r="X724" s="17" t="s">
        <v>3704</v>
      </c>
      <c r="Y724" s="17" t="s">
        <v>242</v>
      </c>
      <c r="Z724" s="19"/>
      <c r="AA724" s="19"/>
      <c r="AB724" s="17"/>
      <c r="AC724" s="19"/>
    </row>
    <row r="725" customFormat="false" ht="22.35" hidden="false" customHeight="false" outlineLevel="0" collapsed="false">
      <c r="A725" s="10" t="s">
        <v>3705</v>
      </c>
      <c r="B725" s="17" t="s">
        <v>100</v>
      </c>
      <c r="C725" s="18" t="s">
        <v>101</v>
      </c>
      <c r="D725" s="17" t="s">
        <v>19</v>
      </c>
      <c r="E725" s="17" t="s">
        <v>75</v>
      </c>
      <c r="F725" s="17" t="s">
        <v>3424</v>
      </c>
      <c r="G725" s="17" t="s">
        <v>3638</v>
      </c>
      <c r="H725" s="17" t="s">
        <v>33</v>
      </c>
      <c r="I725" s="17" t="s">
        <v>283</v>
      </c>
      <c r="J725" s="17" t="s">
        <v>233</v>
      </c>
      <c r="K725" s="19"/>
      <c r="L725" s="19"/>
      <c r="M725" s="19"/>
      <c r="N725" s="19"/>
      <c r="O725" s="17" t="n">
        <v>2</v>
      </c>
      <c r="P725" s="18" t="s">
        <v>3668</v>
      </c>
      <c r="Q725" s="18" t="s">
        <v>3669</v>
      </c>
      <c r="R725" s="18" t="s">
        <v>3706</v>
      </c>
      <c r="S725" s="17" t="s">
        <v>3700</v>
      </c>
      <c r="T725" s="18" t="s">
        <v>2105</v>
      </c>
      <c r="U725" s="19"/>
      <c r="V725" s="18" t="s">
        <v>2106</v>
      </c>
      <c r="W725" s="17" t="s">
        <v>240</v>
      </c>
      <c r="X725" s="17" t="s">
        <v>2107</v>
      </c>
      <c r="Y725" s="17" t="s">
        <v>242</v>
      </c>
      <c r="Z725" s="19"/>
      <c r="AA725" s="19"/>
      <c r="AB725" s="17"/>
      <c r="AC725" s="19"/>
    </row>
    <row r="726" customFormat="false" ht="22.35" hidden="false" customHeight="false" outlineLevel="0" collapsed="false">
      <c r="A726" s="10" t="s">
        <v>3707</v>
      </c>
      <c r="B726" s="17" t="s">
        <v>100</v>
      </c>
      <c r="C726" s="18" t="s">
        <v>101</v>
      </c>
      <c r="D726" s="17" t="s">
        <v>19</v>
      </c>
      <c r="E726" s="17" t="s">
        <v>75</v>
      </c>
      <c r="F726" s="17" t="s">
        <v>3424</v>
      </c>
      <c r="G726" s="17" t="s">
        <v>3638</v>
      </c>
      <c r="H726" s="17" t="s">
        <v>33</v>
      </c>
      <c r="I726" s="17" t="s">
        <v>1564</v>
      </c>
      <c r="J726" s="17" t="s">
        <v>233</v>
      </c>
      <c r="K726" s="19"/>
      <c r="L726" s="19"/>
      <c r="M726" s="19"/>
      <c r="N726" s="19"/>
      <c r="O726" s="17" t="n">
        <v>2</v>
      </c>
      <c r="P726" s="18" t="s">
        <v>3708</v>
      </c>
      <c r="Q726" s="18" t="s">
        <v>3709</v>
      </c>
      <c r="R726" s="18" t="s">
        <v>3710</v>
      </c>
      <c r="S726" s="17" t="s">
        <v>3700</v>
      </c>
      <c r="T726" s="18" t="s">
        <v>3711</v>
      </c>
      <c r="U726" s="19"/>
      <c r="V726" s="18" t="s">
        <v>3712</v>
      </c>
      <c r="W726" s="17" t="s">
        <v>240</v>
      </c>
      <c r="X726" s="17" t="s">
        <v>3678</v>
      </c>
      <c r="Y726" s="17" t="s">
        <v>242</v>
      </c>
      <c r="Z726" s="19"/>
      <c r="AA726" s="19"/>
      <c r="AB726" s="17"/>
      <c r="AC726" s="19"/>
    </row>
    <row r="727" customFormat="false" ht="22.35" hidden="false" customHeight="false" outlineLevel="0" collapsed="false">
      <c r="A727" s="10" t="s">
        <v>3713</v>
      </c>
      <c r="B727" s="17" t="s">
        <v>100</v>
      </c>
      <c r="C727" s="18" t="s">
        <v>101</v>
      </c>
      <c r="D727" s="17" t="s">
        <v>19</v>
      </c>
      <c r="E727" s="17" t="s">
        <v>75</v>
      </c>
      <c r="F727" s="17" t="s">
        <v>3424</v>
      </c>
      <c r="G727" s="17" t="s">
        <v>3638</v>
      </c>
      <c r="H727" s="17" t="s">
        <v>33</v>
      </c>
      <c r="I727" s="17" t="s">
        <v>277</v>
      </c>
      <c r="J727" s="17" t="s">
        <v>233</v>
      </c>
      <c r="K727" s="19"/>
      <c r="L727" s="19"/>
      <c r="M727" s="19"/>
      <c r="N727" s="19"/>
      <c r="O727" s="17" t="n">
        <v>2</v>
      </c>
      <c r="P727" s="18" t="s">
        <v>3708</v>
      </c>
      <c r="Q727" s="18" t="s">
        <v>3709</v>
      </c>
      <c r="R727" s="18" t="s">
        <v>3714</v>
      </c>
      <c r="S727" s="17" t="s">
        <v>3715</v>
      </c>
      <c r="T727" s="18" t="s">
        <v>3716</v>
      </c>
      <c r="U727" s="19"/>
      <c r="V727" s="18" t="s">
        <v>3717</v>
      </c>
      <c r="W727" s="17" t="s">
        <v>240</v>
      </c>
      <c r="X727" s="17" t="s">
        <v>3659</v>
      </c>
      <c r="Y727" s="17" t="s">
        <v>242</v>
      </c>
      <c r="Z727" s="19"/>
      <c r="AA727" s="19"/>
      <c r="AB727" s="17"/>
      <c r="AC727" s="19"/>
    </row>
    <row r="728" customFormat="false" ht="22.35" hidden="false" customHeight="false" outlineLevel="0" collapsed="false">
      <c r="A728" s="10" t="s">
        <v>3718</v>
      </c>
      <c r="B728" s="17" t="s">
        <v>100</v>
      </c>
      <c r="C728" s="18" t="s">
        <v>101</v>
      </c>
      <c r="D728" s="17" t="s">
        <v>19</v>
      </c>
      <c r="E728" s="17" t="s">
        <v>75</v>
      </c>
      <c r="F728" s="17" t="s">
        <v>3424</v>
      </c>
      <c r="G728" s="17" t="s">
        <v>3638</v>
      </c>
      <c r="H728" s="17" t="s">
        <v>33</v>
      </c>
      <c r="I728" s="17" t="s">
        <v>1028</v>
      </c>
      <c r="J728" s="17" t="s">
        <v>233</v>
      </c>
      <c r="K728" s="19"/>
      <c r="L728" s="19"/>
      <c r="M728" s="19"/>
      <c r="N728" s="19"/>
      <c r="O728" s="17" t="n">
        <v>2</v>
      </c>
      <c r="P728" s="18" t="s">
        <v>3708</v>
      </c>
      <c r="Q728" s="18" t="s">
        <v>3709</v>
      </c>
      <c r="R728" s="18" t="s">
        <v>3719</v>
      </c>
      <c r="S728" s="17" t="s">
        <v>3707</v>
      </c>
      <c r="T728" s="18" t="s">
        <v>3720</v>
      </c>
      <c r="U728" s="19"/>
      <c r="V728" s="18" t="s">
        <v>3721</v>
      </c>
      <c r="W728" s="17" t="s">
        <v>240</v>
      </c>
      <c r="X728" s="17" t="s">
        <v>3722</v>
      </c>
      <c r="Y728" s="17" t="s">
        <v>242</v>
      </c>
      <c r="Z728" s="19"/>
      <c r="AA728" s="19"/>
      <c r="AB728" s="17"/>
      <c r="AC728" s="19"/>
    </row>
    <row r="729" customFormat="false" ht="22.35" hidden="false" customHeight="false" outlineLevel="0" collapsed="false">
      <c r="A729" s="10" t="s">
        <v>3723</v>
      </c>
      <c r="B729" s="17" t="s">
        <v>100</v>
      </c>
      <c r="C729" s="18" t="s">
        <v>101</v>
      </c>
      <c r="D729" s="17" t="s">
        <v>19</v>
      </c>
      <c r="E729" s="17" t="s">
        <v>75</v>
      </c>
      <c r="F729" s="17" t="s">
        <v>3424</v>
      </c>
      <c r="G729" s="17" t="s">
        <v>3638</v>
      </c>
      <c r="H729" s="17" t="s">
        <v>33</v>
      </c>
      <c r="I729" s="17" t="s">
        <v>283</v>
      </c>
      <c r="J729" s="17" t="s">
        <v>233</v>
      </c>
      <c r="K729" s="19"/>
      <c r="L729" s="19"/>
      <c r="M729" s="19"/>
      <c r="N729" s="19"/>
      <c r="O729" s="17" t="n">
        <v>2</v>
      </c>
      <c r="P729" s="18" t="s">
        <v>3708</v>
      </c>
      <c r="Q729" s="18" t="s">
        <v>3709</v>
      </c>
      <c r="R729" s="18" t="s">
        <v>3724</v>
      </c>
      <c r="S729" s="17" t="s">
        <v>3718</v>
      </c>
      <c r="T729" s="18" t="s">
        <v>2105</v>
      </c>
      <c r="U729" s="19"/>
      <c r="V729" s="18" t="s">
        <v>2106</v>
      </c>
      <c r="W729" s="17" t="s">
        <v>240</v>
      </c>
      <c r="X729" s="17" t="s">
        <v>2107</v>
      </c>
      <c r="Y729" s="17" t="s">
        <v>242</v>
      </c>
      <c r="Z729" s="19"/>
      <c r="AA729" s="19"/>
      <c r="AB729" s="17"/>
      <c r="AC729" s="19"/>
    </row>
    <row r="730" customFormat="false" ht="22.35" hidden="false" customHeight="false" outlineLevel="0" collapsed="false">
      <c r="A730" s="10" t="s">
        <v>3725</v>
      </c>
      <c r="B730" s="17" t="s">
        <v>100</v>
      </c>
      <c r="C730" s="18" t="s">
        <v>101</v>
      </c>
      <c r="D730" s="17" t="s">
        <v>19</v>
      </c>
      <c r="E730" s="17" t="s">
        <v>229</v>
      </c>
      <c r="F730" s="17" t="s">
        <v>3424</v>
      </c>
      <c r="G730" s="17" t="s">
        <v>3638</v>
      </c>
      <c r="H730" s="17" t="s">
        <v>33</v>
      </c>
      <c r="I730" s="17" t="s">
        <v>450</v>
      </c>
      <c r="J730" s="17" t="s">
        <v>233</v>
      </c>
      <c r="K730" s="19"/>
      <c r="L730" s="19"/>
      <c r="M730" s="19"/>
      <c r="N730" s="19"/>
      <c r="O730" s="17" t="n">
        <v>2</v>
      </c>
      <c r="P730" s="18" t="s">
        <v>3726</v>
      </c>
      <c r="Q730" s="18" t="s">
        <v>3727</v>
      </c>
      <c r="R730" s="18" t="s">
        <v>3728</v>
      </c>
      <c r="S730" s="17" t="s">
        <v>3637</v>
      </c>
      <c r="T730" s="18" t="s">
        <v>2344</v>
      </c>
      <c r="U730" s="19"/>
      <c r="V730" s="18" t="s">
        <v>2551</v>
      </c>
      <c r="W730" s="17" t="s">
        <v>240</v>
      </c>
      <c r="X730" s="17" t="s">
        <v>2165</v>
      </c>
      <c r="Y730" s="17" t="s">
        <v>242</v>
      </c>
      <c r="Z730" s="19"/>
      <c r="AA730" s="19"/>
      <c r="AB730" s="17"/>
      <c r="AC730" s="19"/>
    </row>
    <row r="731" customFormat="false" ht="22.35" hidden="false" customHeight="false" outlineLevel="0" collapsed="false">
      <c r="A731" s="10" t="s">
        <v>3729</v>
      </c>
      <c r="B731" s="17" t="s">
        <v>100</v>
      </c>
      <c r="C731" s="18" t="s">
        <v>101</v>
      </c>
      <c r="D731" s="17" t="s">
        <v>19</v>
      </c>
      <c r="E731" s="17" t="s">
        <v>75</v>
      </c>
      <c r="F731" s="17" t="s">
        <v>3424</v>
      </c>
      <c r="G731" s="17" t="s">
        <v>3638</v>
      </c>
      <c r="H731" s="17" t="s">
        <v>33</v>
      </c>
      <c r="I731" s="17" t="s">
        <v>333</v>
      </c>
      <c r="J731" s="17" t="s">
        <v>233</v>
      </c>
      <c r="K731" s="19"/>
      <c r="L731" s="19"/>
      <c r="M731" s="19"/>
      <c r="N731" s="19"/>
      <c r="O731" s="17" t="n">
        <v>2</v>
      </c>
      <c r="P731" s="18" t="s">
        <v>3726</v>
      </c>
      <c r="Q731" s="18" t="s">
        <v>3727</v>
      </c>
      <c r="R731" s="18" t="s">
        <v>3730</v>
      </c>
      <c r="S731" s="17" t="s">
        <v>3667</v>
      </c>
      <c r="T731" s="18" t="s">
        <v>3731</v>
      </c>
      <c r="U731" s="19"/>
      <c r="V731" s="18" t="s">
        <v>3732</v>
      </c>
      <c r="W731" s="17" t="s">
        <v>240</v>
      </c>
      <c r="X731" s="17" t="s">
        <v>2188</v>
      </c>
      <c r="Y731" s="17" t="s">
        <v>242</v>
      </c>
      <c r="Z731" s="19"/>
      <c r="AA731" s="19"/>
      <c r="AB731" s="17"/>
      <c r="AC731" s="19"/>
    </row>
    <row r="732" customFormat="false" ht="22.35" hidden="false" customHeight="false" outlineLevel="0" collapsed="false">
      <c r="A732" s="10" t="s">
        <v>3733</v>
      </c>
      <c r="B732" s="17" t="s">
        <v>100</v>
      </c>
      <c r="C732" s="18" t="s">
        <v>101</v>
      </c>
      <c r="D732" s="17" t="s">
        <v>19</v>
      </c>
      <c r="E732" s="17" t="s">
        <v>75</v>
      </c>
      <c r="F732" s="17" t="s">
        <v>3424</v>
      </c>
      <c r="G732" s="17" t="s">
        <v>3638</v>
      </c>
      <c r="H732" s="17" t="s">
        <v>33</v>
      </c>
      <c r="I732" s="17" t="s">
        <v>283</v>
      </c>
      <c r="J732" s="17" t="s">
        <v>233</v>
      </c>
      <c r="K732" s="19"/>
      <c r="L732" s="19"/>
      <c r="M732" s="19"/>
      <c r="N732" s="19"/>
      <c r="O732" s="17" t="n">
        <v>2</v>
      </c>
      <c r="P732" s="18" t="s">
        <v>3726</v>
      </c>
      <c r="Q732" s="18" t="s">
        <v>3727</v>
      </c>
      <c r="R732" s="18" t="s">
        <v>3734</v>
      </c>
      <c r="S732" s="17" t="s">
        <v>3729</v>
      </c>
      <c r="T732" s="18" t="s">
        <v>2105</v>
      </c>
      <c r="U732" s="19"/>
      <c r="V732" s="18" t="s">
        <v>2106</v>
      </c>
      <c r="W732" s="17" t="s">
        <v>240</v>
      </c>
      <c r="X732" s="17" t="s">
        <v>2107</v>
      </c>
      <c r="Y732" s="17" t="s">
        <v>242</v>
      </c>
      <c r="Z732" s="19"/>
      <c r="AA732" s="19"/>
      <c r="AB732" s="17"/>
      <c r="AC732" s="19"/>
    </row>
    <row r="733" customFormat="false" ht="22.35" hidden="false" customHeight="false" outlineLevel="0" collapsed="false">
      <c r="A733" s="10" t="s">
        <v>3735</v>
      </c>
      <c r="B733" s="17" t="s">
        <v>100</v>
      </c>
      <c r="C733" s="18" t="s">
        <v>101</v>
      </c>
      <c r="D733" s="17" t="s">
        <v>19</v>
      </c>
      <c r="E733" s="17" t="s">
        <v>75</v>
      </c>
      <c r="F733" s="17" t="s">
        <v>3424</v>
      </c>
      <c r="G733" s="17" t="s">
        <v>3638</v>
      </c>
      <c r="H733" s="17" t="s">
        <v>33</v>
      </c>
      <c r="I733" s="17" t="s">
        <v>289</v>
      </c>
      <c r="J733" s="17" t="s">
        <v>233</v>
      </c>
      <c r="K733" s="19"/>
      <c r="L733" s="19"/>
      <c r="M733" s="19"/>
      <c r="N733" s="19"/>
      <c r="O733" s="17" t="n">
        <v>2</v>
      </c>
      <c r="P733" s="18" t="s">
        <v>3736</v>
      </c>
      <c r="Q733" s="18" t="s">
        <v>3737</v>
      </c>
      <c r="R733" s="18" t="s">
        <v>3738</v>
      </c>
      <c r="S733" s="17" t="s">
        <v>3700</v>
      </c>
      <c r="T733" s="18" t="s">
        <v>3630</v>
      </c>
      <c r="U733" s="19"/>
      <c r="V733" s="18" t="s">
        <v>3739</v>
      </c>
      <c r="W733" s="17" t="s">
        <v>240</v>
      </c>
      <c r="X733" s="17" t="s">
        <v>2206</v>
      </c>
      <c r="Y733" s="17" t="s">
        <v>242</v>
      </c>
      <c r="Z733" s="19"/>
      <c r="AA733" s="19"/>
      <c r="AB733" s="17"/>
      <c r="AC733" s="19"/>
    </row>
    <row r="734" customFormat="false" ht="22.35" hidden="false" customHeight="false" outlineLevel="0" collapsed="false">
      <c r="A734" s="10" t="s">
        <v>3740</v>
      </c>
      <c r="B734" s="17" t="s">
        <v>100</v>
      </c>
      <c r="C734" s="18" t="s">
        <v>101</v>
      </c>
      <c r="D734" s="17" t="s">
        <v>19</v>
      </c>
      <c r="E734" s="17" t="s">
        <v>75</v>
      </c>
      <c r="F734" s="17" t="s">
        <v>3424</v>
      </c>
      <c r="G734" s="17" t="s">
        <v>3638</v>
      </c>
      <c r="H734" s="17" t="s">
        <v>33</v>
      </c>
      <c r="I734" s="17" t="s">
        <v>974</v>
      </c>
      <c r="J734" s="17" t="s">
        <v>233</v>
      </c>
      <c r="K734" s="19"/>
      <c r="L734" s="19"/>
      <c r="M734" s="19"/>
      <c r="N734" s="19"/>
      <c r="O734" s="17" t="n">
        <v>2</v>
      </c>
      <c r="P734" s="18" t="s">
        <v>3736</v>
      </c>
      <c r="Q734" s="18" t="s">
        <v>3737</v>
      </c>
      <c r="R734" s="18" t="s">
        <v>3741</v>
      </c>
      <c r="S734" s="17" t="s">
        <v>3735</v>
      </c>
      <c r="T734" s="18" t="s">
        <v>2209</v>
      </c>
      <c r="U734" s="19"/>
      <c r="V734" s="18" t="s">
        <v>3742</v>
      </c>
      <c r="W734" s="17" t="s">
        <v>240</v>
      </c>
      <c r="X734" s="17" t="s">
        <v>3659</v>
      </c>
      <c r="Y734" s="17" t="s">
        <v>242</v>
      </c>
      <c r="Z734" s="19"/>
      <c r="AA734" s="19"/>
      <c r="AB734" s="17"/>
      <c r="AC734" s="19"/>
    </row>
    <row r="735" customFormat="false" ht="22.35" hidden="false" customHeight="false" outlineLevel="0" collapsed="false">
      <c r="A735" s="10" t="s">
        <v>3743</v>
      </c>
      <c r="B735" s="17" t="s">
        <v>100</v>
      </c>
      <c r="C735" s="18" t="s">
        <v>101</v>
      </c>
      <c r="D735" s="17" t="s">
        <v>19</v>
      </c>
      <c r="E735" s="17" t="s">
        <v>75</v>
      </c>
      <c r="F735" s="17" t="s">
        <v>3424</v>
      </c>
      <c r="G735" s="17" t="s">
        <v>3638</v>
      </c>
      <c r="H735" s="17" t="s">
        <v>33</v>
      </c>
      <c r="I735" s="17" t="s">
        <v>283</v>
      </c>
      <c r="J735" s="17" t="s">
        <v>233</v>
      </c>
      <c r="K735" s="19"/>
      <c r="L735" s="19"/>
      <c r="M735" s="19"/>
      <c r="N735" s="19"/>
      <c r="O735" s="17" t="n">
        <v>2</v>
      </c>
      <c r="P735" s="18" t="s">
        <v>3736</v>
      </c>
      <c r="Q735" s="18" t="s">
        <v>3737</v>
      </c>
      <c r="R735" s="18" t="s">
        <v>3744</v>
      </c>
      <c r="S735" s="17" t="s">
        <v>3740</v>
      </c>
      <c r="T735" s="18" t="s">
        <v>2105</v>
      </c>
      <c r="U735" s="19"/>
      <c r="V735" s="18" t="s">
        <v>2106</v>
      </c>
      <c r="W735" s="17" t="s">
        <v>240</v>
      </c>
      <c r="X735" s="17" t="s">
        <v>2107</v>
      </c>
      <c r="Y735" s="17" t="s">
        <v>242</v>
      </c>
      <c r="Z735" s="19"/>
      <c r="AA735" s="19"/>
      <c r="AB735" s="17"/>
      <c r="AC735" s="19"/>
    </row>
    <row r="736" customFormat="false" ht="22.35" hidden="false" customHeight="false" outlineLevel="0" collapsed="false">
      <c r="A736" s="10" t="s">
        <v>3745</v>
      </c>
      <c r="B736" s="17" t="s">
        <v>100</v>
      </c>
      <c r="C736" s="18" t="s">
        <v>101</v>
      </c>
      <c r="D736" s="17" t="s">
        <v>19</v>
      </c>
      <c r="E736" s="17" t="s">
        <v>229</v>
      </c>
      <c r="F736" s="17" t="s">
        <v>3424</v>
      </c>
      <c r="G736" s="17" t="s">
        <v>3638</v>
      </c>
      <c r="H736" s="17" t="s">
        <v>33</v>
      </c>
      <c r="I736" s="17" t="s">
        <v>289</v>
      </c>
      <c r="J736" s="17" t="s">
        <v>233</v>
      </c>
      <c r="K736" s="19"/>
      <c r="L736" s="19"/>
      <c r="M736" s="19"/>
      <c r="N736" s="19"/>
      <c r="O736" s="17" t="n">
        <v>2</v>
      </c>
      <c r="P736" s="18" t="s">
        <v>3746</v>
      </c>
      <c r="Q736" s="18" t="s">
        <v>3747</v>
      </c>
      <c r="R736" s="18" t="s">
        <v>3748</v>
      </c>
      <c r="S736" s="17" t="s">
        <v>3667</v>
      </c>
      <c r="T736" s="18" t="s">
        <v>2389</v>
      </c>
      <c r="U736" s="19"/>
      <c r="V736" s="18" t="s">
        <v>3749</v>
      </c>
      <c r="W736" s="17" t="s">
        <v>383</v>
      </c>
      <c r="X736" s="17" t="s">
        <v>378</v>
      </c>
      <c r="Y736" s="17" t="s">
        <v>242</v>
      </c>
      <c r="Z736" s="19"/>
      <c r="AA736" s="19"/>
      <c r="AB736" s="17"/>
      <c r="AC736" s="19"/>
    </row>
    <row r="737" customFormat="false" ht="15" hidden="false" customHeight="false" outlineLevel="0" collapsed="false">
      <c r="A737" s="10" t="s">
        <v>3750</v>
      </c>
      <c r="B737" s="17" t="s">
        <v>100</v>
      </c>
      <c r="C737" s="18" t="s">
        <v>101</v>
      </c>
      <c r="D737" s="17" t="s">
        <v>19</v>
      </c>
      <c r="E737" s="17" t="s">
        <v>75</v>
      </c>
      <c r="F737" s="17" t="s">
        <v>3424</v>
      </c>
      <c r="G737" s="17" t="s">
        <v>3638</v>
      </c>
      <c r="H737" s="17" t="s">
        <v>33</v>
      </c>
      <c r="I737" s="17" t="s">
        <v>369</v>
      </c>
      <c r="J737" s="17" t="s">
        <v>233</v>
      </c>
      <c r="K737" s="19"/>
      <c r="L737" s="19"/>
      <c r="M737" s="19"/>
      <c r="N737" s="19"/>
      <c r="O737" s="17" t="n">
        <v>2</v>
      </c>
      <c r="P737" s="18" t="s">
        <v>3746</v>
      </c>
      <c r="Q737" s="18" t="s">
        <v>3747</v>
      </c>
      <c r="R737" s="18" t="s">
        <v>3751</v>
      </c>
      <c r="S737" s="17" t="s">
        <v>3705</v>
      </c>
      <c r="T737" s="18" t="s">
        <v>544</v>
      </c>
      <c r="U737" s="19"/>
      <c r="V737" s="18" t="s">
        <v>3752</v>
      </c>
      <c r="W737" s="17" t="s">
        <v>240</v>
      </c>
      <c r="X737" s="17" t="s">
        <v>2243</v>
      </c>
      <c r="Y737" s="17" t="s">
        <v>242</v>
      </c>
      <c r="Z737" s="19"/>
      <c r="AA737" s="19"/>
      <c r="AB737" s="17"/>
      <c r="AC737" s="19"/>
    </row>
    <row r="738" customFormat="false" ht="22.35" hidden="false" customHeight="false" outlineLevel="0" collapsed="false">
      <c r="A738" s="10" t="s">
        <v>3753</v>
      </c>
      <c r="B738" s="17" t="s">
        <v>100</v>
      </c>
      <c r="C738" s="18" t="s">
        <v>101</v>
      </c>
      <c r="D738" s="17" t="s">
        <v>19</v>
      </c>
      <c r="E738" s="17" t="s">
        <v>75</v>
      </c>
      <c r="F738" s="17" t="s">
        <v>3424</v>
      </c>
      <c r="G738" s="17" t="s">
        <v>3638</v>
      </c>
      <c r="H738" s="17" t="s">
        <v>33</v>
      </c>
      <c r="I738" s="17" t="s">
        <v>283</v>
      </c>
      <c r="J738" s="17" t="s">
        <v>233</v>
      </c>
      <c r="K738" s="19"/>
      <c r="L738" s="19"/>
      <c r="M738" s="19"/>
      <c r="N738" s="19"/>
      <c r="O738" s="17" t="n">
        <v>2</v>
      </c>
      <c r="P738" s="18" t="s">
        <v>3746</v>
      </c>
      <c r="Q738" s="18" t="s">
        <v>3747</v>
      </c>
      <c r="R738" s="18" t="s">
        <v>3754</v>
      </c>
      <c r="S738" s="17" t="s">
        <v>3750</v>
      </c>
      <c r="T738" s="18" t="s">
        <v>2105</v>
      </c>
      <c r="U738" s="19"/>
      <c r="V738" s="18" t="s">
        <v>2106</v>
      </c>
      <c r="W738" s="17" t="s">
        <v>240</v>
      </c>
      <c r="X738" s="17" t="s">
        <v>2107</v>
      </c>
      <c r="Y738" s="17" t="s">
        <v>242</v>
      </c>
      <c r="Z738" s="19"/>
      <c r="AA738" s="19"/>
      <c r="AB738" s="17"/>
      <c r="AC738" s="19"/>
    </row>
    <row r="739" customFormat="false" ht="22.35" hidden="false" customHeight="false" outlineLevel="0" collapsed="false">
      <c r="A739" s="10" t="s">
        <v>3755</v>
      </c>
      <c r="B739" s="17" t="s">
        <v>94</v>
      </c>
      <c r="C739" s="18" t="s">
        <v>95</v>
      </c>
      <c r="D739" s="17" t="s">
        <v>19</v>
      </c>
      <c r="E739" s="17" t="s">
        <v>229</v>
      </c>
      <c r="F739" s="17" t="s">
        <v>3424</v>
      </c>
      <c r="G739" s="17" t="s">
        <v>96</v>
      </c>
      <c r="H739" s="17" t="s">
        <v>33</v>
      </c>
      <c r="I739" s="17" t="s">
        <v>1028</v>
      </c>
      <c r="J739" s="17" t="s">
        <v>233</v>
      </c>
      <c r="K739" s="19"/>
      <c r="L739" s="19"/>
      <c r="M739" s="19"/>
      <c r="N739" s="19"/>
      <c r="O739" s="17" t="n">
        <v>0</v>
      </c>
      <c r="P739" s="18" t="s">
        <v>3756</v>
      </c>
      <c r="Q739" s="18" t="s">
        <v>3757</v>
      </c>
      <c r="R739" s="18" t="s">
        <v>3758</v>
      </c>
      <c r="S739" s="17" t="s">
        <v>237</v>
      </c>
      <c r="T739" s="18" t="s">
        <v>3759</v>
      </c>
      <c r="U739" s="19"/>
      <c r="V739" s="18" t="s">
        <v>3760</v>
      </c>
      <c r="W739" s="17" t="s">
        <v>240</v>
      </c>
      <c r="X739" s="17" t="s">
        <v>3761</v>
      </c>
      <c r="Y739" s="17" t="s">
        <v>242</v>
      </c>
      <c r="Z739" s="19"/>
      <c r="AA739" s="19"/>
      <c r="AB739" s="17"/>
      <c r="AC739" s="19"/>
    </row>
    <row r="740" customFormat="false" ht="22.35" hidden="false" customHeight="false" outlineLevel="0" collapsed="false">
      <c r="A740" s="10" t="s">
        <v>3762</v>
      </c>
      <c r="B740" s="17" t="s">
        <v>94</v>
      </c>
      <c r="C740" s="18" t="s">
        <v>95</v>
      </c>
      <c r="D740" s="17" t="s">
        <v>19</v>
      </c>
      <c r="E740" s="17" t="s">
        <v>229</v>
      </c>
      <c r="F740" s="17" t="s">
        <v>3424</v>
      </c>
      <c r="G740" s="17" t="s">
        <v>96</v>
      </c>
      <c r="H740" s="17" t="s">
        <v>33</v>
      </c>
      <c r="I740" s="17" t="s">
        <v>232</v>
      </c>
      <c r="J740" s="17" t="s">
        <v>233</v>
      </c>
      <c r="K740" s="19"/>
      <c r="L740" s="19"/>
      <c r="M740" s="19"/>
      <c r="N740" s="19"/>
      <c r="O740" s="17" t="n">
        <v>0</v>
      </c>
      <c r="P740" s="18" t="s">
        <v>3756</v>
      </c>
      <c r="Q740" s="18" t="s">
        <v>3757</v>
      </c>
      <c r="R740" s="18" t="s">
        <v>3763</v>
      </c>
      <c r="S740" s="17" t="s">
        <v>3755</v>
      </c>
      <c r="T740" s="18" t="s">
        <v>3764</v>
      </c>
      <c r="U740" s="19"/>
      <c r="V740" s="18" t="s">
        <v>3765</v>
      </c>
      <c r="W740" s="17" t="s">
        <v>240</v>
      </c>
      <c r="X740" s="17" t="s">
        <v>3766</v>
      </c>
      <c r="Y740" s="17" t="s">
        <v>242</v>
      </c>
      <c r="Z740" s="19"/>
      <c r="AA740" s="19"/>
      <c r="AB740" s="17"/>
      <c r="AC740" s="19"/>
    </row>
    <row r="741" customFormat="false" ht="22.35" hidden="false" customHeight="false" outlineLevel="0" collapsed="false">
      <c r="A741" s="10" t="s">
        <v>3767</v>
      </c>
      <c r="B741" s="17" t="s">
        <v>94</v>
      </c>
      <c r="C741" s="18" t="s">
        <v>95</v>
      </c>
      <c r="D741" s="17" t="s">
        <v>19</v>
      </c>
      <c r="E741" s="17" t="s">
        <v>229</v>
      </c>
      <c r="F741" s="17" t="s">
        <v>3424</v>
      </c>
      <c r="G741" s="17" t="s">
        <v>96</v>
      </c>
      <c r="H741" s="17" t="s">
        <v>33</v>
      </c>
      <c r="I741" s="17" t="s">
        <v>928</v>
      </c>
      <c r="J741" s="17" t="s">
        <v>233</v>
      </c>
      <c r="K741" s="19"/>
      <c r="L741" s="19"/>
      <c r="M741" s="19"/>
      <c r="N741" s="19"/>
      <c r="O741" s="17" t="n">
        <v>0</v>
      </c>
      <c r="P741" s="18" t="s">
        <v>3756</v>
      </c>
      <c r="Q741" s="18" t="s">
        <v>3757</v>
      </c>
      <c r="R741" s="18" t="s">
        <v>3768</v>
      </c>
      <c r="S741" s="17" t="s">
        <v>3755</v>
      </c>
      <c r="T741" s="18" t="s">
        <v>3769</v>
      </c>
      <c r="U741" s="19"/>
      <c r="V741" s="18" t="s">
        <v>3770</v>
      </c>
      <c r="W741" s="17" t="s">
        <v>240</v>
      </c>
      <c r="X741" s="17" t="s">
        <v>3771</v>
      </c>
      <c r="Y741" s="17" t="s">
        <v>242</v>
      </c>
      <c r="Z741" s="19"/>
      <c r="AA741" s="19"/>
      <c r="AB741" s="17"/>
      <c r="AC741" s="19"/>
    </row>
    <row r="742" customFormat="false" ht="22.35" hidden="false" customHeight="false" outlineLevel="0" collapsed="false">
      <c r="A742" s="10" t="s">
        <v>3772</v>
      </c>
      <c r="B742" s="17" t="s">
        <v>94</v>
      </c>
      <c r="C742" s="18" t="s">
        <v>95</v>
      </c>
      <c r="D742" s="17" t="s">
        <v>19</v>
      </c>
      <c r="E742" s="17" t="s">
        <v>229</v>
      </c>
      <c r="F742" s="17" t="s">
        <v>3424</v>
      </c>
      <c r="G742" s="17" t="s">
        <v>96</v>
      </c>
      <c r="H742" s="17" t="s">
        <v>33</v>
      </c>
      <c r="I742" s="17" t="s">
        <v>333</v>
      </c>
      <c r="J742" s="17" t="s">
        <v>233</v>
      </c>
      <c r="K742" s="19"/>
      <c r="L742" s="19"/>
      <c r="M742" s="19"/>
      <c r="N742" s="19"/>
      <c r="O742" s="17" t="n">
        <v>0</v>
      </c>
      <c r="P742" s="18" t="s">
        <v>3756</v>
      </c>
      <c r="Q742" s="18" t="s">
        <v>3757</v>
      </c>
      <c r="R742" s="18" t="s">
        <v>3773</v>
      </c>
      <c r="S742" s="17" t="s">
        <v>3762</v>
      </c>
      <c r="T742" s="18" t="s">
        <v>2076</v>
      </c>
      <c r="U742" s="19"/>
      <c r="V742" s="18" t="s">
        <v>3774</v>
      </c>
      <c r="W742" s="17" t="s">
        <v>240</v>
      </c>
      <c r="X742" s="17" t="s">
        <v>2485</v>
      </c>
      <c r="Y742" s="17" t="s">
        <v>242</v>
      </c>
      <c r="Z742" s="19"/>
      <c r="AA742" s="19"/>
      <c r="AB742" s="17"/>
      <c r="AC742" s="19"/>
    </row>
    <row r="743" customFormat="false" ht="22.35" hidden="false" customHeight="false" outlineLevel="0" collapsed="false">
      <c r="A743" s="10" t="s">
        <v>3775</v>
      </c>
      <c r="B743" s="17" t="s">
        <v>94</v>
      </c>
      <c r="C743" s="18" t="s">
        <v>95</v>
      </c>
      <c r="D743" s="17" t="s">
        <v>19</v>
      </c>
      <c r="E743" s="17" t="s">
        <v>229</v>
      </c>
      <c r="F743" s="17" t="s">
        <v>3424</v>
      </c>
      <c r="G743" s="17" t="s">
        <v>96</v>
      </c>
      <c r="H743" s="17" t="s">
        <v>33</v>
      </c>
      <c r="I743" s="17" t="s">
        <v>928</v>
      </c>
      <c r="J743" s="17" t="s">
        <v>233</v>
      </c>
      <c r="K743" s="19"/>
      <c r="L743" s="19"/>
      <c r="M743" s="19"/>
      <c r="N743" s="19"/>
      <c r="O743" s="17" t="n">
        <v>0</v>
      </c>
      <c r="P743" s="18" t="s">
        <v>3756</v>
      </c>
      <c r="Q743" s="18" t="s">
        <v>3757</v>
      </c>
      <c r="R743" s="18" t="s">
        <v>3776</v>
      </c>
      <c r="S743" s="17" t="s">
        <v>3767</v>
      </c>
      <c r="T743" s="18" t="s">
        <v>3777</v>
      </c>
      <c r="U743" s="19"/>
      <c r="V743" s="18" t="s">
        <v>3778</v>
      </c>
      <c r="W743" s="17" t="s">
        <v>240</v>
      </c>
      <c r="X743" s="17" t="s">
        <v>3779</v>
      </c>
      <c r="Y743" s="17" t="s">
        <v>242</v>
      </c>
      <c r="Z743" s="19"/>
      <c r="AA743" s="19"/>
      <c r="AB743" s="17"/>
      <c r="AC743" s="19"/>
    </row>
    <row r="744" customFormat="false" ht="22.35" hidden="false" customHeight="false" outlineLevel="0" collapsed="false">
      <c r="A744" s="10" t="s">
        <v>3780</v>
      </c>
      <c r="B744" s="17" t="s">
        <v>94</v>
      </c>
      <c r="C744" s="18" t="s">
        <v>95</v>
      </c>
      <c r="D744" s="17" t="s">
        <v>19</v>
      </c>
      <c r="E744" s="17" t="s">
        <v>229</v>
      </c>
      <c r="F744" s="17" t="s">
        <v>3424</v>
      </c>
      <c r="G744" s="17" t="s">
        <v>96</v>
      </c>
      <c r="H744" s="17" t="s">
        <v>33</v>
      </c>
      <c r="I744" s="17" t="s">
        <v>277</v>
      </c>
      <c r="J744" s="17" t="s">
        <v>233</v>
      </c>
      <c r="K744" s="19"/>
      <c r="L744" s="19"/>
      <c r="M744" s="19"/>
      <c r="N744" s="19"/>
      <c r="O744" s="17" t="n">
        <v>0</v>
      </c>
      <c r="P744" s="18" t="s">
        <v>3756</v>
      </c>
      <c r="Q744" s="18" t="s">
        <v>3757</v>
      </c>
      <c r="R744" s="18" t="s">
        <v>3781</v>
      </c>
      <c r="S744" s="17" t="s">
        <v>3772</v>
      </c>
      <c r="T744" s="18" t="s">
        <v>2284</v>
      </c>
      <c r="U744" s="19"/>
      <c r="V744" s="18" t="s">
        <v>2285</v>
      </c>
      <c r="W744" s="17" t="s">
        <v>240</v>
      </c>
      <c r="X744" s="17" t="s">
        <v>2102</v>
      </c>
      <c r="Y744" s="17" t="s">
        <v>242</v>
      </c>
      <c r="Z744" s="19"/>
      <c r="AA744" s="19"/>
      <c r="AB744" s="17"/>
      <c r="AC744" s="19"/>
    </row>
    <row r="745" customFormat="false" ht="22.35" hidden="false" customHeight="false" outlineLevel="0" collapsed="false">
      <c r="A745" s="10" t="s">
        <v>3782</v>
      </c>
      <c r="B745" s="17" t="s">
        <v>94</v>
      </c>
      <c r="C745" s="18" t="s">
        <v>95</v>
      </c>
      <c r="D745" s="17" t="s">
        <v>19</v>
      </c>
      <c r="E745" s="17" t="s">
        <v>229</v>
      </c>
      <c r="F745" s="17" t="s">
        <v>3424</v>
      </c>
      <c r="G745" s="17" t="s">
        <v>96</v>
      </c>
      <c r="H745" s="17" t="s">
        <v>33</v>
      </c>
      <c r="I745" s="17" t="s">
        <v>283</v>
      </c>
      <c r="J745" s="17" t="s">
        <v>233</v>
      </c>
      <c r="K745" s="19"/>
      <c r="L745" s="19"/>
      <c r="M745" s="19"/>
      <c r="N745" s="19"/>
      <c r="O745" s="17" t="n">
        <v>0</v>
      </c>
      <c r="P745" s="18" t="s">
        <v>3756</v>
      </c>
      <c r="Q745" s="18" t="s">
        <v>3757</v>
      </c>
      <c r="R745" s="18" t="s">
        <v>3783</v>
      </c>
      <c r="S745" s="17" t="s">
        <v>3780</v>
      </c>
      <c r="T745" s="18" t="s">
        <v>2105</v>
      </c>
      <c r="U745" s="19"/>
      <c r="V745" s="18" t="s">
        <v>2106</v>
      </c>
      <c r="W745" s="17" t="s">
        <v>240</v>
      </c>
      <c r="X745" s="17" t="s">
        <v>2107</v>
      </c>
      <c r="Y745" s="17" t="s">
        <v>242</v>
      </c>
      <c r="Z745" s="19"/>
      <c r="AA745" s="19"/>
      <c r="AB745" s="17"/>
      <c r="AC745" s="19"/>
    </row>
    <row r="746" customFormat="false" ht="22.35" hidden="false" customHeight="false" outlineLevel="0" collapsed="false">
      <c r="A746" s="10" t="s">
        <v>3784</v>
      </c>
      <c r="B746" s="17" t="s">
        <v>94</v>
      </c>
      <c r="C746" s="18" t="s">
        <v>95</v>
      </c>
      <c r="D746" s="17" t="s">
        <v>19</v>
      </c>
      <c r="E746" s="17" t="s">
        <v>75</v>
      </c>
      <c r="F746" s="17" t="s">
        <v>3424</v>
      </c>
      <c r="G746" s="17" t="s">
        <v>96</v>
      </c>
      <c r="H746" s="17" t="s">
        <v>33</v>
      </c>
      <c r="I746" s="17" t="s">
        <v>316</v>
      </c>
      <c r="J746" s="17" t="s">
        <v>233</v>
      </c>
      <c r="K746" s="19"/>
      <c r="L746" s="19"/>
      <c r="M746" s="19"/>
      <c r="N746" s="19"/>
      <c r="O746" s="17" t="n">
        <v>2</v>
      </c>
      <c r="P746" s="18" t="s">
        <v>3785</v>
      </c>
      <c r="Q746" s="18" t="s">
        <v>3786</v>
      </c>
      <c r="R746" s="18" t="s">
        <v>3787</v>
      </c>
      <c r="S746" s="17" t="s">
        <v>3762</v>
      </c>
      <c r="T746" s="18" t="s">
        <v>3788</v>
      </c>
      <c r="U746" s="19"/>
      <c r="V746" s="18" t="s">
        <v>3789</v>
      </c>
      <c r="W746" s="17" t="s">
        <v>1217</v>
      </c>
      <c r="X746" s="17" t="s">
        <v>3790</v>
      </c>
      <c r="Y746" s="17" t="s">
        <v>242</v>
      </c>
      <c r="Z746" s="19"/>
      <c r="AA746" s="19"/>
      <c r="AB746" s="17"/>
      <c r="AC746" s="19"/>
    </row>
    <row r="747" customFormat="false" ht="22.35" hidden="false" customHeight="false" outlineLevel="0" collapsed="false">
      <c r="A747" s="10" t="s">
        <v>3791</v>
      </c>
      <c r="B747" s="17" t="s">
        <v>94</v>
      </c>
      <c r="C747" s="18" t="s">
        <v>95</v>
      </c>
      <c r="D747" s="17" t="s">
        <v>19</v>
      </c>
      <c r="E747" s="17" t="s">
        <v>229</v>
      </c>
      <c r="F747" s="17" t="s">
        <v>3424</v>
      </c>
      <c r="G747" s="17" t="s">
        <v>96</v>
      </c>
      <c r="H747" s="17" t="s">
        <v>33</v>
      </c>
      <c r="I747" s="17" t="s">
        <v>289</v>
      </c>
      <c r="J747" s="17" t="s">
        <v>233</v>
      </c>
      <c r="K747" s="19"/>
      <c r="L747" s="19"/>
      <c r="M747" s="19"/>
      <c r="N747" s="19"/>
      <c r="O747" s="17" t="n">
        <v>2</v>
      </c>
      <c r="P747" s="18" t="s">
        <v>3785</v>
      </c>
      <c r="Q747" s="18" t="s">
        <v>3786</v>
      </c>
      <c r="R747" s="18" t="s">
        <v>3792</v>
      </c>
      <c r="S747" s="17" t="s">
        <v>3772</v>
      </c>
      <c r="T747" s="18" t="s">
        <v>3793</v>
      </c>
      <c r="U747" s="19"/>
      <c r="V747" s="18" t="s">
        <v>3794</v>
      </c>
      <c r="W747" s="17" t="s">
        <v>383</v>
      </c>
      <c r="X747" s="17" t="s">
        <v>3795</v>
      </c>
      <c r="Y747" s="17" t="s">
        <v>242</v>
      </c>
      <c r="Z747" s="19"/>
      <c r="AA747" s="19"/>
      <c r="AB747" s="17"/>
      <c r="AC747" s="19"/>
    </row>
    <row r="748" customFormat="false" ht="32.8" hidden="false" customHeight="false" outlineLevel="0" collapsed="false">
      <c r="A748" s="10" t="s">
        <v>3796</v>
      </c>
      <c r="B748" s="17" t="s">
        <v>94</v>
      </c>
      <c r="C748" s="18" t="s">
        <v>95</v>
      </c>
      <c r="D748" s="17" t="s">
        <v>19</v>
      </c>
      <c r="E748" s="17" t="s">
        <v>75</v>
      </c>
      <c r="F748" s="17" t="s">
        <v>3424</v>
      </c>
      <c r="G748" s="17" t="s">
        <v>96</v>
      </c>
      <c r="H748" s="17" t="s">
        <v>33</v>
      </c>
      <c r="I748" s="17" t="s">
        <v>316</v>
      </c>
      <c r="J748" s="17" t="s">
        <v>233</v>
      </c>
      <c r="K748" s="19"/>
      <c r="L748" s="19"/>
      <c r="M748" s="19"/>
      <c r="N748" s="19"/>
      <c r="O748" s="17" t="n">
        <v>2</v>
      </c>
      <c r="P748" s="18" t="s">
        <v>3785</v>
      </c>
      <c r="Q748" s="18" t="s">
        <v>3786</v>
      </c>
      <c r="R748" s="18" t="s">
        <v>3797</v>
      </c>
      <c r="S748" s="17" t="s">
        <v>3798</v>
      </c>
      <c r="T748" s="18" t="s">
        <v>3799</v>
      </c>
      <c r="U748" s="19"/>
      <c r="V748" s="18" t="s">
        <v>3800</v>
      </c>
      <c r="W748" s="17" t="s">
        <v>240</v>
      </c>
      <c r="X748" s="17" t="s">
        <v>3801</v>
      </c>
      <c r="Y748" s="17" t="s">
        <v>242</v>
      </c>
      <c r="Z748" s="19"/>
      <c r="AA748" s="19"/>
      <c r="AB748" s="17"/>
      <c r="AC748" s="19"/>
    </row>
    <row r="749" customFormat="false" ht="22.35" hidden="false" customHeight="false" outlineLevel="0" collapsed="false">
      <c r="A749" s="10" t="s">
        <v>3802</v>
      </c>
      <c r="B749" s="17" t="s">
        <v>94</v>
      </c>
      <c r="C749" s="18" t="s">
        <v>95</v>
      </c>
      <c r="D749" s="17" t="s">
        <v>19</v>
      </c>
      <c r="E749" s="17" t="s">
        <v>229</v>
      </c>
      <c r="F749" s="17" t="s">
        <v>3424</v>
      </c>
      <c r="G749" s="17" t="s">
        <v>96</v>
      </c>
      <c r="H749" s="17" t="s">
        <v>33</v>
      </c>
      <c r="I749" s="17" t="s">
        <v>316</v>
      </c>
      <c r="J749" s="17" t="s">
        <v>233</v>
      </c>
      <c r="K749" s="19"/>
      <c r="L749" s="19"/>
      <c r="M749" s="19"/>
      <c r="N749" s="19"/>
      <c r="O749" s="17" t="n">
        <v>2</v>
      </c>
      <c r="P749" s="18" t="s">
        <v>3785</v>
      </c>
      <c r="Q749" s="18" t="s">
        <v>3786</v>
      </c>
      <c r="R749" s="18" t="s">
        <v>3803</v>
      </c>
      <c r="S749" s="17" t="s">
        <v>3804</v>
      </c>
      <c r="T749" s="18" t="s">
        <v>3805</v>
      </c>
      <c r="U749" s="19"/>
      <c r="V749" s="18" t="s">
        <v>3806</v>
      </c>
      <c r="W749" s="17" t="s">
        <v>240</v>
      </c>
      <c r="X749" s="17" t="s">
        <v>2471</v>
      </c>
      <c r="Y749" s="17" t="s">
        <v>242</v>
      </c>
      <c r="Z749" s="19"/>
      <c r="AA749" s="19"/>
      <c r="AB749" s="17" t="s">
        <v>1681</v>
      </c>
      <c r="AC749" s="19"/>
    </row>
    <row r="750" customFormat="false" ht="22.35" hidden="false" customHeight="false" outlineLevel="0" collapsed="false">
      <c r="A750" s="10" t="s">
        <v>3807</v>
      </c>
      <c r="B750" s="17" t="s">
        <v>94</v>
      </c>
      <c r="C750" s="18" t="s">
        <v>95</v>
      </c>
      <c r="D750" s="17" t="s">
        <v>19</v>
      </c>
      <c r="E750" s="17" t="s">
        <v>75</v>
      </c>
      <c r="F750" s="17" t="s">
        <v>3424</v>
      </c>
      <c r="G750" s="17" t="s">
        <v>96</v>
      </c>
      <c r="H750" s="17" t="s">
        <v>33</v>
      </c>
      <c r="I750" s="17" t="s">
        <v>316</v>
      </c>
      <c r="J750" s="17" t="s">
        <v>233</v>
      </c>
      <c r="K750" s="19"/>
      <c r="L750" s="19"/>
      <c r="M750" s="19"/>
      <c r="N750" s="19"/>
      <c r="O750" s="17" t="n">
        <v>2</v>
      </c>
      <c r="P750" s="18" t="s">
        <v>3785</v>
      </c>
      <c r="Q750" s="18" t="s">
        <v>3786</v>
      </c>
      <c r="R750" s="18" t="s">
        <v>3808</v>
      </c>
      <c r="S750" s="17" t="s">
        <v>3775</v>
      </c>
      <c r="T750" s="18" t="s">
        <v>2438</v>
      </c>
      <c r="U750" s="19"/>
      <c r="V750" s="18" t="s">
        <v>3809</v>
      </c>
      <c r="W750" s="17" t="s">
        <v>240</v>
      </c>
      <c r="X750" s="17" t="s">
        <v>3779</v>
      </c>
      <c r="Y750" s="17" t="s">
        <v>242</v>
      </c>
      <c r="Z750" s="19"/>
      <c r="AA750" s="19"/>
      <c r="AB750" s="17"/>
      <c r="AC750" s="19"/>
    </row>
    <row r="751" customFormat="false" ht="32.8" hidden="false" customHeight="false" outlineLevel="0" collapsed="false">
      <c r="A751" s="10" t="s">
        <v>3810</v>
      </c>
      <c r="B751" s="17" t="s">
        <v>94</v>
      </c>
      <c r="C751" s="18" t="s">
        <v>95</v>
      </c>
      <c r="D751" s="17" t="s">
        <v>19</v>
      </c>
      <c r="E751" s="17" t="s">
        <v>229</v>
      </c>
      <c r="F751" s="17" t="s">
        <v>3424</v>
      </c>
      <c r="G751" s="17" t="s">
        <v>96</v>
      </c>
      <c r="H751" s="17" t="s">
        <v>33</v>
      </c>
      <c r="I751" s="17" t="s">
        <v>316</v>
      </c>
      <c r="J751" s="17" t="s">
        <v>233</v>
      </c>
      <c r="K751" s="19"/>
      <c r="L751" s="19"/>
      <c r="M751" s="19"/>
      <c r="N751" s="19"/>
      <c r="O751" s="17" t="n">
        <v>2</v>
      </c>
      <c r="P751" s="18" t="s">
        <v>3785</v>
      </c>
      <c r="Q751" s="18" t="s">
        <v>3786</v>
      </c>
      <c r="R751" s="18" t="s">
        <v>3811</v>
      </c>
      <c r="S751" s="17" t="s">
        <v>3812</v>
      </c>
      <c r="T751" s="18" t="s">
        <v>3813</v>
      </c>
      <c r="U751" s="19"/>
      <c r="V751" s="18" t="s">
        <v>3814</v>
      </c>
      <c r="W751" s="17" t="s">
        <v>240</v>
      </c>
      <c r="X751" s="17" t="s">
        <v>3815</v>
      </c>
      <c r="Y751" s="17" t="s">
        <v>242</v>
      </c>
      <c r="Z751" s="19"/>
      <c r="AA751" s="19"/>
      <c r="AB751" s="17"/>
      <c r="AC751" s="19"/>
    </row>
    <row r="752" customFormat="false" ht="43.25" hidden="false" customHeight="false" outlineLevel="0" collapsed="false">
      <c r="A752" s="10" t="s">
        <v>3816</v>
      </c>
      <c r="B752" s="17" t="s">
        <v>94</v>
      </c>
      <c r="C752" s="18" t="s">
        <v>95</v>
      </c>
      <c r="D752" s="17" t="s">
        <v>19</v>
      </c>
      <c r="E752" s="17" t="s">
        <v>229</v>
      </c>
      <c r="F752" s="17" t="s">
        <v>3424</v>
      </c>
      <c r="G752" s="17" t="s">
        <v>96</v>
      </c>
      <c r="H752" s="17" t="s">
        <v>33</v>
      </c>
      <c r="I752" s="17" t="s">
        <v>283</v>
      </c>
      <c r="J752" s="17" t="s">
        <v>233</v>
      </c>
      <c r="K752" s="19"/>
      <c r="L752" s="19"/>
      <c r="M752" s="19"/>
      <c r="N752" s="19"/>
      <c r="O752" s="17" t="n">
        <v>2</v>
      </c>
      <c r="P752" s="18" t="s">
        <v>3785</v>
      </c>
      <c r="Q752" s="18" t="s">
        <v>3786</v>
      </c>
      <c r="R752" s="18" t="s">
        <v>3817</v>
      </c>
      <c r="S752" s="17" t="s">
        <v>3810</v>
      </c>
      <c r="T752" s="18" t="s">
        <v>3818</v>
      </c>
      <c r="U752" s="19"/>
      <c r="V752" s="18" t="s">
        <v>3819</v>
      </c>
      <c r="W752" s="17" t="s">
        <v>240</v>
      </c>
      <c r="X752" s="17" t="s">
        <v>3820</v>
      </c>
      <c r="Y752" s="17" t="s">
        <v>242</v>
      </c>
      <c r="Z752" s="19"/>
      <c r="AA752" s="19"/>
      <c r="AB752" s="17"/>
      <c r="AC752" s="19"/>
    </row>
    <row r="753" customFormat="false" ht="43.25" hidden="false" customHeight="false" outlineLevel="0" collapsed="false">
      <c r="A753" s="10" t="s">
        <v>3821</v>
      </c>
      <c r="B753" s="17" t="s">
        <v>94</v>
      </c>
      <c r="C753" s="18" t="s">
        <v>95</v>
      </c>
      <c r="D753" s="17" t="s">
        <v>19</v>
      </c>
      <c r="E753" s="17" t="s">
        <v>229</v>
      </c>
      <c r="F753" s="17" t="s">
        <v>3424</v>
      </c>
      <c r="G753" s="17" t="s">
        <v>96</v>
      </c>
      <c r="H753" s="17" t="s">
        <v>33</v>
      </c>
      <c r="I753" s="17" t="s">
        <v>283</v>
      </c>
      <c r="J753" s="17" t="s">
        <v>233</v>
      </c>
      <c r="K753" s="19"/>
      <c r="L753" s="19"/>
      <c r="M753" s="19"/>
      <c r="N753" s="19"/>
      <c r="O753" s="17" t="n">
        <v>2</v>
      </c>
      <c r="P753" s="18" t="s">
        <v>3785</v>
      </c>
      <c r="Q753" s="18" t="s">
        <v>3786</v>
      </c>
      <c r="R753" s="18" t="s">
        <v>3822</v>
      </c>
      <c r="S753" s="17" t="s">
        <v>3810</v>
      </c>
      <c r="T753" s="18" t="s">
        <v>3823</v>
      </c>
      <c r="U753" s="19"/>
      <c r="V753" s="18" t="s">
        <v>3824</v>
      </c>
      <c r="W753" s="17" t="s">
        <v>240</v>
      </c>
      <c r="X753" s="17" t="s">
        <v>3825</v>
      </c>
      <c r="Y753" s="17" t="s">
        <v>242</v>
      </c>
      <c r="Z753" s="19"/>
      <c r="AA753" s="19"/>
      <c r="AB753" s="17"/>
      <c r="AC753" s="19"/>
    </row>
    <row r="754" customFormat="false" ht="22.35" hidden="false" customHeight="false" outlineLevel="0" collapsed="false">
      <c r="A754" s="10" t="s">
        <v>3826</v>
      </c>
      <c r="B754" s="17" t="s">
        <v>94</v>
      </c>
      <c r="C754" s="18" t="s">
        <v>95</v>
      </c>
      <c r="D754" s="17" t="s">
        <v>19</v>
      </c>
      <c r="E754" s="17" t="s">
        <v>75</v>
      </c>
      <c r="F754" s="17" t="s">
        <v>3424</v>
      </c>
      <c r="G754" s="17" t="s">
        <v>96</v>
      </c>
      <c r="H754" s="17" t="s">
        <v>33</v>
      </c>
      <c r="I754" s="17" t="s">
        <v>277</v>
      </c>
      <c r="J754" s="17" t="s">
        <v>233</v>
      </c>
      <c r="K754" s="19"/>
      <c r="L754" s="19"/>
      <c r="M754" s="19"/>
      <c r="N754" s="19"/>
      <c r="O754" s="17" t="n">
        <v>3</v>
      </c>
      <c r="P754" s="18" t="s">
        <v>3785</v>
      </c>
      <c r="Q754" s="18" t="s">
        <v>3786</v>
      </c>
      <c r="R754" s="18" t="s">
        <v>3827</v>
      </c>
      <c r="S754" s="17" t="s">
        <v>3791</v>
      </c>
      <c r="T754" s="18" t="s">
        <v>3828</v>
      </c>
      <c r="U754" s="19"/>
      <c r="V754" s="18" t="s">
        <v>3829</v>
      </c>
      <c r="W754" s="17" t="s">
        <v>383</v>
      </c>
      <c r="X754" s="17" t="s">
        <v>3830</v>
      </c>
      <c r="Y754" s="17" t="s">
        <v>242</v>
      </c>
      <c r="Z754" s="19"/>
      <c r="AA754" s="19"/>
      <c r="AB754" s="17"/>
      <c r="AC754" s="19"/>
    </row>
    <row r="755" customFormat="false" ht="22.35" hidden="false" customHeight="false" outlineLevel="0" collapsed="false">
      <c r="A755" s="10" t="s">
        <v>3831</v>
      </c>
      <c r="B755" s="17" t="s">
        <v>94</v>
      </c>
      <c r="C755" s="18" t="s">
        <v>95</v>
      </c>
      <c r="D755" s="17" t="s">
        <v>19</v>
      </c>
      <c r="E755" s="17" t="s">
        <v>75</v>
      </c>
      <c r="F755" s="17" t="s">
        <v>3424</v>
      </c>
      <c r="G755" s="17" t="s">
        <v>96</v>
      </c>
      <c r="H755" s="17" t="s">
        <v>33</v>
      </c>
      <c r="I755" s="17" t="s">
        <v>283</v>
      </c>
      <c r="J755" s="17" t="s">
        <v>233</v>
      </c>
      <c r="K755" s="19"/>
      <c r="L755" s="19"/>
      <c r="M755" s="19"/>
      <c r="N755" s="19"/>
      <c r="O755" s="17" t="n">
        <v>2</v>
      </c>
      <c r="P755" s="18" t="s">
        <v>3785</v>
      </c>
      <c r="Q755" s="18" t="s">
        <v>3786</v>
      </c>
      <c r="R755" s="18" t="s">
        <v>3832</v>
      </c>
      <c r="S755" s="17" t="s">
        <v>3826</v>
      </c>
      <c r="T755" s="18" t="s">
        <v>2105</v>
      </c>
      <c r="U755" s="19"/>
      <c r="V755" s="18" t="s">
        <v>2106</v>
      </c>
      <c r="W755" s="17" t="s">
        <v>240</v>
      </c>
      <c r="X755" s="17" t="s">
        <v>2107</v>
      </c>
      <c r="Y755" s="17" t="s">
        <v>242</v>
      </c>
      <c r="Z755" s="19"/>
      <c r="AA755" s="19"/>
      <c r="AB755" s="17" t="s">
        <v>1681</v>
      </c>
      <c r="AC755" s="19"/>
    </row>
    <row r="756" customFormat="false" ht="22.35" hidden="false" customHeight="false" outlineLevel="0" collapsed="false">
      <c r="A756" s="10" t="s">
        <v>3833</v>
      </c>
      <c r="B756" s="17" t="s">
        <v>94</v>
      </c>
      <c r="C756" s="18" t="s">
        <v>95</v>
      </c>
      <c r="D756" s="17" t="s">
        <v>19</v>
      </c>
      <c r="E756" s="17" t="s">
        <v>229</v>
      </c>
      <c r="F756" s="17" t="s">
        <v>3424</v>
      </c>
      <c r="G756" s="17" t="s">
        <v>96</v>
      </c>
      <c r="H756" s="17" t="s">
        <v>33</v>
      </c>
      <c r="I756" s="17" t="s">
        <v>450</v>
      </c>
      <c r="J756" s="17" t="s">
        <v>233</v>
      </c>
      <c r="K756" s="19"/>
      <c r="L756" s="19"/>
      <c r="M756" s="19"/>
      <c r="N756" s="19"/>
      <c r="O756" s="17" t="n">
        <v>2</v>
      </c>
      <c r="P756" s="18" t="s">
        <v>3834</v>
      </c>
      <c r="Q756" s="18" t="s">
        <v>3835</v>
      </c>
      <c r="R756" s="18" t="s">
        <v>3836</v>
      </c>
      <c r="S756" s="17" t="s">
        <v>3837</v>
      </c>
      <c r="T756" s="18" t="s">
        <v>3838</v>
      </c>
      <c r="U756" s="19"/>
      <c r="V756" s="18" t="s">
        <v>3839</v>
      </c>
      <c r="W756" s="17" t="s">
        <v>240</v>
      </c>
      <c r="X756" s="17" t="s">
        <v>3840</v>
      </c>
      <c r="Y756" s="17" t="s">
        <v>242</v>
      </c>
      <c r="Z756" s="19"/>
      <c r="AA756" s="19"/>
      <c r="AB756" s="17"/>
      <c r="AC756" s="19"/>
    </row>
    <row r="757" customFormat="false" ht="22.35" hidden="false" customHeight="false" outlineLevel="0" collapsed="false">
      <c r="A757" s="10" t="s">
        <v>3841</v>
      </c>
      <c r="B757" s="17" t="s">
        <v>94</v>
      </c>
      <c r="C757" s="18" t="s">
        <v>95</v>
      </c>
      <c r="D757" s="17" t="s">
        <v>19</v>
      </c>
      <c r="E757" s="17" t="s">
        <v>229</v>
      </c>
      <c r="F757" s="17" t="s">
        <v>3424</v>
      </c>
      <c r="G757" s="17" t="s">
        <v>96</v>
      </c>
      <c r="H757" s="17" t="s">
        <v>33</v>
      </c>
      <c r="I757" s="17" t="s">
        <v>450</v>
      </c>
      <c r="J757" s="17" t="s">
        <v>233</v>
      </c>
      <c r="K757" s="19"/>
      <c r="L757" s="19"/>
      <c r="M757" s="19"/>
      <c r="N757" s="19"/>
      <c r="O757" s="17" t="n">
        <v>2</v>
      </c>
      <c r="P757" s="18" t="s">
        <v>3834</v>
      </c>
      <c r="Q757" s="18" t="s">
        <v>3835</v>
      </c>
      <c r="R757" s="18" t="s">
        <v>3842</v>
      </c>
      <c r="S757" s="17" t="s">
        <v>3810</v>
      </c>
      <c r="T757" s="18" t="s">
        <v>3843</v>
      </c>
      <c r="U757" s="19"/>
      <c r="V757" s="18" t="s">
        <v>3844</v>
      </c>
      <c r="W757" s="17" t="s">
        <v>240</v>
      </c>
      <c r="X757" s="17" t="s">
        <v>3845</v>
      </c>
      <c r="Y757" s="17" t="s">
        <v>242</v>
      </c>
      <c r="Z757" s="19"/>
      <c r="AA757" s="19"/>
      <c r="AB757" s="17"/>
      <c r="AC757" s="19"/>
    </row>
    <row r="758" customFormat="false" ht="22.35" hidden="false" customHeight="false" outlineLevel="0" collapsed="false">
      <c r="A758" s="10" t="s">
        <v>3846</v>
      </c>
      <c r="B758" s="17" t="s">
        <v>94</v>
      </c>
      <c r="C758" s="18" t="s">
        <v>95</v>
      </c>
      <c r="D758" s="17" t="s">
        <v>19</v>
      </c>
      <c r="E758" s="17" t="s">
        <v>75</v>
      </c>
      <c r="F758" s="17" t="s">
        <v>3424</v>
      </c>
      <c r="G758" s="17" t="s">
        <v>96</v>
      </c>
      <c r="H758" s="17" t="s">
        <v>33</v>
      </c>
      <c r="I758" s="17" t="s">
        <v>283</v>
      </c>
      <c r="J758" s="17" t="s">
        <v>233</v>
      </c>
      <c r="K758" s="19"/>
      <c r="L758" s="19"/>
      <c r="M758" s="19"/>
      <c r="N758" s="19"/>
      <c r="O758" s="17" t="n">
        <v>2</v>
      </c>
      <c r="P758" s="18" t="s">
        <v>3834</v>
      </c>
      <c r="Q758" s="18" t="s">
        <v>3835</v>
      </c>
      <c r="R758" s="18" t="s">
        <v>3847</v>
      </c>
      <c r="S758" s="17" t="s">
        <v>3841</v>
      </c>
      <c r="T758" s="18" t="s">
        <v>2105</v>
      </c>
      <c r="U758" s="19"/>
      <c r="V758" s="18" t="s">
        <v>2106</v>
      </c>
      <c r="W758" s="17" t="s">
        <v>240</v>
      </c>
      <c r="X758" s="17" t="s">
        <v>2107</v>
      </c>
      <c r="Y758" s="17" t="s">
        <v>242</v>
      </c>
      <c r="Z758" s="19"/>
      <c r="AA758" s="19"/>
      <c r="AB758" s="17"/>
      <c r="AC758" s="19"/>
    </row>
    <row r="759" customFormat="false" ht="32.8" hidden="false" customHeight="false" outlineLevel="0" collapsed="false">
      <c r="A759" s="10" t="s">
        <v>3848</v>
      </c>
      <c r="B759" s="17" t="s">
        <v>94</v>
      </c>
      <c r="C759" s="18" t="s">
        <v>95</v>
      </c>
      <c r="D759" s="17" t="s">
        <v>19</v>
      </c>
      <c r="E759" s="17" t="s">
        <v>75</v>
      </c>
      <c r="F759" s="17" t="s">
        <v>3424</v>
      </c>
      <c r="G759" s="17" t="s">
        <v>96</v>
      </c>
      <c r="H759" s="17" t="s">
        <v>33</v>
      </c>
      <c r="I759" s="17" t="s">
        <v>289</v>
      </c>
      <c r="J759" s="17" t="s">
        <v>233</v>
      </c>
      <c r="K759" s="19"/>
      <c r="L759" s="19"/>
      <c r="M759" s="19"/>
      <c r="N759" s="19"/>
      <c r="O759" s="17" t="n">
        <v>2</v>
      </c>
      <c r="P759" s="18" t="s">
        <v>3849</v>
      </c>
      <c r="Q759" s="18" t="s">
        <v>3850</v>
      </c>
      <c r="R759" s="18" t="s">
        <v>3851</v>
      </c>
      <c r="S759" s="17" t="s">
        <v>3810</v>
      </c>
      <c r="T759" s="18" t="s">
        <v>3630</v>
      </c>
      <c r="U759" s="19"/>
      <c r="V759" s="18" t="s">
        <v>3852</v>
      </c>
      <c r="W759" s="17" t="s">
        <v>240</v>
      </c>
      <c r="X759" s="17" t="s">
        <v>2206</v>
      </c>
      <c r="Y759" s="17" t="s">
        <v>242</v>
      </c>
      <c r="Z759" s="19"/>
      <c r="AA759" s="19"/>
      <c r="AB759" s="17"/>
      <c r="AC759" s="19"/>
    </row>
    <row r="760" customFormat="false" ht="22.35" hidden="false" customHeight="false" outlineLevel="0" collapsed="false">
      <c r="A760" s="10" t="s">
        <v>3853</v>
      </c>
      <c r="B760" s="17" t="s">
        <v>94</v>
      </c>
      <c r="C760" s="18" t="s">
        <v>95</v>
      </c>
      <c r="D760" s="17" t="s">
        <v>19</v>
      </c>
      <c r="E760" s="17" t="s">
        <v>229</v>
      </c>
      <c r="F760" s="17" t="s">
        <v>3424</v>
      </c>
      <c r="G760" s="17" t="s">
        <v>96</v>
      </c>
      <c r="H760" s="17" t="s">
        <v>33</v>
      </c>
      <c r="I760" s="17" t="s">
        <v>974</v>
      </c>
      <c r="J760" s="17" t="s">
        <v>233</v>
      </c>
      <c r="K760" s="19"/>
      <c r="L760" s="19"/>
      <c r="M760" s="19"/>
      <c r="N760" s="19"/>
      <c r="O760" s="17" t="n">
        <v>2</v>
      </c>
      <c r="P760" s="18" t="s">
        <v>3849</v>
      </c>
      <c r="Q760" s="18" t="s">
        <v>3850</v>
      </c>
      <c r="R760" s="18" t="s">
        <v>3854</v>
      </c>
      <c r="S760" s="17" t="s">
        <v>3841</v>
      </c>
      <c r="T760" s="18" t="s">
        <v>2209</v>
      </c>
      <c r="U760" s="19"/>
      <c r="V760" s="18" t="s">
        <v>3855</v>
      </c>
      <c r="W760" s="17" t="s">
        <v>240</v>
      </c>
      <c r="X760" s="17" t="s">
        <v>3856</v>
      </c>
      <c r="Y760" s="17" t="s">
        <v>242</v>
      </c>
      <c r="Z760" s="19"/>
      <c r="AA760" s="19"/>
      <c r="AB760" s="17"/>
      <c r="AC760" s="19"/>
    </row>
    <row r="761" customFormat="false" ht="22.35" hidden="false" customHeight="false" outlineLevel="0" collapsed="false">
      <c r="A761" s="10" t="s">
        <v>3857</v>
      </c>
      <c r="B761" s="17" t="s">
        <v>94</v>
      </c>
      <c r="C761" s="18" t="s">
        <v>95</v>
      </c>
      <c r="D761" s="17" t="s">
        <v>19</v>
      </c>
      <c r="E761" s="17" t="s">
        <v>75</v>
      </c>
      <c r="F761" s="17" t="s">
        <v>3424</v>
      </c>
      <c r="G761" s="17" t="s">
        <v>96</v>
      </c>
      <c r="H761" s="17" t="s">
        <v>33</v>
      </c>
      <c r="I761" s="17" t="s">
        <v>283</v>
      </c>
      <c r="J761" s="17" t="s">
        <v>233</v>
      </c>
      <c r="K761" s="19"/>
      <c r="L761" s="19"/>
      <c r="M761" s="19"/>
      <c r="N761" s="19"/>
      <c r="O761" s="17" t="n">
        <v>2</v>
      </c>
      <c r="P761" s="18" t="s">
        <v>3849</v>
      </c>
      <c r="Q761" s="18" t="s">
        <v>3850</v>
      </c>
      <c r="R761" s="18" t="s">
        <v>3858</v>
      </c>
      <c r="S761" s="17" t="s">
        <v>3853</v>
      </c>
      <c r="T761" s="18" t="s">
        <v>2105</v>
      </c>
      <c r="U761" s="19"/>
      <c r="V761" s="18" t="s">
        <v>2106</v>
      </c>
      <c r="W761" s="17" t="s">
        <v>240</v>
      </c>
      <c r="X761" s="17" t="s">
        <v>2107</v>
      </c>
      <c r="Y761" s="17" t="s">
        <v>242</v>
      </c>
      <c r="Z761" s="19"/>
      <c r="AA761" s="19"/>
      <c r="AB761" s="17"/>
      <c r="AC761" s="19"/>
    </row>
    <row r="762" customFormat="false" ht="22.35" hidden="false" customHeight="false" outlineLevel="0" collapsed="false">
      <c r="A762" s="10" t="s">
        <v>3859</v>
      </c>
      <c r="B762" s="17" t="s">
        <v>94</v>
      </c>
      <c r="C762" s="18" t="s">
        <v>95</v>
      </c>
      <c r="D762" s="17" t="s">
        <v>19</v>
      </c>
      <c r="E762" s="17" t="s">
        <v>229</v>
      </c>
      <c r="F762" s="17" t="s">
        <v>3424</v>
      </c>
      <c r="G762" s="17" t="s">
        <v>96</v>
      </c>
      <c r="H762" s="17" t="s">
        <v>33</v>
      </c>
      <c r="I762" s="17" t="s">
        <v>289</v>
      </c>
      <c r="J762" s="17" t="s">
        <v>233</v>
      </c>
      <c r="K762" s="19"/>
      <c r="L762" s="19"/>
      <c r="M762" s="19"/>
      <c r="N762" s="19"/>
      <c r="O762" s="17" t="n">
        <v>2</v>
      </c>
      <c r="P762" s="18" t="s">
        <v>3860</v>
      </c>
      <c r="Q762" s="18" t="s">
        <v>3861</v>
      </c>
      <c r="R762" s="18" t="s">
        <v>3862</v>
      </c>
      <c r="S762" s="17" t="s">
        <v>3791</v>
      </c>
      <c r="T762" s="18" t="s">
        <v>2389</v>
      </c>
      <c r="U762" s="19"/>
      <c r="V762" s="18" t="s">
        <v>3863</v>
      </c>
      <c r="W762" s="17" t="s">
        <v>383</v>
      </c>
      <c r="X762" s="17" t="s">
        <v>378</v>
      </c>
      <c r="Y762" s="17" t="s">
        <v>242</v>
      </c>
      <c r="Z762" s="19"/>
      <c r="AA762" s="19"/>
      <c r="AB762" s="17"/>
      <c r="AC762" s="19"/>
    </row>
    <row r="763" customFormat="false" ht="22.35" hidden="false" customHeight="false" outlineLevel="0" collapsed="false">
      <c r="A763" s="10" t="s">
        <v>3864</v>
      </c>
      <c r="B763" s="17" t="s">
        <v>94</v>
      </c>
      <c r="C763" s="18" t="s">
        <v>95</v>
      </c>
      <c r="D763" s="17" t="s">
        <v>19</v>
      </c>
      <c r="E763" s="17" t="s">
        <v>75</v>
      </c>
      <c r="F763" s="17" t="s">
        <v>3424</v>
      </c>
      <c r="G763" s="17" t="s">
        <v>96</v>
      </c>
      <c r="H763" s="17" t="s">
        <v>33</v>
      </c>
      <c r="I763" s="17" t="s">
        <v>369</v>
      </c>
      <c r="J763" s="17" t="s">
        <v>233</v>
      </c>
      <c r="K763" s="19"/>
      <c r="L763" s="19"/>
      <c r="M763" s="19"/>
      <c r="N763" s="19"/>
      <c r="O763" s="17" t="n">
        <v>2</v>
      </c>
      <c r="P763" s="18" t="s">
        <v>3860</v>
      </c>
      <c r="Q763" s="18" t="s">
        <v>3861</v>
      </c>
      <c r="R763" s="18" t="s">
        <v>3865</v>
      </c>
      <c r="S763" s="17" t="s">
        <v>3807</v>
      </c>
      <c r="T763" s="18" t="s">
        <v>3866</v>
      </c>
      <c r="U763" s="19"/>
      <c r="V763" s="18" t="s">
        <v>3867</v>
      </c>
      <c r="W763" s="17" t="s">
        <v>240</v>
      </c>
      <c r="X763" s="17" t="s">
        <v>2243</v>
      </c>
      <c r="Y763" s="17" t="s">
        <v>242</v>
      </c>
      <c r="Z763" s="19"/>
      <c r="AA763" s="19"/>
      <c r="AB763" s="17"/>
      <c r="AC763" s="19"/>
    </row>
    <row r="764" customFormat="false" ht="22.35" hidden="false" customHeight="false" outlineLevel="0" collapsed="false">
      <c r="A764" s="10" t="s">
        <v>3868</v>
      </c>
      <c r="B764" s="17" t="s">
        <v>94</v>
      </c>
      <c r="C764" s="18" t="s">
        <v>95</v>
      </c>
      <c r="D764" s="17" t="s">
        <v>19</v>
      </c>
      <c r="E764" s="17" t="s">
        <v>75</v>
      </c>
      <c r="F764" s="17" t="s">
        <v>3424</v>
      </c>
      <c r="G764" s="17" t="s">
        <v>96</v>
      </c>
      <c r="H764" s="17" t="s">
        <v>33</v>
      </c>
      <c r="I764" s="17" t="s">
        <v>283</v>
      </c>
      <c r="J764" s="17" t="s">
        <v>233</v>
      </c>
      <c r="K764" s="19"/>
      <c r="L764" s="19"/>
      <c r="M764" s="19"/>
      <c r="N764" s="19"/>
      <c r="O764" s="17" t="n">
        <v>2</v>
      </c>
      <c r="P764" s="18" t="s">
        <v>3860</v>
      </c>
      <c r="Q764" s="18" t="s">
        <v>3861</v>
      </c>
      <c r="R764" s="18" t="s">
        <v>3869</v>
      </c>
      <c r="S764" s="17" t="s">
        <v>3864</v>
      </c>
      <c r="T764" s="18" t="s">
        <v>2105</v>
      </c>
      <c r="U764" s="19"/>
      <c r="V764" s="18" t="s">
        <v>2106</v>
      </c>
      <c r="W764" s="17" t="s">
        <v>240</v>
      </c>
      <c r="X764" s="17" t="s">
        <v>2107</v>
      </c>
      <c r="Y764" s="17" t="s">
        <v>242</v>
      </c>
      <c r="Z764" s="19"/>
      <c r="AA764" s="19"/>
      <c r="AB764" s="17"/>
      <c r="AC764" s="19"/>
    </row>
    <row r="765" customFormat="false" ht="22.35" hidden="false" customHeight="false" outlineLevel="0" collapsed="false">
      <c r="A765" s="10" t="s">
        <v>3870</v>
      </c>
      <c r="B765" s="17" t="s">
        <v>73</v>
      </c>
      <c r="C765" s="18" t="s">
        <v>74</v>
      </c>
      <c r="D765" s="17" t="s">
        <v>19</v>
      </c>
      <c r="E765" s="17" t="s">
        <v>229</v>
      </c>
      <c r="F765" s="17" t="s">
        <v>3424</v>
      </c>
      <c r="G765" s="17" t="s">
        <v>75</v>
      </c>
      <c r="H765" s="17" t="s">
        <v>33</v>
      </c>
      <c r="I765" s="17" t="s">
        <v>1786</v>
      </c>
      <c r="J765" s="17" t="s">
        <v>233</v>
      </c>
      <c r="K765" s="19"/>
      <c r="L765" s="19"/>
      <c r="M765" s="19"/>
      <c r="N765" s="19"/>
      <c r="O765" s="17" t="n">
        <v>0</v>
      </c>
      <c r="P765" s="18" t="s">
        <v>3871</v>
      </c>
      <c r="Q765" s="18" t="s">
        <v>3872</v>
      </c>
      <c r="R765" s="18" t="s">
        <v>3873</v>
      </c>
      <c r="S765" s="17" t="s">
        <v>237</v>
      </c>
      <c r="T765" s="18" t="s">
        <v>3874</v>
      </c>
      <c r="U765" s="19"/>
      <c r="V765" s="18" t="s">
        <v>3875</v>
      </c>
      <c r="W765" s="17" t="s">
        <v>240</v>
      </c>
      <c r="X765" s="17" t="s">
        <v>3876</v>
      </c>
      <c r="Y765" s="17" t="s">
        <v>242</v>
      </c>
      <c r="Z765" s="19"/>
      <c r="AA765" s="19"/>
      <c r="AB765" s="17"/>
      <c r="AC765" s="19"/>
    </row>
    <row r="766" customFormat="false" ht="22.35" hidden="false" customHeight="false" outlineLevel="0" collapsed="false">
      <c r="A766" s="10" t="s">
        <v>3877</v>
      </c>
      <c r="B766" s="17" t="s">
        <v>73</v>
      </c>
      <c r="C766" s="18" t="s">
        <v>74</v>
      </c>
      <c r="D766" s="17" t="s">
        <v>19</v>
      </c>
      <c r="E766" s="17" t="s">
        <v>229</v>
      </c>
      <c r="F766" s="17" t="s">
        <v>3424</v>
      </c>
      <c r="G766" s="17" t="s">
        <v>75</v>
      </c>
      <c r="H766" s="17" t="s">
        <v>33</v>
      </c>
      <c r="I766" s="17" t="s">
        <v>1786</v>
      </c>
      <c r="J766" s="17" t="s">
        <v>233</v>
      </c>
      <c r="K766" s="19"/>
      <c r="L766" s="19"/>
      <c r="M766" s="19"/>
      <c r="N766" s="19"/>
      <c r="O766" s="17" t="n">
        <v>0</v>
      </c>
      <c r="P766" s="18" t="s">
        <v>3871</v>
      </c>
      <c r="Q766" s="18" t="s">
        <v>3872</v>
      </c>
      <c r="R766" s="18" t="s">
        <v>3878</v>
      </c>
      <c r="S766" s="17" t="s">
        <v>3870</v>
      </c>
      <c r="T766" s="18" t="s">
        <v>3879</v>
      </c>
      <c r="U766" s="19"/>
      <c r="V766" s="18" t="s">
        <v>3880</v>
      </c>
      <c r="W766" s="17" t="s">
        <v>240</v>
      </c>
      <c r="X766" s="17" t="s">
        <v>3881</v>
      </c>
      <c r="Y766" s="17" t="s">
        <v>242</v>
      </c>
      <c r="Z766" s="19"/>
      <c r="AA766" s="19"/>
      <c r="AB766" s="17"/>
      <c r="AC766" s="19"/>
    </row>
    <row r="767" customFormat="false" ht="15" hidden="false" customHeight="false" outlineLevel="0" collapsed="false">
      <c r="A767" s="10" t="s">
        <v>3882</v>
      </c>
      <c r="B767" s="17" t="s">
        <v>73</v>
      </c>
      <c r="C767" s="18" t="s">
        <v>74</v>
      </c>
      <c r="D767" s="17" t="s">
        <v>19</v>
      </c>
      <c r="E767" s="17" t="s">
        <v>229</v>
      </c>
      <c r="F767" s="17" t="s">
        <v>3424</v>
      </c>
      <c r="G767" s="17" t="s">
        <v>75</v>
      </c>
      <c r="H767" s="17" t="s">
        <v>33</v>
      </c>
      <c r="I767" s="17" t="s">
        <v>1786</v>
      </c>
      <c r="J767" s="17" t="s">
        <v>233</v>
      </c>
      <c r="K767" s="19"/>
      <c r="L767" s="19"/>
      <c r="M767" s="19"/>
      <c r="N767" s="19"/>
      <c r="O767" s="17" t="n">
        <v>0</v>
      </c>
      <c r="P767" s="18" t="s">
        <v>3871</v>
      </c>
      <c r="Q767" s="18" t="s">
        <v>3872</v>
      </c>
      <c r="R767" s="18" t="s">
        <v>3883</v>
      </c>
      <c r="S767" s="17" t="s">
        <v>3870</v>
      </c>
      <c r="T767" s="18" t="s">
        <v>3884</v>
      </c>
      <c r="U767" s="19"/>
      <c r="V767" s="18" t="s">
        <v>3885</v>
      </c>
      <c r="W767" s="17" t="s">
        <v>240</v>
      </c>
      <c r="X767" s="17" t="s">
        <v>3886</v>
      </c>
      <c r="Y767" s="17" t="s">
        <v>242</v>
      </c>
      <c r="Z767" s="19"/>
      <c r="AA767" s="19"/>
      <c r="AB767" s="17"/>
      <c r="AC767" s="19"/>
    </row>
    <row r="768" customFormat="false" ht="22.35" hidden="false" customHeight="false" outlineLevel="0" collapsed="false">
      <c r="A768" s="10" t="s">
        <v>3887</v>
      </c>
      <c r="B768" s="17" t="s">
        <v>73</v>
      </c>
      <c r="C768" s="18" t="s">
        <v>74</v>
      </c>
      <c r="D768" s="17" t="s">
        <v>19</v>
      </c>
      <c r="E768" s="17" t="s">
        <v>229</v>
      </c>
      <c r="F768" s="17" t="s">
        <v>3424</v>
      </c>
      <c r="G768" s="17" t="s">
        <v>75</v>
      </c>
      <c r="H768" s="17" t="s">
        <v>33</v>
      </c>
      <c r="I768" s="17" t="s">
        <v>1028</v>
      </c>
      <c r="J768" s="17" t="s">
        <v>233</v>
      </c>
      <c r="K768" s="19"/>
      <c r="L768" s="19"/>
      <c r="M768" s="19"/>
      <c r="N768" s="19"/>
      <c r="O768" s="17" t="n">
        <v>0</v>
      </c>
      <c r="P768" s="18" t="s">
        <v>3871</v>
      </c>
      <c r="Q768" s="18" t="s">
        <v>3872</v>
      </c>
      <c r="R768" s="18" t="s">
        <v>3888</v>
      </c>
      <c r="S768" s="17" t="s">
        <v>3889</v>
      </c>
      <c r="T768" s="18" t="s">
        <v>3890</v>
      </c>
      <c r="U768" s="19"/>
      <c r="V768" s="18" t="s">
        <v>3891</v>
      </c>
      <c r="W768" s="17" t="s">
        <v>240</v>
      </c>
      <c r="X768" s="17" t="s">
        <v>3892</v>
      </c>
      <c r="Y768" s="17" t="s">
        <v>242</v>
      </c>
      <c r="Z768" s="19"/>
      <c r="AA768" s="19"/>
      <c r="AB768" s="17" t="s">
        <v>1681</v>
      </c>
      <c r="AC768" s="19"/>
    </row>
    <row r="769" customFormat="false" ht="15" hidden="false" customHeight="false" outlineLevel="0" collapsed="false">
      <c r="A769" s="10" t="s">
        <v>3893</v>
      </c>
      <c r="B769" s="17" t="s">
        <v>73</v>
      </c>
      <c r="C769" s="18" t="s">
        <v>74</v>
      </c>
      <c r="D769" s="17" t="s">
        <v>19</v>
      </c>
      <c r="E769" s="17" t="s">
        <v>229</v>
      </c>
      <c r="F769" s="17" t="s">
        <v>3424</v>
      </c>
      <c r="G769" s="17" t="s">
        <v>75</v>
      </c>
      <c r="H769" s="17" t="s">
        <v>33</v>
      </c>
      <c r="I769" s="17" t="s">
        <v>1786</v>
      </c>
      <c r="J769" s="17" t="s">
        <v>233</v>
      </c>
      <c r="K769" s="19"/>
      <c r="L769" s="19"/>
      <c r="M769" s="19"/>
      <c r="N769" s="19"/>
      <c r="O769" s="17" t="n">
        <v>0</v>
      </c>
      <c r="P769" s="18" t="s">
        <v>3871</v>
      </c>
      <c r="Q769" s="18" t="s">
        <v>3872</v>
      </c>
      <c r="R769" s="18" t="s">
        <v>3894</v>
      </c>
      <c r="S769" s="17" t="s">
        <v>3887</v>
      </c>
      <c r="T769" s="18" t="s">
        <v>3895</v>
      </c>
      <c r="U769" s="19"/>
      <c r="V769" s="18" t="s">
        <v>3896</v>
      </c>
      <c r="W769" s="17" t="s">
        <v>240</v>
      </c>
      <c r="X769" s="17" t="s">
        <v>3897</v>
      </c>
      <c r="Y769" s="17" t="s">
        <v>242</v>
      </c>
      <c r="Z769" s="19"/>
      <c r="AA769" s="19"/>
      <c r="AB769" s="17"/>
      <c r="AC769" s="19"/>
    </row>
    <row r="770" customFormat="false" ht="22.35" hidden="false" customHeight="false" outlineLevel="0" collapsed="false">
      <c r="A770" s="10" t="s">
        <v>3898</v>
      </c>
      <c r="B770" s="17" t="s">
        <v>73</v>
      </c>
      <c r="C770" s="18" t="s">
        <v>74</v>
      </c>
      <c r="D770" s="17" t="s">
        <v>19</v>
      </c>
      <c r="E770" s="17" t="s">
        <v>229</v>
      </c>
      <c r="F770" s="17" t="s">
        <v>3424</v>
      </c>
      <c r="G770" s="17" t="s">
        <v>75</v>
      </c>
      <c r="H770" s="17" t="s">
        <v>33</v>
      </c>
      <c r="I770" s="17" t="s">
        <v>1786</v>
      </c>
      <c r="J770" s="17" t="s">
        <v>233</v>
      </c>
      <c r="K770" s="19"/>
      <c r="L770" s="19"/>
      <c r="M770" s="19"/>
      <c r="N770" s="19"/>
      <c r="O770" s="17" t="n">
        <v>0</v>
      </c>
      <c r="P770" s="18" t="s">
        <v>3871</v>
      </c>
      <c r="Q770" s="18" t="s">
        <v>3872</v>
      </c>
      <c r="R770" s="18" t="s">
        <v>3899</v>
      </c>
      <c r="S770" s="17" t="s">
        <v>3870</v>
      </c>
      <c r="T770" s="18" t="s">
        <v>3900</v>
      </c>
      <c r="U770" s="19"/>
      <c r="V770" s="18" t="s">
        <v>3901</v>
      </c>
      <c r="W770" s="17" t="s">
        <v>240</v>
      </c>
      <c r="X770" s="17" t="s">
        <v>3881</v>
      </c>
      <c r="Y770" s="17" t="s">
        <v>242</v>
      </c>
      <c r="Z770" s="19"/>
      <c r="AA770" s="19"/>
      <c r="AB770" s="17"/>
      <c r="AC770" s="19"/>
    </row>
    <row r="771" customFormat="false" ht="15" hidden="false" customHeight="false" outlineLevel="0" collapsed="false">
      <c r="A771" s="10" t="s">
        <v>3902</v>
      </c>
      <c r="B771" s="17" t="s">
        <v>73</v>
      </c>
      <c r="C771" s="18" t="s">
        <v>74</v>
      </c>
      <c r="D771" s="17" t="s">
        <v>19</v>
      </c>
      <c r="E771" s="17" t="s">
        <v>229</v>
      </c>
      <c r="F771" s="17" t="s">
        <v>3424</v>
      </c>
      <c r="G771" s="17" t="s">
        <v>75</v>
      </c>
      <c r="H771" s="17" t="s">
        <v>33</v>
      </c>
      <c r="I771" s="17" t="s">
        <v>928</v>
      </c>
      <c r="J771" s="17" t="s">
        <v>233</v>
      </c>
      <c r="K771" s="19"/>
      <c r="L771" s="19"/>
      <c r="M771" s="19"/>
      <c r="N771" s="19"/>
      <c r="O771" s="17" t="n">
        <v>0</v>
      </c>
      <c r="P771" s="18" t="s">
        <v>3871</v>
      </c>
      <c r="Q771" s="18" t="s">
        <v>3872</v>
      </c>
      <c r="R771" s="18" t="s">
        <v>3903</v>
      </c>
      <c r="S771" s="17" t="s">
        <v>3904</v>
      </c>
      <c r="T771" s="18" t="s">
        <v>3905</v>
      </c>
      <c r="U771" s="19"/>
      <c r="V771" s="18" t="s">
        <v>3906</v>
      </c>
      <c r="W771" s="17" t="s">
        <v>240</v>
      </c>
      <c r="X771" s="17" t="s">
        <v>3907</v>
      </c>
      <c r="Y771" s="17" t="s">
        <v>242</v>
      </c>
      <c r="Z771" s="19"/>
      <c r="AA771" s="19"/>
      <c r="AB771" s="17"/>
      <c r="AC771" s="19"/>
    </row>
    <row r="772" customFormat="false" ht="15" hidden="false" customHeight="false" outlineLevel="0" collapsed="false">
      <c r="A772" s="10" t="s">
        <v>3908</v>
      </c>
      <c r="B772" s="17" t="s">
        <v>73</v>
      </c>
      <c r="C772" s="18" t="s">
        <v>74</v>
      </c>
      <c r="D772" s="17" t="s">
        <v>19</v>
      </c>
      <c r="E772" s="17" t="s">
        <v>229</v>
      </c>
      <c r="F772" s="17" t="s">
        <v>3424</v>
      </c>
      <c r="G772" s="17" t="s">
        <v>75</v>
      </c>
      <c r="H772" s="17" t="s">
        <v>33</v>
      </c>
      <c r="I772" s="17" t="s">
        <v>283</v>
      </c>
      <c r="J772" s="17" t="s">
        <v>233</v>
      </c>
      <c r="K772" s="19"/>
      <c r="L772" s="19"/>
      <c r="M772" s="19"/>
      <c r="N772" s="19"/>
      <c r="O772" s="17" t="n">
        <v>0</v>
      </c>
      <c r="P772" s="18" t="s">
        <v>3871</v>
      </c>
      <c r="Q772" s="18" t="s">
        <v>3872</v>
      </c>
      <c r="R772" s="18" t="s">
        <v>3909</v>
      </c>
      <c r="S772" s="17" t="s">
        <v>3902</v>
      </c>
      <c r="T772" s="18" t="s">
        <v>2105</v>
      </c>
      <c r="U772" s="19"/>
      <c r="V772" s="18" t="s">
        <v>2106</v>
      </c>
      <c r="W772" s="17" t="s">
        <v>240</v>
      </c>
      <c r="X772" s="17" t="s">
        <v>2107</v>
      </c>
      <c r="Y772" s="17" t="s">
        <v>242</v>
      </c>
      <c r="Z772" s="19"/>
      <c r="AA772" s="19"/>
      <c r="AB772" s="17"/>
      <c r="AC772" s="19"/>
    </row>
    <row r="773" customFormat="false" ht="22.35" hidden="false" customHeight="false" outlineLevel="0" collapsed="false">
      <c r="A773" s="10" t="s">
        <v>3910</v>
      </c>
      <c r="B773" s="17" t="s">
        <v>73</v>
      </c>
      <c r="C773" s="18" t="s">
        <v>74</v>
      </c>
      <c r="D773" s="17" t="s">
        <v>19</v>
      </c>
      <c r="E773" s="17" t="s">
        <v>229</v>
      </c>
      <c r="F773" s="17" t="s">
        <v>3424</v>
      </c>
      <c r="G773" s="17" t="s">
        <v>75</v>
      </c>
      <c r="H773" s="17" t="s">
        <v>33</v>
      </c>
      <c r="I773" s="17" t="s">
        <v>316</v>
      </c>
      <c r="J773" s="17" t="s">
        <v>233</v>
      </c>
      <c r="K773" s="19"/>
      <c r="L773" s="19"/>
      <c r="M773" s="19"/>
      <c r="N773" s="19"/>
      <c r="O773" s="17" t="n">
        <v>2</v>
      </c>
      <c r="P773" s="18" t="s">
        <v>3911</v>
      </c>
      <c r="Q773" s="18" t="s">
        <v>3912</v>
      </c>
      <c r="R773" s="18" t="s">
        <v>3913</v>
      </c>
      <c r="S773" s="17" t="s">
        <v>3914</v>
      </c>
      <c r="T773" s="18" t="s">
        <v>3589</v>
      </c>
      <c r="U773" s="19"/>
      <c r="V773" s="18" t="s">
        <v>3915</v>
      </c>
      <c r="W773" s="17" t="s">
        <v>240</v>
      </c>
      <c r="X773" s="17" t="s">
        <v>3916</v>
      </c>
      <c r="Y773" s="17" t="s">
        <v>242</v>
      </c>
      <c r="Z773" s="19"/>
      <c r="AA773" s="19"/>
      <c r="AB773" s="17"/>
      <c r="AC773" s="19"/>
    </row>
    <row r="774" customFormat="false" ht="22.35" hidden="false" customHeight="false" outlineLevel="0" collapsed="false">
      <c r="A774" s="10" t="s">
        <v>3917</v>
      </c>
      <c r="B774" s="17" t="s">
        <v>73</v>
      </c>
      <c r="C774" s="18" t="s">
        <v>74</v>
      </c>
      <c r="D774" s="17" t="s">
        <v>19</v>
      </c>
      <c r="E774" s="17" t="s">
        <v>75</v>
      </c>
      <c r="F774" s="17" t="s">
        <v>3424</v>
      </c>
      <c r="G774" s="17" t="s">
        <v>75</v>
      </c>
      <c r="H774" s="17" t="s">
        <v>33</v>
      </c>
      <c r="I774" s="17" t="s">
        <v>283</v>
      </c>
      <c r="J774" s="17" t="s">
        <v>233</v>
      </c>
      <c r="K774" s="19"/>
      <c r="L774" s="19"/>
      <c r="M774" s="19"/>
      <c r="N774" s="19"/>
      <c r="O774" s="17" t="n">
        <v>2</v>
      </c>
      <c r="P774" s="18" t="s">
        <v>3911</v>
      </c>
      <c r="Q774" s="18" t="s">
        <v>3912</v>
      </c>
      <c r="R774" s="18" t="s">
        <v>3918</v>
      </c>
      <c r="S774" s="17" t="s">
        <v>3910</v>
      </c>
      <c r="T774" s="18" t="s">
        <v>3919</v>
      </c>
      <c r="U774" s="19"/>
      <c r="V774" s="18" t="s">
        <v>3920</v>
      </c>
      <c r="W774" s="17" t="s">
        <v>240</v>
      </c>
      <c r="X774" s="17" t="s">
        <v>3921</v>
      </c>
      <c r="Y774" s="17" t="s">
        <v>242</v>
      </c>
      <c r="Z774" s="19"/>
      <c r="AA774" s="19"/>
      <c r="AB774" s="17"/>
      <c r="AC774" s="19"/>
    </row>
    <row r="775" customFormat="false" ht="22.35" hidden="false" customHeight="false" outlineLevel="0" collapsed="false">
      <c r="A775" s="10" t="s">
        <v>3922</v>
      </c>
      <c r="B775" s="17" t="s">
        <v>73</v>
      </c>
      <c r="C775" s="18" t="s">
        <v>74</v>
      </c>
      <c r="D775" s="17" t="s">
        <v>19</v>
      </c>
      <c r="E775" s="17" t="s">
        <v>75</v>
      </c>
      <c r="F775" s="17" t="s">
        <v>3424</v>
      </c>
      <c r="G775" s="17" t="s">
        <v>75</v>
      </c>
      <c r="H775" s="17" t="s">
        <v>33</v>
      </c>
      <c r="I775" s="17" t="s">
        <v>283</v>
      </c>
      <c r="J775" s="17" t="s">
        <v>233</v>
      </c>
      <c r="K775" s="19"/>
      <c r="L775" s="19"/>
      <c r="M775" s="19"/>
      <c r="N775" s="19"/>
      <c r="O775" s="17" t="n">
        <v>4</v>
      </c>
      <c r="P775" s="18" t="s">
        <v>3911</v>
      </c>
      <c r="Q775" s="18" t="s">
        <v>3912</v>
      </c>
      <c r="R775" s="18" t="s">
        <v>3923</v>
      </c>
      <c r="S775" s="17" t="s">
        <v>3917</v>
      </c>
      <c r="T775" s="18" t="s">
        <v>3924</v>
      </c>
      <c r="U775" s="19"/>
      <c r="V775" s="18" t="s">
        <v>3925</v>
      </c>
      <c r="W775" s="17" t="s">
        <v>240</v>
      </c>
      <c r="X775" s="17" t="s">
        <v>3926</v>
      </c>
      <c r="Y775" s="17" t="s">
        <v>242</v>
      </c>
      <c r="Z775" s="19"/>
      <c r="AA775" s="19"/>
      <c r="AB775" s="17"/>
      <c r="AC775" s="19"/>
    </row>
    <row r="776" customFormat="false" ht="22.35" hidden="false" customHeight="false" outlineLevel="0" collapsed="false">
      <c r="A776" s="10" t="s">
        <v>3927</v>
      </c>
      <c r="B776" s="17" t="s">
        <v>73</v>
      </c>
      <c r="C776" s="18" t="s">
        <v>74</v>
      </c>
      <c r="D776" s="17" t="s">
        <v>19</v>
      </c>
      <c r="E776" s="17" t="s">
        <v>75</v>
      </c>
      <c r="F776" s="17" t="s">
        <v>3424</v>
      </c>
      <c r="G776" s="17" t="s">
        <v>75</v>
      </c>
      <c r="H776" s="17" t="s">
        <v>33</v>
      </c>
      <c r="I776" s="17" t="s">
        <v>1786</v>
      </c>
      <c r="J776" s="17" t="s">
        <v>233</v>
      </c>
      <c r="K776" s="19"/>
      <c r="L776" s="19"/>
      <c r="M776" s="19"/>
      <c r="N776" s="19"/>
      <c r="O776" s="17" t="n">
        <v>4</v>
      </c>
      <c r="P776" s="18" t="s">
        <v>3911</v>
      </c>
      <c r="Q776" s="18" t="s">
        <v>3912</v>
      </c>
      <c r="R776" s="18" t="s">
        <v>3928</v>
      </c>
      <c r="S776" s="17" t="s">
        <v>3929</v>
      </c>
      <c r="T776" s="18" t="s">
        <v>3930</v>
      </c>
      <c r="U776" s="19"/>
      <c r="V776" s="18" t="s">
        <v>3931</v>
      </c>
      <c r="W776" s="17" t="s">
        <v>240</v>
      </c>
      <c r="X776" s="17" t="s">
        <v>3932</v>
      </c>
      <c r="Y776" s="17" t="s">
        <v>242</v>
      </c>
      <c r="Z776" s="19"/>
      <c r="AA776" s="19"/>
      <c r="AB776" s="17"/>
      <c r="AC776" s="19"/>
    </row>
    <row r="777" customFormat="false" ht="15" hidden="false" customHeight="false" outlineLevel="0" collapsed="false">
      <c r="A777" s="10" t="s">
        <v>3933</v>
      </c>
      <c r="B777" s="17" t="s">
        <v>73</v>
      </c>
      <c r="C777" s="18" t="s">
        <v>74</v>
      </c>
      <c r="D777" s="17" t="s">
        <v>19</v>
      </c>
      <c r="E777" s="17" t="s">
        <v>75</v>
      </c>
      <c r="F777" s="17" t="s">
        <v>3424</v>
      </c>
      <c r="G777" s="17" t="s">
        <v>75</v>
      </c>
      <c r="H777" s="17" t="s">
        <v>33</v>
      </c>
      <c r="I777" s="17" t="s">
        <v>283</v>
      </c>
      <c r="J777" s="17" t="s">
        <v>233</v>
      </c>
      <c r="K777" s="19"/>
      <c r="L777" s="19"/>
      <c r="M777" s="19"/>
      <c r="N777" s="19"/>
      <c r="O777" s="17" t="n">
        <v>4</v>
      </c>
      <c r="P777" s="18" t="s">
        <v>3911</v>
      </c>
      <c r="Q777" s="18" t="s">
        <v>3912</v>
      </c>
      <c r="R777" s="18" t="s">
        <v>3934</v>
      </c>
      <c r="S777" s="17" t="s">
        <v>3927</v>
      </c>
      <c r="T777" s="18" t="s">
        <v>2105</v>
      </c>
      <c r="U777" s="19"/>
      <c r="V777" s="18" t="s">
        <v>2106</v>
      </c>
      <c r="W777" s="17" t="s">
        <v>240</v>
      </c>
      <c r="X777" s="17" t="s">
        <v>2107</v>
      </c>
      <c r="Y777" s="17" t="s">
        <v>242</v>
      </c>
      <c r="Z777" s="19"/>
      <c r="AA777" s="19"/>
      <c r="AB777" s="17"/>
      <c r="AC777" s="19"/>
    </row>
    <row r="778" customFormat="false" ht="32.8" hidden="false" customHeight="false" outlineLevel="0" collapsed="false">
      <c r="A778" s="10" t="s">
        <v>3935</v>
      </c>
      <c r="B778" s="17" t="s">
        <v>175</v>
      </c>
      <c r="C778" s="18" t="s">
        <v>176</v>
      </c>
      <c r="D778" s="17" t="s">
        <v>19</v>
      </c>
      <c r="E778" s="17" t="s">
        <v>229</v>
      </c>
      <c r="F778" s="17" t="s">
        <v>3936</v>
      </c>
      <c r="G778" s="17" t="s">
        <v>177</v>
      </c>
      <c r="H778" s="17" t="s">
        <v>32</v>
      </c>
      <c r="I778" s="17" t="s">
        <v>232</v>
      </c>
      <c r="J778" s="17" t="s">
        <v>233</v>
      </c>
      <c r="K778" s="19"/>
      <c r="L778" s="19"/>
      <c r="M778" s="19"/>
      <c r="N778" s="19"/>
      <c r="O778" s="17" t="n">
        <v>0</v>
      </c>
      <c r="P778" s="18" t="s">
        <v>3937</v>
      </c>
      <c r="Q778" s="18" t="s">
        <v>3938</v>
      </c>
      <c r="R778" s="18" t="s">
        <v>3939</v>
      </c>
      <c r="S778" s="17" t="s">
        <v>3940</v>
      </c>
      <c r="T778" s="18" t="s">
        <v>3941</v>
      </c>
      <c r="U778" s="19"/>
      <c r="V778" s="18" t="s">
        <v>3942</v>
      </c>
      <c r="W778" s="17" t="s">
        <v>240</v>
      </c>
      <c r="X778" s="17" t="s">
        <v>3943</v>
      </c>
      <c r="Y778" s="17" t="s">
        <v>242</v>
      </c>
      <c r="Z778" s="19"/>
      <c r="AA778" s="19"/>
      <c r="AB778" s="17"/>
      <c r="AC778" s="19"/>
    </row>
    <row r="779" customFormat="false" ht="32.8" hidden="false" customHeight="false" outlineLevel="0" collapsed="false">
      <c r="A779" s="10" t="s">
        <v>3944</v>
      </c>
      <c r="B779" s="17" t="s">
        <v>175</v>
      </c>
      <c r="C779" s="18" t="s">
        <v>176</v>
      </c>
      <c r="D779" s="17" t="s">
        <v>19</v>
      </c>
      <c r="E779" s="17" t="s">
        <v>229</v>
      </c>
      <c r="F779" s="17" t="s">
        <v>3936</v>
      </c>
      <c r="G779" s="17" t="s">
        <v>177</v>
      </c>
      <c r="H779" s="17" t="s">
        <v>32</v>
      </c>
      <c r="I779" s="17" t="s">
        <v>1413</v>
      </c>
      <c r="J779" s="17" t="s">
        <v>233</v>
      </c>
      <c r="K779" s="19"/>
      <c r="L779" s="19"/>
      <c r="M779" s="19"/>
      <c r="N779" s="19"/>
      <c r="O779" s="17" t="n">
        <v>0</v>
      </c>
      <c r="P779" s="18" t="s">
        <v>3937</v>
      </c>
      <c r="Q779" s="18" t="s">
        <v>3938</v>
      </c>
      <c r="R779" s="18" t="s">
        <v>3945</v>
      </c>
      <c r="S779" s="17" t="s">
        <v>3935</v>
      </c>
      <c r="T779" s="18" t="s">
        <v>3946</v>
      </c>
      <c r="U779" s="19"/>
      <c r="V779" s="18" t="s">
        <v>3947</v>
      </c>
      <c r="W779" s="17" t="s">
        <v>240</v>
      </c>
      <c r="X779" s="17" t="s">
        <v>3948</v>
      </c>
      <c r="Y779" s="17" t="s">
        <v>242</v>
      </c>
      <c r="Z779" s="19"/>
      <c r="AA779" s="19"/>
      <c r="AB779" s="17"/>
      <c r="AC779" s="19"/>
    </row>
    <row r="780" customFormat="false" ht="32.8" hidden="false" customHeight="false" outlineLevel="0" collapsed="false">
      <c r="A780" s="10" t="s">
        <v>3949</v>
      </c>
      <c r="B780" s="17" t="s">
        <v>175</v>
      </c>
      <c r="C780" s="18" t="s">
        <v>176</v>
      </c>
      <c r="D780" s="17" t="s">
        <v>19</v>
      </c>
      <c r="E780" s="17" t="s">
        <v>229</v>
      </c>
      <c r="F780" s="17" t="s">
        <v>3936</v>
      </c>
      <c r="G780" s="17" t="s">
        <v>177</v>
      </c>
      <c r="H780" s="17" t="s">
        <v>32</v>
      </c>
      <c r="I780" s="17" t="s">
        <v>232</v>
      </c>
      <c r="J780" s="17" t="s">
        <v>233</v>
      </c>
      <c r="K780" s="19"/>
      <c r="L780" s="19"/>
      <c r="M780" s="19"/>
      <c r="N780" s="19"/>
      <c r="O780" s="17" t="n">
        <v>0</v>
      </c>
      <c r="P780" s="18" t="s">
        <v>3937</v>
      </c>
      <c r="Q780" s="18" t="s">
        <v>3938</v>
      </c>
      <c r="R780" s="18" t="s">
        <v>3950</v>
      </c>
      <c r="S780" s="17" t="s">
        <v>3935</v>
      </c>
      <c r="T780" s="18" t="s">
        <v>3951</v>
      </c>
      <c r="U780" s="19"/>
      <c r="V780" s="18" t="s">
        <v>3952</v>
      </c>
      <c r="W780" s="17" t="s">
        <v>240</v>
      </c>
      <c r="X780" s="17" t="s">
        <v>3953</v>
      </c>
      <c r="Y780" s="17" t="s">
        <v>242</v>
      </c>
      <c r="Z780" s="19"/>
      <c r="AA780" s="19"/>
      <c r="AB780" s="17"/>
      <c r="AC780" s="19"/>
    </row>
    <row r="781" customFormat="false" ht="32.8" hidden="false" customHeight="false" outlineLevel="0" collapsed="false">
      <c r="A781" s="10" t="s">
        <v>3954</v>
      </c>
      <c r="B781" s="17" t="s">
        <v>175</v>
      </c>
      <c r="C781" s="18" t="s">
        <v>176</v>
      </c>
      <c r="D781" s="17" t="s">
        <v>19</v>
      </c>
      <c r="E781" s="17" t="s">
        <v>229</v>
      </c>
      <c r="F781" s="17" t="s">
        <v>3936</v>
      </c>
      <c r="G781" s="17" t="s">
        <v>177</v>
      </c>
      <c r="H781" s="17" t="s">
        <v>32</v>
      </c>
      <c r="I781" s="17" t="s">
        <v>232</v>
      </c>
      <c r="J781" s="17" t="s">
        <v>233</v>
      </c>
      <c r="K781" s="19"/>
      <c r="L781" s="19"/>
      <c r="M781" s="19"/>
      <c r="N781" s="19"/>
      <c r="O781" s="17" t="n">
        <v>0</v>
      </c>
      <c r="P781" s="18" t="s">
        <v>3937</v>
      </c>
      <c r="Q781" s="18" t="s">
        <v>3938</v>
      </c>
      <c r="R781" s="18" t="s">
        <v>3955</v>
      </c>
      <c r="S781" s="17" t="s">
        <v>3949</v>
      </c>
      <c r="T781" s="18" t="s">
        <v>3956</v>
      </c>
      <c r="U781" s="19"/>
      <c r="V781" s="18" t="s">
        <v>3957</v>
      </c>
      <c r="W781" s="17" t="s">
        <v>240</v>
      </c>
      <c r="X781" s="17" t="s">
        <v>3958</v>
      </c>
      <c r="Y781" s="17" t="s">
        <v>242</v>
      </c>
      <c r="Z781" s="19"/>
      <c r="AA781" s="19"/>
      <c r="AB781" s="17"/>
      <c r="AC781" s="19"/>
    </row>
    <row r="782" customFormat="false" ht="22.35" hidden="false" customHeight="false" outlineLevel="0" collapsed="false">
      <c r="A782" s="10" t="s">
        <v>3959</v>
      </c>
      <c r="B782" s="17" t="s">
        <v>175</v>
      </c>
      <c r="C782" s="18" t="s">
        <v>176</v>
      </c>
      <c r="D782" s="17" t="s">
        <v>19</v>
      </c>
      <c r="E782" s="17" t="s">
        <v>229</v>
      </c>
      <c r="F782" s="17" t="s">
        <v>3936</v>
      </c>
      <c r="G782" s="17" t="s">
        <v>177</v>
      </c>
      <c r="H782" s="17" t="s">
        <v>32</v>
      </c>
      <c r="I782" s="17" t="s">
        <v>1413</v>
      </c>
      <c r="J782" s="17" t="s">
        <v>233</v>
      </c>
      <c r="K782" s="19"/>
      <c r="L782" s="19"/>
      <c r="M782" s="19"/>
      <c r="N782" s="19"/>
      <c r="O782" s="17" t="n">
        <v>0</v>
      </c>
      <c r="P782" s="18" t="s">
        <v>3937</v>
      </c>
      <c r="Q782" s="18" t="s">
        <v>3938</v>
      </c>
      <c r="R782" s="18" t="s">
        <v>3960</v>
      </c>
      <c r="S782" s="17" t="s">
        <v>3944</v>
      </c>
      <c r="T782" s="18" t="s">
        <v>3961</v>
      </c>
      <c r="U782" s="19"/>
      <c r="V782" s="18" t="s">
        <v>3962</v>
      </c>
      <c r="W782" s="17" t="s">
        <v>240</v>
      </c>
      <c r="X782" s="17" t="s">
        <v>3963</v>
      </c>
      <c r="Y782" s="17" t="s">
        <v>242</v>
      </c>
      <c r="Z782" s="19"/>
      <c r="AA782" s="19"/>
      <c r="AB782" s="17"/>
      <c r="AC782" s="19"/>
    </row>
    <row r="783" customFormat="false" ht="22.35" hidden="false" customHeight="false" outlineLevel="0" collapsed="false">
      <c r="A783" s="10" t="s">
        <v>3964</v>
      </c>
      <c r="B783" s="17" t="s">
        <v>175</v>
      </c>
      <c r="C783" s="18" t="s">
        <v>176</v>
      </c>
      <c r="D783" s="17" t="s">
        <v>19</v>
      </c>
      <c r="E783" s="17" t="s">
        <v>229</v>
      </c>
      <c r="F783" s="17" t="s">
        <v>3936</v>
      </c>
      <c r="G783" s="17" t="s">
        <v>177</v>
      </c>
      <c r="H783" s="17" t="s">
        <v>32</v>
      </c>
      <c r="I783" s="17" t="s">
        <v>1413</v>
      </c>
      <c r="J783" s="17" t="s">
        <v>233</v>
      </c>
      <c r="K783" s="19"/>
      <c r="L783" s="19"/>
      <c r="M783" s="19"/>
      <c r="N783" s="19"/>
      <c r="O783" s="17" t="n">
        <v>0</v>
      </c>
      <c r="P783" s="18" t="s">
        <v>3937</v>
      </c>
      <c r="Q783" s="18" t="s">
        <v>3938</v>
      </c>
      <c r="R783" s="18" t="s">
        <v>3965</v>
      </c>
      <c r="S783" s="17" t="s">
        <v>3944</v>
      </c>
      <c r="T783" s="18" t="s">
        <v>3966</v>
      </c>
      <c r="U783" s="19"/>
      <c r="V783" s="18" t="s">
        <v>3967</v>
      </c>
      <c r="W783" s="17" t="s">
        <v>240</v>
      </c>
      <c r="X783" s="17" t="s">
        <v>3968</v>
      </c>
      <c r="Y783" s="17" t="s">
        <v>242</v>
      </c>
      <c r="Z783" s="19"/>
      <c r="AA783" s="19"/>
      <c r="AB783" s="17"/>
      <c r="AC783" s="19"/>
    </row>
    <row r="784" customFormat="false" ht="22.35" hidden="false" customHeight="false" outlineLevel="0" collapsed="false">
      <c r="A784" s="10" t="s">
        <v>3969</v>
      </c>
      <c r="B784" s="17" t="s">
        <v>175</v>
      </c>
      <c r="C784" s="18" t="s">
        <v>176</v>
      </c>
      <c r="D784" s="17" t="s">
        <v>19</v>
      </c>
      <c r="E784" s="17" t="s">
        <v>229</v>
      </c>
      <c r="F784" s="17" t="s">
        <v>3936</v>
      </c>
      <c r="G784" s="17" t="s">
        <v>177</v>
      </c>
      <c r="H784" s="17" t="s">
        <v>32</v>
      </c>
      <c r="I784" s="17" t="s">
        <v>277</v>
      </c>
      <c r="J784" s="17" t="s">
        <v>233</v>
      </c>
      <c r="K784" s="19"/>
      <c r="L784" s="19"/>
      <c r="M784" s="19"/>
      <c r="N784" s="19"/>
      <c r="O784" s="17" t="n">
        <v>0</v>
      </c>
      <c r="P784" s="18" t="s">
        <v>3937</v>
      </c>
      <c r="Q784" s="18" t="s">
        <v>3938</v>
      </c>
      <c r="R784" s="18" t="s">
        <v>3970</v>
      </c>
      <c r="S784" s="17" t="s">
        <v>3935</v>
      </c>
      <c r="T784" s="18" t="s">
        <v>3971</v>
      </c>
      <c r="U784" s="19"/>
      <c r="V784" s="18" t="s">
        <v>3972</v>
      </c>
      <c r="W784" s="17" t="s">
        <v>240</v>
      </c>
      <c r="X784" s="17" t="s">
        <v>3973</v>
      </c>
      <c r="Y784" s="17" t="s">
        <v>242</v>
      </c>
      <c r="Z784" s="19"/>
      <c r="AA784" s="19"/>
      <c r="AB784" s="17"/>
      <c r="AC784" s="19"/>
    </row>
    <row r="785" customFormat="false" ht="22.35" hidden="false" customHeight="false" outlineLevel="0" collapsed="false">
      <c r="A785" s="10" t="s">
        <v>3974</v>
      </c>
      <c r="B785" s="17" t="s">
        <v>175</v>
      </c>
      <c r="C785" s="18" t="s">
        <v>176</v>
      </c>
      <c r="D785" s="17" t="s">
        <v>19</v>
      </c>
      <c r="E785" s="17" t="s">
        <v>229</v>
      </c>
      <c r="F785" s="17" t="s">
        <v>3936</v>
      </c>
      <c r="G785" s="17" t="s">
        <v>177</v>
      </c>
      <c r="H785" s="17" t="s">
        <v>32</v>
      </c>
      <c r="I785" s="17" t="s">
        <v>232</v>
      </c>
      <c r="J785" s="17" t="s">
        <v>233</v>
      </c>
      <c r="K785" s="19"/>
      <c r="L785" s="19"/>
      <c r="M785" s="19"/>
      <c r="N785" s="19"/>
      <c r="O785" s="17" t="n">
        <v>0</v>
      </c>
      <c r="P785" s="18" t="s">
        <v>3937</v>
      </c>
      <c r="Q785" s="18" t="s">
        <v>3938</v>
      </c>
      <c r="R785" s="18" t="s">
        <v>3975</v>
      </c>
      <c r="S785" s="17" t="s">
        <v>3969</v>
      </c>
      <c r="T785" s="18" t="s">
        <v>285</v>
      </c>
      <c r="U785" s="19"/>
      <c r="V785" s="18" t="s">
        <v>3976</v>
      </c>
      <c r="W785" s="17" t="s">
        <v>240</v>
      </c>
      <c r="X785" s="17" t="s">
        <v>3977</v>
      </c>
      <c r="Y785" s="17" t="s">
        <v>242</v>
      </c>
      <c r="Z785" s="19"/>
      <c r="AA785" s="19"/>
      <c r="AB785" s="17"/>
      <c r="AC785" s="19"/>
    </row>
    <row r="786" customFormat="false" ht="22.35" hidden="false" customHeight="false" outlineLevel="0" collapsed="false">
      <c r="A786" s="10" t="s">
        <v>3978</v>
      </c>
      <c r="B786" s="17" t="s">
        <v>175</v>
      </c>
      <c r="C786" s="18" t="s">
        <v>176</v>
      </c>
      <c r="D786" s="17" t="s">
        <v>19</v>
      </c>
      <c r="E786" s="17" t="s">
        <v>229</v>
      </c>
      <c r="F786" s="17" t="s">
        <v>3936</v>
      </c>
      <c r="G786" s="17" t="s">
        <v>177</v>
      </c>
      <c r="H786" s="17" t="s">
        <v>32</v>
      </c>
      <c r="I786" s="17" t="s">
        <v>1413</v>
      </c>
      <c r="J786" s="17" t="s">
        <v>233</v>
      </c>
      <c r="K786" s="19"/>
      <c r="L786" s="19"/>
      <c r="M786" s="19"/>
      <c r="N786" s="19"/>
      <c r="O786" s="17" t="n">
        <v>0</v>
      </c>
      <c r="P786" s="18" t="s">
        <v>3979</v>
      </c>
      <c r="Q786" s="18" t="s">
        <v>3980</v>
      </c>
      <c r="R786" s="18" t="s">
        <v>3981</v>
      </c>
      <c r="S786" s="17" t="s">
        <v>237</v>
      </c>
      <c r="T786" s="18" t="s">
        <v>3982</v>
      </c>
      <c r="U786" s="19"/>
      <c r="V786" s="18" t="s">
        <v>3983</v>
      </c>
      <c r="W786" s="17" t="s">
        <v>240</v>
      </c>
      <c r="X786" s="17" t="s">
        <v>3984</v>
      </c>
      <c r="Y786" s="17" t="s">
        <v>242</v>
      </c>
      <c r="Z786" s="19"/>
      <c r="AA786" s="19"/>
      <c r="AB786" s="17"/>
      <c r="AC786" s="19"/>
    </row>
    <row r="787" customFormat="false" ht="32.8" hidden="false" customHeight="false" outlineLevel="0" collapsed="false">
      <c r="A787" s="10" t="s">
        <v>3985</v>
      </c>
      <c r="B787" s="17" t="s">
        <v>175</v>
      </c>
      <c r="C787" s="18" t="s">
        <v>176</v>
      </c>
      <c r="D787" s="17" t="s">
        <v>19</v>
      </c>
      <c r="E787" s="17" t="s">
        <v>229</v>
      </c>
      <c r="F787" s="17" t="s">
        <v>3936</v>
      </c>
      <c r="G787" s="17" t="s">
        <v>177</v>
      </c>
      <c r="H787" s="17" t="s">
        <v>32</v>
      </c>
      <c r="I787" s="17" t="s">
        <v>1413</v>
      </c>
      <c r="J787" s="17" t="s">
        <v>233</v>
      </c>
      <c r="K787" s="19"/>
      <c r="L787" s="19"/>
      <c r="M787" s="19"/>
      <c r="N787" s="19"/>
      <c r="O787" s="17" t="n">
        <v>0</v>
      </c>
      <c r="P787" s="18" t="s">
        <v>3979</v>
      </c>
      <c r="Q787" s="18" t="s">
        <v>3980</v>
      </c>
      <c r="R787" s="18" t="s">
        <v>3986</v>
      </c>
      <c r="S787" s="17" t="s">
        <v>237</v>
      </c>
      <c r="T787" s="18" t="s">
        <v>3987</v>
      </c>
      <c r="U787" s="19"/>
      <c r="V787" s="18" t="s">
        <v>3988</v>
      </c>
      <c r="W787" s="17" t="s">
        <v>240</v>
      </c>
      <c r="X787" s="17" t="s">
        <v>3989</v>
      </c>
      <c r="Y787" s="17" t="s">
        <v>242</v>
      </c>
      <c r="Z787" s="19"/>
      <c r="AA787" s="19"/>
      <c r="AB787" s="17"/>
      <c r="AC787" s="19"/>
    </row>
    <row r="788" customFormat="false" ht="32.8" hidden="false" customHeight="false" outlineLevel="0" collapsed="false">
      <c r="A788" s="10" t="s">
        <v>3990</v>
      </c>
      <c r="B788" s="17" t="s">
        <v>175</v>
      </c>
      <c r="C788" s="18" t="s">
        <v>176</v>
      </c>
      <c r="D788" s="17" t="s">
        <v>19</v>
      </c>
      <c r="E788" s="17" t="s">
        <v>229</v>
      </c>
      <c r="F788" s="17" t="s">
        <v>3936</v>
      </c>
      <c r="G788" s="17" t="s">
        <v>177</v>
      </c>
      <c r="H788" s="17" t="s">
        <v>32</v>
      </c>
      <c r="I788" s="17" t="s">
        <v>1413</v>
      </c>
      <c r="J788" s="17" t="s">
        <v>233</v>
      </c>
      <c r="K788" s="19"/>
      <c r="L788" s="19"/>
      <c r="M788" s="19"/>
      <c r="N788" s="19"/>
      <c r="O788" s="17" t="n">
        <v>0</v>
      </c>
      <c r="P788" s="18" t="s">
        <v>3979</v>
      </c>
      <c r="Q788" s="18" t="s">
        <v>3980</v>
      </c>
      <c r="R788" s="18" t="s">
        <v>3991</v>
      </c>
      <c r="S788" s="17" t="s">
        <v>3992</v>
      </c>
      <c r="T788" s="18" t="s">
        <v>3993</v>
      </c>
      <c r="U788" s="19"/>
      <c r="V788" s="18" t="s">
        <v>3994</v>
      </c>
      <c r="W788" s="17" t="s">
        <v>1217</v>
      </c>
      <c r="X788" s="17" t="s">
        <v>3995</v>
      </c>
      <c r="Y788" s="17" t="s">
        <v>242</v>
      </c>
      <c r="Z788" s="19"/>
      <c r="AA788" s="19"/>
      <c r="AB788" s="17"/>
      <c r="AC788" s="19"/>
    </row>
    <row r="789" customFormat="false" ht="22.35" hidden="false" customHeight="false" outlineLevel="0" collapsed="false">
      <c r="A789" s="10" t="s">
        <v>3996</v>
      </c>
      <c r="B789" s="17" t="s">
        <v>175</v>
      </c>
      <c r="C789" s="18" t="s">
        <v>176</v>
      </c>
      <c r="D789" s="17" t="s">
        <v>19</v>
      </c>
      <c r="E789" s="17" t="s">
        <v>229</v>
      </c>
      <c r="F789" s="17" t="s">
        <v>3936</v>
      </c>
      <c r="G789" s="17" t="s">
        <v>177</v>
      </c>
      <c r="H789" s="17" t="s">
        <v>32</v>
      </c>
      <c r="I789" s="17" t="s">
        <v>1413</v>
      </c>
      <c r="J789" s="17" t="s">
        <v>233</v>
      </c>
      <c r="K789" s="19"/>
      <c r="L789" s="19"/>
      <c r="M789" s="19"/>
      <c r="N789" s="19"/>
      <c r="O789" s="17" t="n">
        <v>0</v>
      </c>
      <c r="P789" s="18" t="s">
        <v>3979</v>
      </c>
      <c r="Q789" s="18" t="s">
        <v>3980</v>
      </c>
      <c r="R789" s="18" t="s">
        <v>3997</v>
      </c>
      <c r="S789" s="17" t="s">
        <v>3990</v>
      </c>
      <c r="T789" s="18" t="s">
        <v>3998</v>
      </c>
      <c r="U789" s="19"/>
      <c r="V789" s="18" t="s">
        <v>3999</v>
      </c>
      <c r="W789" s="17" t="s">
        <v>1217</v>
      </c>
      <c r="X789" s="17" t="s">
        <v>4000</v>
      </c>
      <c r="Y789" s="17" t="s">
        <v>242</v>
      </c>
      <c r="Z789" s="19"/>
      <c r="AA789" s="19"/>
      <c r="AB789" s="17"/>
      <c r="AC789" s="19"/>
    </row>
    <row r="790" customFormat="false" ht="22.35" hidden="false" customHeight="false" outlineLevel="0" collapsed="false">
      <c r="A790" s="10" t="s">
        <v>4001</v>
      </c>
      <c r="B790" s="17" t="s">
        <v>175</v>
      </c>
      <c r="C790" s="18" t="s">
        <v>176</v>
      </c>
      <c r="D790" s="17" t="s">
        <v>19</v>
      </c>
      <c r="E790" s="17" t="s">
        <v>229</v>
      </c>
      <c r="F790" s="17" t="s">
        <v>3936</v>
      </c>
      <c r="G790" s="17" t="s">
        <v>177</v>
      </c>
      <c r="H790" s="17" t="s">
        <v>32</v>
      </c>
      <c r="I790" s="17" t="s">
        <v>1413</v>
      </c>
      <c r="J790" s="17" t="s">
        <v>233</v>
      </c>
      <c r="K790" s="19"/>
      <c r="L790" s="19"/>
      <c r="M790" s="19"/>
      <c r="N790" s="19"/>
      <c r="O790" s="17" t="n">
        <v>0</v>
      </c>
      <c r="P790" s="18" t="s">
        <v>3979</v>
      </c>
      <c r="Q790" s="18" t="s">
        <v>3980</v>
      </c>
      <c r="R790" s="18" t="s">
        <v>4002</v>
      </c>
      <c r="S790" s="17" t="s">
        <v>3996</v>
      </c>
      <c r="T790" s="18" t="s">
        <v>4003</v>
      </c>
      <c r="U790" s="19"/>
      <c r="V790" s="18" t="s">
        <v>4004</v>
      </c>
      <c r="W790" s="17" t="s">
        <v>1217</v>
      </c>
      <c r="X790" s="17" t="s">
        <v>4005</v>
      </c>
      <c r="Y790" s="17" t="s">
        <v>242</v>
      </c>
      <c r="Z790" s="19"/>
      <c r="AA790" s="19"/>
      <c r="AB790" s="17"/>
      <c r="AC790" s="19"/>
    </row>
    <row r="791" customFormat="false" ht="32.8" hidden="false" customHeight="false" outlineLevel="0" collapsed="false">
      <c r="A791" s="10" t="s">
        <v>4006</v>
      </c>
      <c r="B791" s="17" t="s">
        <v>175</v>
      </c>
      <c r="C791" s="18" t="s">
        <v>176</v>
      </c>
      <c r="D791" s="17" t="s">
        <v>19</v>
      </c>
      <c r="E791" s="17" t="s">
        <v>244</v>
      </c>
      <c r="F791" s="17" t="s">
        <v>3936</v>
      </c>
      <c r="G791" s="17" t="s">
        <v>177</v>
      </c>
      <c r="H791" s="17" t="s">
        <v>32</v>
      </c>
      <c r="I791" s="17" t="s">
        <v>1413</v>
      </c>
      <c r="J791" s="17" t="s">
        <v>233</v>
      </c>
      <c r="K791" s="19"/>
      <c r="L791" s="19"/>
      <c r="M791" s="19"/>
      <c r="N791" s="19"/>
      <c r="O791" s="17" t="n">
        <v>0</v>
      </c>
      <c r="P791" s="18" t="s">
        <v>3979</v>
      </c>
      <c r="Q791" s="18" t="s">
        <v>3980</v>
      </c>
      <c r="R791" s="18" t="s">
        <v>4007</v>
      </c>
      <c r="S791" s="17" t="s">
        <v>4001</v>
      </c>
      <c r="T791" s="18" t="s">
        <v>4008</v>
      </c>
      <c r="U791" s="19"/>
      <c r="V791" s="18" t="s">
        <v>4009</v>
      </c>
      <c r="W791" s="17" t="s">
        <v>240</v>
      </c>
      <c r="X791" s="17" t="s">
        <v>4010</v>
      </c>
      <c r="Y791" s="17" t="s">
        <v>242</v>
      </c>
      <c r="Z791" s="19"/>
      <c r="AA791" s="19"/>
      <c r="AB791" s="17"/>
      <c r="AC791" s="19"/>
    </row>
    <row r="792" customFormat="false" ht="22.35" hidden="false" customHeight="false" outlineLevel="0" collapsed="false">
      <c r="A792" s="10" t="s">
        <v>4011</v>
      </c>
      <c r="B792" s="17" t="s">
        <v>175</v>
      </c>
      <c r="C792" s="18" t="s">
        <v>176</v>
      </c>
      <c r="D792" s="17" t="s">
        <v>19</v>
      </c>
      <c r="E792" s="17" t="s">
        <v>229</v>
      </c>
      <c r="F792" s="17" t="s">
        <v>3936</v>
      </c>
      <c r="G792" s="17" t="s">
        <v>177</v>
      </c>
      <c r="H792" s="17" t="s">
        <v>32</v>
      </c>
      <c r="I792" s="17" t="s">
        <v>1028</v>
      </c>
      <c r="J792" s="17" t="s">
        <v>233</v>
      </c>
      <c r="K792" s="19"/>
      <c r="L792" s="19"/>
      <c r="M792" s="19"/>
      <c r="N792" s="19"/>
      <c r="O792" s="17" t="n">
        <v>0</v>
      </c>
      <c r="P792" s="18" t="s">
        <v>3979</v>
      </c>
      <c r="Q792" s="18" t="s">
        <v>3980</v>
      </c>
      <c r="R792" s="18" t="s">
        <v>4012</v>
      </c>
      <c r="S792" s="17" t="s">
        <v>4006</v>
      </c>
      <c r="T792" s="18" t="s">
        <v>4013</v>
      </c>
      <c r="U792" s="19"/>
      <c r="V792" s="18" t="s">
        <v>4014</v>
      </c>
      <c r="W792" s="17" t="s">
        <v>240</v>
      </c>
      <c r="X792" s="17" t="s">
        <v>4015</v>
      </c>
      <c r="Y792" s="17" t="s">
        <v>242</v>
      </c>
      <c r="Z792" s="19"/>
      <c r="AA792" s="19"/>
      <c r="AB792" s="17"/>
      <c r="AC792" s="19"/>
    </row>
    <row r="793" customFormat="false" ht="22.35" hidden="false" customHeight="false" outlineLevel="0" collapsed="false">
      <c r="A793" s="10" t="s">
        <v>4016</v>
      </c>
      <c r="B793" s="17" t="s">
        <v>175</v>
      </c>
      <c r="C793" s="18" t="s">
        <v>176</v>
      </c>
      <c r="D793" s="17" t="s">
        <v>19</v>
      </c>
      <c r="E793" s="17" t="s">
        <v>229</v>
      </c>
      <c r="F793" s="17" t="s">
        <v>3936</v>
      </c>
      <c r="G793" s="17" t="s">
        <v>177</v>
      </c>
      <c r="H793" s="17" t="s">
        <v>32</v>
      </c>
      <c r="I793" s="17" t="s">
        <v>1413</v>
      </c>
      <c r="J793" s="17" t="s">
        <v>233</v>
      </c>
      <c r="K793" s="19"/>
      <c r="L793" s="19"/>
      <c r="M793" s="19"/>
      <c r="N793" s="19"/>
      <c r="O793" s="17" t="n">
        <v>0</v>
      </c>
      <c r="P793" s="18" t="s">
        <v>3979</v>
      </c>
      <c r="Q793" s="18" t="s">
        <v>3980</v>
      </c>
      <c r="R793" s="18" t="s">
        <v>4017</v>
      </c>
      <c r="S793" s="17" t="s">
        <v>4011</v>
      </c>
      <c r="T793" s="18" t="s">
        <v>285</v>
      </c>
      <c r="U793" s="19"/>
      <c r="V793" s="18" t="s">
        <v>4018</v>
      </c>
      <c r="W793" s="17" t="s">
        <v>240</v>
      </c>
      <c r="X793" s="17" t="s">
        <v>3977</v>
      </c>
      <c r="Y793" s="17" t="s">
        <v>242</v>
      </c>
      <c r="Z793" s="19"/>
      <c r="AA793" s="19"/>
      <c r="AB793" s="17"/>
      <c r="AC793" s="19"/>
    </row>
    <row r="794" customFormat="false" ht="22.35" hidden="false" customHeight="false" outlineLevel="0" collapsed="false">
      <c r="A794" s="10" t="s">
        <v>4019</v>
      </c>
      <c r="B794" s="17" t="s">
        <v>175</v>
      </c>
      <c r="C794" s="18" t="s">
        <v>176</v>
      </c>
      <c r="D794" s="17" t="s">
        <v>19</v>
      </c>
      <c r="E794" s="17" t="s">
        <v>229</v>
      </c>
      <c r="F794" s="17" t="s">
        <v>3936</v>
      </c>
      <c r="G794" s="17" t="s">
        <v>177</v>
      </c>
      <c r="H794" s="17" t="s">
        <v>32</v>
      </c>
      <c r="I794" s="17" t="s">
        <v>1413</v>
      </c>
      <c r="J794" s="17" t="s">
        <v>233</v>
      </c>
      <c r="K794" s="19"/>
      <c r="L794" s="19"/>
      <c r="M794" s="19"/>
      <c r="N794" s="19"/>
      <c r="O794" s="17" t="n">
        <v>1</v>
      </c>
      <c r="P794" s="18" t="s">
        <v>4020</v>
      </c>
      <c r="Q794" s="18" t="s">
        <v>4021</v>
      </c>
      <c r="R794" s="18" t="s">
        <v>4022</v>
      </c>
      <c r="S794" s="17" t="s">
        <v>4023</v>
      </c>
      <c r="T794" s="18" t="s">
        <v>4024</v>
      </c>
      <c r="U794" s="19"/>
      <c r="V794" s="18" t="s">
        <v>4025</v>
      </c>
      <c r="W794" s="17" t="s">
        <v>240</v>
      </c>
      <c r="X794" s="17" t="s">
        <v>4026</v>
      </c>
      <c r="Y794" s="17" t="s">
        <v>242</v>
      </c>
      <c r="Z794" s="19"/>
      <c r="AA794" s="19"/>
      <c r="AB794" s="17"/>
      <c r="AC794" s="19"/>
    </row>
    <row r="795" customFormat="false" ht="22.35" hidden="false" customHeight="false" outlineLevel="0" collapsed="false">
      <c r="A795" s="10" t="s">
        <v>4027</v>
      </c>
      <c r="B795" s="17" t="s">
        <v>175</v>
      </c>
      <c r="C795" s="18" t="s">
        <v>176</v>
      </c>
      <c r="D795" s="17" t="s">
        <v>19</v>
      </c>
      <c r="E795" s="17" t="s">
        <v>75</v>
      </c>
      <c r="F795" s="17" t="s">
        <v>3936</v>
      </c>
      <c r="G795" s="17" t="s">
        <v>177</v>
      </c>
      <c r="H795" s="17" t="s">
        <v>32</v>
      </c>
      <c r="I795" s="17" t="s">
        <v>316</v>
      </c>
      <c r="J795" s="17" t="s">
        <v>233</v>
      </c>
      <c r="K795" s="19"/>
      <c r="L795" s="19"/>
      <c r="M795" s="19"/>
      <c r="N795" s="19"/>
      <c r="O795" s="17" t="n">
        <v>1</v>
      </c>
      <c r="P795" s="18" t="s">
        <v>4020</v>
      </c>
      <c r="Q795" s="18" t="s">
        <v>4021</v>
      </c>
      <c r="R795" s="18" t="s">
        <v>4028</v>
      </c>
      <c r="S795" s="17" t="s">
        <v>3944</v>
      </c>
      <c r="T795" s="18" t="s">
        <v>4029</v>
      </c>
      <c r="U795" s="19"/>
      <c r="V795" s="18" t="s">
        <v>4030</v>
      </c>
      <c r="W795" s="17" t="s">
        <v>240</v>
      </c>
      <c r="X795" s="17" t="s">
        <v>4031</v>
      </c>
      <c r="Y795" s="17" t="s">
        <v>242</v>
      </c>
      <c r="Z795" s="19"/>
      <c r="AA795" s="19"/>
      <c r="AB795" s="17"/>
      <c r="AC795" s="19"/>
    </row>
    <row r="796" customFormat="false" ht="22.35" hidden="false" customHeight="false" outlineLevel="0" collapsed="false">
      <c r="A796" s="10" t="s">
        <v>4032</v>
      </c>
      <c r="B796" s="17" t="s">
        <v>175</v>
      </c>
      <c r="C796" s="18" t="s">
        <v>176</v>
      </c>
      <c r="D796" s="17" t="s">
        <v>19</v>
      </c>
      <c r="E796" s="17" t="s">
        <v>229</v>
      </c>
      <c r="F796" s="17" t="s">
        <v>3936</v>
      </c>
      <c r="G796" s="17" t="s">
        <v>177</v>
      </c>
      <c r="H796" s="17" t="s">
        <v>32</v>
      </c>
      <c r="I796" s="17" t="s">
        <v>316</v>
      </c>
      <c r="J796" s="17" t="s">
        <v>233</v>
      </c>
      <c r="K796" s="19"/>
      <c r="L796" s="19"/>
      <c r="M796" s="19"/>
      <c r="N796" s="19"/>
      <c r="O796" s="17" t="n">
        <v>1</v>
      </c>
      <c r="P796" s="18" t="s">
        <v>4020</v>
      </c>
      <c r="Q796" s="18" t="s">
        <v>4021</v>
      </c>
      <c r="R796" s="18" t="s">
        <v>4033</v>
      </c>
      <c r="S796" s="17" t="s">
        <v>4034</v>
      </c>
      <c r="T796" s="18" t="s">
        <v>665</v>
      </c>
      <c r="U796" s="19"/>
      <c r="V796" s="18" t="s">
        <v>4035</v>
      </c>
      <c r="W796" s="17" t="s">
        <v>240</v>
      </c>
      <c r="X796" s="17" t="s">
        <v>3953</v>
      </c>
      <c r="Y796" s="17" t="s">
        <v>242</v>
      </c>
      <c r="Z796" s="19"/>
      <c r="AA796" s="19"/>
      <c r="AB796" s="17"/>
      <c r="AC796" s="19"/>
    </row>
    <row r="797" customFormat="false" ht="22.35" hidden="false" customHeight="false" outlineLevel="0" collapsed="false">
      <c r="A797" s="10" t="s">
        <v>4036</v>
      </c>
      <c r="B797" s="17" t="s">
        <v>175</v>
      </c>
      <c r="C797" s="18" t="s">
        <v>176</v>
      </c>
      <c r="D797" s="17" t="s">
        <v>19</v>
      </c>
      <c r="E797" s="17" t="s">
        <v>229</v>
      </c>
      <c r="F797" s="17" t="s">
        <v>3936</v>
      </c>
      <c r="G797" s="17" t="s">
        <v>177</v>
      </c>
      <c r="H797" s="17" t="s">
        <v>32</v>
      </c>
      <c r="I797" s="17" t="s">
        <v>316</v>
      </c>
      <c r="J797" s="17" t="s">
        <v>233</v>
      </c>
      <c r="K797" s="19"/>
      <c r="L797" s="19"/>
      <c r="M797" s="19"/>
      <c r="N797" s="19"/>
      <c r="O797" s="17" t="n">
        <v>1</v>
      </c>
      <c r="P797" s="18" t="s">
        <v>4020</v>
      </c>
      <c r="Q797" s="18" t="s">
        <v>4021</v>
      </c>
      <c r="R797" s="18" t="s">
        <v>4037</v>
      </c>
      <c r="S797" s="17" t="s">
        <v>4032</v>
      </c>
      <c r="T797" s="18" t="s">
        <v>4038</v>
      </c>
      <c r="U797" s="19"/>
      <c r="V797" s="18" t="s">
        <v>4039</v>
      </c>
      <c r="W797" s="17" t="s">
        <v>240</v>
      </c>
      <c r="X797" s="17" t="s">
        <v>4040</v>
      </c>
      <c r="Y797" s="17" t="s">
        <v>242</v>
      </c>
      <c r="Z797" s="19"/>
      <c r="AA797" s="19"/>
      <c r="AB797" s="17"/>
      <c r="AC797" s="19"/>
    </row>
    <row r="798" customFormat="false" ht="32.8" hidden="false" customHeight="false" outlineLevel="0" collapsed="false">
      <c r="A798" s="10" t="s">
        <v>4041</v>
      </c>
      <c r="B798" s="17" t="s">
        <v>175</v>
      </c>
      <c r="C798" s="18" t="s">
        <v>176</v>
      </c>
      <c r="D798" s="17" t="s">
        <v>19</v>
      </c>
      <c r="E798" s="17" t="s">
        <v>229</v>
      </c>
      <c r="F798" s="17" t="s">
        <v>3936</v>
      </c>
      <c r="G798" s="17" t="s">
        <v>177</v>
      </c>
      <c r="H798" s="17" t="s">
        <v>32</v>
      </c>
      <c r="I798" s="17" t="s">
        <v>1413</v>
      </c>
      <c r="J798" s="17" t="s">
        <v>233</v>
      </c>
      <c r="K798" s="19"/>
      <c r="L798" s="19"/>
      <c r="M798" s="19"/>
      <c r="N798" s="19"/>
      <c r="O798" s="17" t="n">
        <v>1</v>
      </c>
      <c r="P798" s="18" t="s">
        <v>4020</v>
      </c>
      <c r="Q798" s="18" t="s">
        <v>4021</v>
      </c>
      <c r="R798" s="18" t="s">
        <v>4042</v>
      </c>
      <c r="S798" s="17" t="s">
        <v>4043</v>
      </c>
      <c r="T798" s="18" t="s">
        <v>4044</v>
      </c>
      <c r="U798" s="19"/>
      <c r="V798" s="18" t="s">
        <v>4045</v>
      </c>
      <c r="W798" s="17" t="s">
        <v>240</v>
      </c>
      <c r="X798" s="17" t="s">
        <v>3958</v>
      </c>
      <c r="Y798" s="17" t="s">
        <v>242</v>
      </c>
      <c r="Z798" s="19"/>
      <c r="AA798" s="19"/>
      <c r="AB798" s="17"/>
      <c r="AC798" s="19"/>
    </row>
    <row r="799" customFormat="false" ht="32.8" hidden="false" customHeight="false" outlineLevel="0" collapsed="false">
      <c r="A799" s="10" t="s">
        <v>4046</v>
      </c>
      <c r="B799" s="17" t="s">
        <v>175</v>
      </c>
      <c r="C799" s="18" t="s">
        <v>176</v>
      </c>
      <c r="D799" s="17" t="s">
        <v>19</v>
      </c>
      <c r="E799" s="17" t="s">
        <v>229</v>
      </c>
      <c r="F799" s="17" t="s">
        <v>3936</v>
      </c>
      <c r="G799" s="17" t="s">
        <v>177</v>
      </c>
      <c r="H799" s="17" t="s">
        <v>32</v>
      </c>
      <c r="I799" s="17" t="s">
        <v>1413</v>
      </c>
      <c r="J799" s="17" t="s">
        <v>233</v>
      </c>
      <c r="K799" s="19"/>
      <c r="L799" s="19"/>
      <c r="M799" s="19"/>
      <c r="N799" s="19"/>
      <c r="O799" s="17" t="n">
        <v>1</v>
      </c>
      <c r="P799" s="18" t="s">
        <v>4020</v>
      </c>
      <c r="Q799" s="18" t="s">
        <v>4047</v>
      </c>
      <c r="R799" s="18" t="s">
        <v>4048</v>
      </c>
      <c r="S799" s="17" t="s">
        <v>4049</v>
      </c>
      <c r="T799" s="18" t="s">
        <v>4050</v>
      </c>
      <c r="U799" s="19"/>
      <c r="V799" s="18" t="s">
        <v>4051</v>
      </c>
      <c r="W799" s="17" t="s">
        <v>240</v>
      </c>
      <c r="X799" s="17" t="s">
        <v>4052</v>
      </c>
      <c r="Y799" s="17" t="s">
        <v>242</v>
      </c>
      <c r="Z799" s="19"/>
      <c r="AA799" s="19"/>
      <c r="AB799" s="17"/>
      <c r="AC799" s="19"/>
    </row>
    <row r="800" customFormat="false" ht="22.35" hidden="false" customHeight="false" outlineLevel="0" collapsed="false">
      <c r="A800" s="10" t="s">
        <v>4053</v>
      </c>
      <c r="B800" s="17" t="s">
        <v>175</v>
      </c>
      <c r="C800" s="18" t="s">
        <v>176</v>
      </c>
      <c r="D800" s="17" t="s">
        <v>19</v>
      </c>
      <c r="E800" s="17" t="s">
        <v>229</v>
      </c>
      <c r="F800" s="17" t="s">
        <v>3936</v>
      </c>
      <c r="G800" s="17" t="s">
        <v>177</v>
      </c>
      <c r="H800" s="17" t="s">
        <v>32</v>
      </c>
      <c r="I800" s="17" t="s">
        <v>289</v>
      </c>
      <c r="J800" s="17" t="s">
        <v>233</v>
      </c>
      <c r="K800" s="19"/>
      <c r="L800" s="19"/>
      <c r="M800" s="19"/>
      <c r="N800" s="19"/>
      <c r="O800" s="17" t="n">
        <v>1</v>
      </c>
      <c r="P800" s="18" t="s">
        <v>4020</v>
      </c>
      <c r="Q800" s="18" t="s">
        <v>4047</v>
      </c>
      <c r="R800" s="18" t="s">
        <v>4054</v>
      </c>
      <c r="S800" s="17" t="s">
        <v>4046</v>
      </c>
      <c r="T800" s="18" t="s">
        <v>2234</v>
      </c>
      <c r="U800" s="19"/>
      <c r="V800" s="18" t="s">
        <v>4055</v>
      </c>
      <c r="W800" s="17" t="s">
        <v>240</v>
      </c>
      <c r="X800" s="17" t="s">
        <v>4056</v>
      </c>
      <c r="Y800" s="17" t="s">
        <v>242</v>
      </c>
      <c r="Z800" s="19"/>
      <c r="AA800" s="19"/>
      <c r="AB800" s="17"/>
      <c r="AC800" s="19"/>
    </row>
    <row r="801" customFormat="false" ht="32.8" hidden="false" customHeight="false" outlineLevel="0" collapsed="false">
      <c r="A801" s="10" t="s">
        <v>4057</v>
      </c>
      <c r="B801" s="17" t="s">
        <v>175</v>
      </c>
      <c r="C801" s="18" t="s">
        <v>176</v>
      </c>
      <c r="D801" s="17" t="s">
        <v>19</v>
      </c>
      <c r="E801" s="17" t="s">
        <v>75</v>
      </c>
      <c r="F801" s="17" t="s">
        <v>3936</v>
      </c>
      <c r="G801" s="17" t="s">
        <v>177</v>
      </c>
      <c r="H801" s="17" t="s">
        <v>32</v>
      </c>
      <c r="I801" s="17" t="s">
        <v>1413</v>
      </c>
      <c r="J801" s="17" t="s">
        <v>233</v>
      </c>
      <c r="K801" s="19"/>
      <c r="L801" s="19"/>
      <c r="M801" s="19"/>
      <c r="N801" s="19"/>
      <c r="O801" s="17" t="n">
        <v>2</v>
      </c>
      <c r="P801" s="18" t="s">
        <v>4020</v>
      </c>
      <c r="Q801" s="18" t="s">
        <v>4047</v>
      </c>
      <c r="R801" s="18" t="s">
        <v>4058</v>
      </c>
      <c r="S801" s="17" t="s">
        <v>4059</v>
      </c>
      <c r="T801" s="18" t="s">
        <v>4060</v>
      </c>
      <c r="U801" s="19"/>
      <c r="V801" s="18" t="s">
        <v>4061</v>
      </c>
      <c r="W801" s="17" t="s">
        <v>240</v>
      </c>
      <c r="X801" s="17" t="s">
        <v>3968</v>
      </c>
      <c r="Y801" s="17" t="s">
        <v>242</v>
      </c>
      <c r="Z801" s="19"/>
      <c r="AA801" s="19"/>
      <c r="AB801" s="17"/>
      <c r="AC801" s="19"/>
    </row>
    <row r="802" customFormat="false" ht="32.8" hidden="false" customHeight="false" outlineLevel="0" collapsed="false">
      <c r="A802" s="10" t="s">
        <v>4062</v>
      </c>
      <c r="B802" s="17" t="s">
        <v>175</v>
      </c>
      <c r="C802" s="18" t="s">
        <v>176</v>
      </c>
      <c r="D802" s="17" t="s">
        <v>19</v>
      </c>
      <c r="E802" s="17" t="s">
        <v>229</v>
      </c>
      <c r="F802" s="17" t="s">
        <v>3936</v>
      </c>
      <c r="G802" s="17" t="s">
        <v>177</v>
      </c>
      <c r="H802" s="17" t="s">
        <v>32</v>
      </c>
      <c r="I802" s="17" t="s">
        <v>277</v>
      </c>
      <c r="J802" s="17" t="s">
        <v>233</v>
      </c>
      <c r="K802" s="19"/>
      <c r="L802" s="19"/>
      <c r="M802" s="19"/>
      <c r="N802" s="19"/>
      <c r="O802" s="17" t="n">
        <v>3</v>
      </c>
      <c r="P802" s="18" t="s">
        <v>4020</v>
      </c>
      <c r="Q802" s="18" t="s">
        <v>4047</v>
      </c>
      <c r="R802" s="18" t="s">
        <v>4063</v>
      </c>
      <c r="S802" s="17" t="s">
        <v>4064</v>
      </c>
      <c r="T802" s="18" t="s">
        <v>4065</v>
      </c>
      <c r="U802" s="19"/>
      <c r="V802" s="18" t="s">
        <v>4066</v>
      </c>
      <c r="W802" s="17" t="s">
        <v>383</v>
      </c>
      <c r="X802" s="17" t="s">
        <v>4067</v>
      </c>
      <c r="Y802" s="17" t="s">
        <v>242</v>
      </c>
      <c r="Z802" s="19"/>
      <c r="AA802" s="19"/>
      <c r="AB802" s="17"/>
      <c r="AC802" s="19"/>
    </row>
    <row r="803" customFormat="false" ht="22.35" hidden="false" customHeight="false" outlineLevel="0" collapsed="false">
      <c r="A803" s="10" t="s">
        <v>4068</v>
      </c>
      <c r="B803" s="17" t="s">
        <v>175</v>
      </c>
      <c r="C803" s="18" t="s">
        <v>176</v>
      </c>
      <c r="D803" s="17" t="s">
        <v>19</v>
      </c>
      <c r="E803" s="17" t="s">
        <v>75</v>
      </c>
      <c r="F803" s="17" t="s">
        <v>3936</v>
      </c>
      <c r="G803" s="17" t="s">
        <v>177</v>
      </c>
      <c r="H803" s="17" t="s">
        <v>32</v>
      </c>
      <c r="I803" s="17" t="s">
        <v>1413</v>
      </c>
      <c r="J803" s="17" t="s">
        <v>233</v>
      </c>
      <c r="K803" s="19"/>
      <c r="L803" s="19"/>
      <c r="M803" s="19"/>
      <c r="N803" s="19"/>
      <c r="O803" s="17" t="n">
        <v>1</v>
      </c>
      <c r="P803" s="18" t="s">
        <v>4020</v>
      </c>
      <c r="Q803" s="18" t="s">
        <v>4047</v>
      </c>
      <c r="R803" s="18" t="s">
        <v>4069</v>
      </c>
      <c r="S803" s="17" t="s">
        <v>4062</v>
      </c>
      <c r="T803" s="18" t="s">
        <v>285</v>
      </c>
      <c r="U803" s="19"/>
      <c r="V803" s="18" t="s">
        <v>4070</v>
      </c>
      <c r="W803" s="17" t="s">
        <v>240</v>
      </c>
      <c r="X803" s="17" t="s">
        <v>3977</v>
      </c>
      <c r="Y803" s="17" t="s">
        <v>242</v>
      </c>
      <c r="Z803" s="19"/>
      <c r="AA803" s="19"/>
      <c r="AB803" s="17" t="s">
        <v>1681</v>
      </c>
      <c r="AC803" s="19"/>
    </row>
    <row r="804" customFormat="false" ht="43.25" hidden="false" customHeight="false" outlineLevel="0" collapsed="false">
      <c r="A804" s="10" t="s">
        <v>4071</v>
      </c>
      <c r="B804" s="17" t="s">
        <v>175</v>
      </c>
      <c r="C804" s="18" t="s">
        <v>176</v>
      </c>
      <c r="D804" s="17" t="s">
        <v>19</v>
      </c>
      <c r="E804" s="17" t="s">
        <v>75</v>
      </c>
      <c r="F804" s="17" t="s">
        <v>3936</v>
      </c>
      <c r="G804" s="17" t="s">
        <v>177</v>
      </c>
      <c r="H804" s="17" t="s">
        <v>32</v>
      </c>
      <c r="I804" s="17" t="s">
        <v>2896</v>
      </c>
      <c r="J804" s="17" t="s">
        <v>233</v>
      </c>
      <c r="K804" s="19"/>
      <c r="L804" s="19"/>
      <c r="M804" s="19"/>
      <c r="N804" s="19"/>
      <c r="O804" s="17" t="n">
        <v>1</v>
      </c>
      <c r="P804" s="18" t="s">
        <v>4072</v>
      </c>
      <c r="Q804" s="18" t="s">
        <v>4073</v>
      </c>
      <c r="R804" s="18" t="s">
        <v>4074</v>
      </c>
      <c r="S804" s="17" t="s">
        <v>237</v>
      </c>
      <c r="T804" s="18" t="s">
        <v>4075</v>
      </c>
      <c r="U804" s="19"/>
      <c r="V804" s="18" t="s">
        <v>4076</v>
      </c>
      <c r="W804" s="17" t="s">
        <v>240</v>
      </c>
      <c r="X804" s="17" t="s">
        <v>4077</v>
      </c>
      <c r="Y804" s="17" t="s">
        <v>242</v>
      </c>
      <c r="Z804" s="19"/>
      <c r="AA804" s="19"/>
      <c r="AB804" s="17"/>
      <c r="AC804" s="19"/>
    </row>
    <row r="805" customFormat="false" ht="22.35" hidden="false" customHeight="false" outlineLevel="0" collapsed="false">
      <c r="A805" s="10" t="s">
        <v>4078</v>
      </c>
      <c r="B805" s="17" t="s">
        <v>175</v>
      </c>
      <c r="C805" s="18" t="s">
        <v>176</v>
      </c>
      <c r="D805" s="17" t="s">
        <v>19</v>
      </c>
      <c r="E805" s="17" t="s">
        <v>75</v>
      </c>
      <c r="F805" s="17" t="s">
        <v>3936</v>
      </c>
      <c r="G805" s="17" t="s">
        <v>177</v>
      </c>
      <c r="H805" s="17" t="s">
        <v>32</v>
      </c>
      <c r="I805" s="17" t="s">
        <v>2896</v>
      </c>
      <c r="J805" s="17" t="s">
        <v>233</v>
      </c>
      <c r="K805" s="19"/>
      <c r="L805" s="19"/>
      <c r="M805" s="19"/>
      <c r="N805" s="19"/>
      <c r="O805" s="17" t="n">
        <v>1</v>
      </c>
      <c r="P805" s="18" t="s">
        <v>4072</v>
      </c>
      <c r="Q805" s="18" t="s">
        <v>4073</v>
      </c>
      <c r="R805" s="18" t="s">
        <v>4079</v>
      </c>
      <c r="S805" s="17" t="s">
        <v>4071</v>
      </c>
      <c r="T805" s="18" t="s">
        <v>4080</v>
      </c>
      <c r="U805" s="19"/>
      <c r="V805" s="18" t="s">
        <v>4081</v>
      </c>
      <c r="W805" s="17" t="s">
        <v>240</v>
      </c>
      <c r="X805" s="17" t="s">
        <v>4082</v>
      </c>
      <c r="Y805" s="17" t="s">
        <v>242</v>
      </c>
      <c r="Z805" s="19"/>
      <c r="AA805" s="19"/>
      <c r="AB805" s="17"/>
      <c r="AC805" s="19"/>
    </row>
    <row r="806" customFormat="false" ht="32.8" hidden="false" customHeight="false" outlineLevel="0" collapsed="false">
      <c r="A806" s="10" t="s">
        <v>4083</v>
      </c>
      <c r="B806" s="17" t="s">
        <v>175</v>
      </c>
      <c r="C806" s="18" t="s">
        <v>176</v>
      </c>
      <c r="D806" s="17" t="s">
        <v>19</v>
      </c>
      <c r="E806" s="17" t="s">
        <v>229</v>
      </c>
      <c r="F806" s="17" t="s">
        <v>3936</v>
      </c>
      <c r="G806" s="17" t="s">
        <v>177</v>
      </c>
      <c r="H806" s="17" t="s">
        <v>32</v>
      </c>
      <c r="I806" s="17" t="s">
        <v>333</v>
      </c>
      <c r="J806" s="17" t="s">
        <v>233</v>
      </c>
      <c r="K806" s="19"/>
      <c r="L806" s="19"/>
      <c r="M806" s="19"/>
      <c r="N806" s="19"/>
      <c r="O806" s="17" t="n">
        <v>1</v>
      </c>
      <c r="P806" s="18" t="s">
        <v>4072</v>
      </c>
      <c r="Q806" s="18" t="s">
        <v>4073</v>
      </c>
      <c r="R806" s="18" t="s">
        <v>4084</v>
      </c>
      <c r="S806" s="17" t="s">
        <v>4071</v>
      </c>
      <c r="T806" s="18" t="s">
        <v>4085</v>
      </c>
      <c r="U806" s="19"/>
      <c r="V806" s="18" t="s">
        <v>4086</v>
      </c>
      <c r="W806" s="17" t="s">
        <v>240</v>
      </c>
      <c r="X806" s="17" t="s">
        <v>4087</v>
      </c>
      <c r="Y806" s="17" t="s">
        <v>242</v>
      </c>
      <c r="Z806" s="19"/>
      <c r="AA806" s="19"/>
      <c r="AB806" s="17"/>
      <c r="AC806" s="19"/>
    </row>
    <row r="807" customFormat="false" ht="32.8" hidden="false" customHeight="false" outlineLevel="0" collapsed="false">
      <c r="A807" s="10" t="s">
        <v>4088</v>
      </c>
      <c r="B807" s="17" t="s">
        <v>175</v>
      </c>
      <c r="C807" s="18" t="s">
        <v>176</v>
      </c>
      <c r="D807" s="17" t="s">
        <v>19</v>
      </c>
      <c r="E807" s="17" t="s">
        <v>75</v>
      </c>
      <c r="F807" s="17" t="s">
        <v>3936</v>
      </c>
      <c r="G807" s="17" t="s">
        <v>177</v>
      </c>
      <c r="H807" s="17" t="s">
        <v>32</v>
      </c>
      <c r="I807" s="17" t="s">
        <v>2896</v>
      </c>
      <c r="J807" s="17" t="s">
        <v>233</v>
      </c>
      <c r="K807" s="19"/>
      <c r="L807" s="19"/>
      <c r="M807" s="19"/>
      <c r="N807" s="19"/>
      <c r="O807" s="17" t="n">
        <v>1</v>
      </c>
      <c r="P807" s="18" t="s">
        <v>4072</v>
      </c>
      <c r="Q807" s="18" t="s">
        <v>4073</v>
      </c>
      <c r="R807" s="18" t="s">
        <v>4089</v>
      </c>
      <c r="S807" s="17" t="s">
        <v>4071</v>
      </c>
      <c r="T807" s="18" t="s">
        <v>4090</v>
      </c>
      <c r="U807" s="19"/>
      <c r="V807" s="18" t="s">
        <v>4091</v>
      </c>
      <c r="W807" s="17" t="s">
        <v>240</v>
      </c>
      <c r="X807" s="17" t="s">
        <v>4092</v>
      </c>
      <c r="Y807" s="17" t="s">
        <v>242</v>
      </c>
      <c r="Z807" s="19"/>
      <c r="AA807" s="19"/>
      <c r="AB807" s="17"/>
      <c r="AC807" s="19"/>
    </row>
    <row r="808" customFormat="false" ht="22.35" hidden="false" customHeight="false" outlineLevel="0" collapsed="false">
      <c r="A808" s="10" t="s">
        <v>4093</v>
      </c>
      <c r="B808" s="17" t="s">
        <v>175</v>
      </c>
      <c r="C808" s="18" t="s">
        <v>176</v>
      </c>
      <c r="D808" s="17" t="s">
        <v>19</v>
      </c>
      <c r="E808" s="17" t="s">
        <v>75</v>
      </c>
      <c r="F808" s="17" t="s">
        <v>3936</v>
      </c>
      <c r="G808" s="17" t="s">
        <v>177</v>
      </c>
      <c r="H808" s="17" t="s">
        <v>32</v>
      </c>
      <c r="I808" s="17" t="s">
        <v>1413</v>
      </c>
      <c r="J808" s="17" t="s">
        <v>233</v>
      </c>
      <c r="K808" s="19"/>
      <c r="L808" s="19"/>
      <c r="M808" s="19"/>
      <c r="N808" s="19"/>
      <c r="O808" s="17" t="n">
        <v>1</v>
      </c>
      <c r="P808" s="18" t="s">
        <v>4072</v>
      </c>
      <c r="Q808" s="18" t="s">
        <v>4073</v>
      </c>
      <c r="R808" s="18" t="s">
        <v>4094</v>
      </c>
      <c r="S808" s="17" t="s">
        <v>4078</v>
      </c>
      <c r="T808" s="18" t="s">
        <v>4095</v>
      </c>
      <c r="U808" s="19"/>
      <c r="V808" s="18" t="s">
        <v>4096</v>
      </c>
      <c r="W808" s="17" t="s">
        <v>240</v>
      </c>
      <c r="X808" s="17" t="s">
        <v>4097</v>
      </c>
      <c r="Y808" s="17" t="s">
        <v>242</v>
      </c>
      <c r="Z808" s="19"/>
      <c r="AA808" s="19"/>
      <c r="AB808" s="17"/>
      <c r="AC808" s="19"/>
    </row>
    <row r="809" customFormat="false" ht="22.35" hidden="false" customHeight="false" outlineLevel="0" collapsed="false">
      <c r="A809" s="10" t="s">
        <v>4098</v>
      </c>
      <c r="B809" s="17" t="s">
        <v>175</v>
      </c>
      <c r="C809" s="18" t="s">
        <v>176</v>
      </c>
      <c r="D809" s="17" t="s">
        <v>19</v>
      </c>
      <c r="E809" s="17" t="s">
        <v>229</v>
      </c>
      <c r="F809" s="17" t="s">
        <v>3936</v>
      </c>
      <c r="G809" s="17" t="s">
        <v>177</v>
      </c>
      <c r="H809" s="17" t="s">
        <v>32</v>
      </c>
      <c r="I809" s="17" t="s">
        <v>1413</v>
      </c>
      <c r="J809" s="17" t="s">
        <v>233</v>
      </c>
      <c r="K809" s="19"/>
      <c r="L809" s="19"/>
      <c r="M809" s="19"/>
      <c r="N809" s="19"/>
      <c r="O809" s="17" t="n">
        <v>1</v>
      </c>
      <c r="P809" s="18" t="s">
        <v>4072</v>
      </c>
      <c r="Q809" s="18" t="s">
        <v>4099</v>
      </c>
      <c r="R809" s="18" t="s">
        <v>4100</v>
      </c>
      <c r="S809" s="17" t="s">
        <v>4101</v>
      </c>
      <c r="T809" s="18" t="s">
        <v>4102</v>
      </c>
      <c r="U809" s="19"/>
      <c r="V809" s="18" t="s">
        <v>4103</v>
      </c>
      <c r="W809" s="17" t="s">
        <v>240</v>
      </c>
      <c r="X809" s="17" t="s">
        <v>4104</v>
      </c>
      <c r="Y809" s="17" t="s">
        <v>242</v>
      </c>
      <c r="Z809" s="19"/>
      <c r="AA809" s="19"/>
      <c r="AB809" s="17"/>
      <c r="AC809" s="19"/>
    </row>
    <row r="810" customFormat="false" ht="32.8" hidden="false" customHeight="false" outlineLevel="0" collapsed="false">
      <c r="A810" s="10" t="s">
        <v>4105</v>
      </c>
      <c r="B810" s="17" t="s">
        <v>175</v>
      </c>
      <c r="C810" s="18" t="s">
        <v>176</v>
      </c>
      <c r="D810" s="17" t="s">
        <v>19</v>
      </c>
      <c r="E810" s="17" t="s">
        <v>229</v>
      </c>
      <c r="F810" s="17" t="s">
        <v>3936</v>
      </c>
      <c r="G810" s="17" t="s">
        <v>177</v>
      </c>
      <c r="H810" s="17" t="s">
        <v>32</v>
      </c>
      <c r="I810" s="17" t="s">
        <v>289</v>
      </c>
      <c r="J810" s="17" t="s">
        <v>233</v>
      </c>
      <c r="K810" s="19"/>
      <c r="L810" s="19"/>
      <c r="M810" s="19"/>
      <c r="N810" s="19"/>
      <c r="O810" s="17" t="n">
        <v>1</v>
      </c>
      <c r="P810" s="18" t="s">
        <v>4072</v>
      </c>
      <c r="Q810" s="18" t="s">
        <v>4099</v>
      </c>
      <c r="R810" s="18" t="s">
        <v>4106</v>
      </c>
      <c r="S810" s="17" t="s">
        <v>4098</v>
      </c>
      <c r="T810" s="18" t="s">
        <v>4107</v>
      </c>
      <c r="U810" s="19"/>
      <c r="V810" s="18" t="s">
        <v>4108</v>
      </c>
      <c r="W810" s="17" t="s">
        <v>240</v>
      </c>
      <c r="X810" s="17" t="s">
        <v>3963</v>
      </c>
      <c r="Y810" s="17" t="s">
        <v>242</v>
      </c>
      <c r="Z810" s="19"/>
      <c r="AA810" s="19"/>
      <c r="AB810" s="17"/>
      <c r="AC810" s="19"/>
    </row>
    <row r="811" customFormat="false" ht="22.35" hidden="false" customHeight="false" outlineLevel="0" collapsed="false">
      <c r="A811" s="10" t="s">
        <v>4109</v>
      </c>
      <c r="B811" s="17" t="s">
        <v>175</v>
      </c>
      <c r="C811" s="18" t="s">
        <v>176</v>
      </c>
      <c r="D811" s="17" t="s">
        <v>19</v>
      </c>
      <c r="E811" s="17" t="s">
        <v>229</v>
      </c>
      <c r="F811" s="17" t="s">
        <v>3936</v>
      </c>
      <c r="G811" s="17" t="s">
        <v>177</v>
      </c>
      <c r="H811" s="17" t="s">
        <v>32</v>
      </c>
      <c r="I811" s="17" t="s">
        <v>277</v>
      </c>
      <c r="J811" s="17" t="s">
        <v>233</v>
      </c>
      <c r="K811" s="19"/>
      <c r="L811" s="19"/>
      <c r="M811" s="19"/>
      <c r="N811" s="19"/>
      <c r="O811" s="17" t="n">
        <v>1</v>
      </c>
      <c r="P811" s="18" t="s">
        <v>4072</v>
      </c>
      <c r="Q811" s="18" t="s">
        <v>4099</v>
      </c>
      <c r="R811" s="18" t="s">
        <v>4110</v>
      </c>
      <c r="S811" s="17" t="s">
        <v>4105</v>
      </c>
      <c r="T811" s="18" t="s">
        <v>4111</v>
      </c>
      <c r="U811" s="19"/>
      <c r="V811" s="18" t="s">
        <v>4112</v>
      </c>
      <c r="W811" s="17" t="s">
        <v>240</v>
      </c>
      <c r="X811" s="17" t="s">
        <v>4113</v>
      </c>
      <c r="Y811" s="17" t="s">
        <v>242</v>
      </c>
      <c r="Z811" s="19"/>
      <c r="AA811" s="19"/>
      <c r="AB811" s="17"/>
      <c r="AC811" s="19"/>
    </row>
    <row r="812" customFormat="false" ht="32.8" hidden="false" customHeight="false" outlineLevel="0" collapsed="false">
      <c r="A812" s="10" t="s">
        <v>4114</v>
      </c>
      <c r="B812" s="17" t="s">
        <v>175</v>
      </c>
      <c r="C812" s="18" t="s">
        <v>176</v>
      </c>
      <c r="D812" s="17" t="s">
        <v>19</v>
      </c>
      <c r="E812" s="17" t="s">
        <v>75</v>
      </c>
      <c r="F812" s="17" t="s">
        <v>3936</v>
      </c>
      <c r="G812" s="17" t="s">
        <v>177</v>
      </c>
      <c r="H812" s="17" t="s">
        <v>32</v>
      </c>
      <c r="I812" s="17" t="s">
        <v>1413</v>
      </c>
      <c r="J812" s="17" t="s">
        <v>233</v>
      </c>
      <c r="K812" s="19"/>
      <c r="L812" s="19"/>
      <c r="M812" s="19"/>
      <c r="N812" s="19"/>
      <c r="O812" s="17" t="n">
        <v>3</v>
      </c>
      <c r="P812" s="18" t="s">
        <v>4072</v>
      </c>
      <c r="Q812" s="18" t="s">
        <v>4099</v>
      </c>
      <c r="R812" s="18" t="s">
        <v>4115</v>
      </c>
      <c r="S812" s="17" t="s">
        <v>4116</v>
      </c>
      <c r="T812" s="18" t="s">
        <v>4117</v>
      </c>
      <c r="U812" s="19"/>
      <c r="V812" s="18" t="s">
        <v>4118</v>
      </c>
      <c r="W812" s="17" t="s">
        <v>240</v>
      </c>
      <c r="X812" s="17" t="s">
        <v>4119</v>
      </c>
      <c r="Y812" s="17" t="s">
        <v>242</v>
      </c>
      <c r="Z812" s="19"/>
      <c r="AA812" s="19"/>
      <c r="AB812" s="17"/>
      <c r="AC812" s="19"/>
    </row>
    <row r="813" customFormat="false" ht="22.35" hidden="false" customHeight="false" outlineLevel="0" collapsed="false">
      <c r="A813" s="10" t="s">
        <v>4120</v>
      </c>
      <c r="B813" s="17" t="s">
        <v>175</v>
      </c>
      <c r="C813" s="18" t="s">
        <v>176</v>
      </c>
      <c r="D813" s="17" t="s">
        <v>19</v>
      </c>
      <c r="E813" s="17" t="s">
        <v>244</v>
      </c>
      <c r="F813" s="17" t="s">
        <v>3936</v>
      </c>
      <c r="G813" s="17" t="s">
        <v>177</v>
      </c>
      <c r="H813" s="17" t="s">
        <v>32</v>
      </c>
      <c r="I813" s="17" t="s">
        <v>928</v>
      </c>
      <c r="J813" s="17" t="s">
        <v>233</v>
      </c>
      <c r="K813" s="19"/>
      <c r="L813" s="19"/>
      <c r="M813" s="19"/>
      <c r="N813" s="19"/>
      <c r="O813" s="17" t="n">
        <v>3</v>
      </c>
      <c r="P813" s="18" t="s">
        <v>4072</v>
      </c>
      <c r="Q813" s="18" t="s">
        <v>4099</v>
      </c>
      <c r="R813" s="18" t="s">
        <v>4121</v>
      </c>
      <c r="S813" s="17" t="s">
        <v>4098</v>
      </c>
      <c r="T813" s="18" t="s">
        <v>4122</v>
      </c>
      <c r="U813" s="19"/>
      <c r="V813" s="18" t="s">
        <v>4123</v>
      </c>
      <c r="W813" s="17" t="s">
        <v>240</v>
      </c>
      <c r="X813" s="17" t="s">
        <v>4124</v>
      </c>
      <c r="Y813" s="17" t="s">
        <v>242</v>
      </c>
      <c r="Z813" s="19"/>
      <c r="AA813" s="19"/>
      <c r="AB813" s="17"/>
      <c r="AC813" s="19"/>
    </row>
    <row r="814" customFormat="false" ht="22.35" hidden="false" customHeight="false" outlineLevel="0" collapsed="false">
      <c r="A814" s="10" t="s">
        <v>4125</v>
      </c>
      <c r="B814" s="17" t="s">
        <v>175</v>
      </c>
      <c r="C814" s="18" t="s">
        <v>176</v>
      </c>
      <c r="D814" s="17" t="s">
        <v>19</v>
      </c>
      <c r="E814" s="17" t="s">
        <v>75</v>
      </c>
      <c r="F814" s="17" t="s">
        <v>3936</v>
      </c>
      <c r="G814" s="17" t="s">
        <v>177</v>
      </c>
      <c r="H814" s="17" t="s">
        <v>32</v>
      </c>
      <c r="I814" s="17" t="s">
        <v>1413</v>
      </c>
      <c r="J814" s="17" t="s">
        <v>233</v>
      </c>
      <c r="K814" s="19"/>
      <c r="L814" s="19"/>
      <c r="M814" s="19"/>
      <c r="N814" s="19"/>
      <c r="O814" s="17" t="n">
        <v>1</v>
      </c>
      <c r="P814" s="18" t="s">
        <v>4072</v>
      </c>
      <c r="Q814" s="18" t="s">
        <v>4099</v>
      </c>
      <c r="R814" s="18" t="s">
        <v>4126</v>
      </c>
      <c r="S814" s="17" t="s">
        <v>4120</v>
      </c>
      <c r="T814" s="18" t="s">
        <v>285</v>
      </c>
      <c r="U814" s="19"/>
      <c r="V814" s="18" t="s">
        <v>4127</v>
      </c>
      <c r="W814" s="17" t="s">
        <v>240</v>
      </c>
      <c r="X814" s="17" t="s">
        <v>3977</v>
      </c>
      <c r="Y814" s="17" t="s">
        <v>242</v>
      </c>
      <c r="Z814" s="19"/>
      <c r="AA814" s="19"/>
      <c r="AB814" s="17" t="s">
        <v>1681</v>
      </c>
      <c r="AC814" s="19"/>
    </row>
    <row r="815" customFormat="false" ht="22.35" hidden="false" customHeight="false" outlineLevel="0" collapsed="false">
      <c r="A815" s="10" t="s">
        <v>2511</v>
      </c>
      <c r="B815" s="17" t="s">
        <v>175</v>
      </c>
      <c r="C815" s="18" t="s">
        <v>176</v>
      </c>
      <c r="D815" s="17" t="s">
        <v>19</v>
      </c>
      <c r="E815" s="17" t="s">
        <v>229</v>
      </c>
      <c r="F815" s="17" t="s">
        <v>3936</v>
      </c>
      <c r="G815" s="17" t="s">
        <v>177</v>
      </c>
      <c r="H815" s="17" t="s">
        <v>32</v>
      </c>
      <c r="I815" s="17" t="s">
        <v>333</v>
      </c>
      <c r="J815" s="17" t="s">
        <v>233</v>
      </c>
      <c r="K815" s="19"/>
      <c r="L815" s="19"/>
      <c r="M815" s="19"/>
      <c r="N815" s="19"/>
      <c r="O815" s="17" t="n">
        <v>1</v>
      </c>
      <c r="P815" s="18" t="s">
        <v>4128</v>
      </c>
      <c r="Q815" s="18" t="s">
        <v>4129</v>
      </c>
      <c r="R815" s="18" t="s">
        <v>4130</v>
      </c>
      <c r="S815" s="17" t="s">
        <v>4131</v>
      </c>
      <c r="T815" s="18" t="s">
        <v>4132</v>
      </c>
      <c r="U815" s="19"/>
      <c r="V815" s="18" t="s">
        <v>4133</v>
      </c>
      <c r="W815" s="17" t="s">
        <v>240</v>
      </c>
      <c r="X815" s="17" t="s">
        <v>4134</v>
      </c>
      <c r="Y815" s="17" t="s">
        <v>242</v>
      </c>
      <c r="Z815" s="19"/>
      <c r="AA815" s="19"/>
      <c r="AB815" s="17"/>
      <c r="AC815" s="19"/>
    </row>
    <row r="816" customFormat="false" ht="22.35" hidden="false" customHeight="false" outlineLevel="0" collapsed="false">
      <c r="A816" s="10" t="s">
        <v>4135</v>
      </c>
      <c r="B816" s="17" t="s">
        <v>175</v>
      </c>
      <c r="C816" s="18" t="s">
        <v>176</v>
      </c>
      <c r="D816" s="17" t="s">
        <v>19</v>
      </c>
      <c r="E816" s="17" t="s">
        <v>75</v>
      </c>
      <c r="F816" s="17" t="s">
        <v>3936</v>
      </c>
      <c r="G816" s="17" t="s">
        <v>177</v>
      </c>
      <c r="H816" s="17" t="s">
        <v>32</v>
      </c>
      <c r="I816" s="17" t="s">
        <v>333</v>
      </c>
      <c r="J816" s="17" t="s">
        <v>233</v>
      </c>
      <c r="K816" s="19"/>
      <c r="L816" s="19"/>
      <c r="M816" s="19"/>
      <c r="N816" s="19"/>
      <c r="O816" s="17" t="n">
        <v>1</v>
      </c>
      <c r="P816" s="18" t="s">
        <v>4128</v>
      </c>
      <c r="Q816" s="18" t="s">
        <v>4129</v>
      </c>
      <c r="R816" s="18" t="s">
        <v>4136</v>
      </c>
      <c r="S816" s="17" t="s">
        <v>4137</v>
      </c>
      <c r="T816" s="18" t="s">
        <v>4138</v>
      </c>
      <c r="U816" s="19"/>
      <c r="V816" s="18" t="s">
        <v>4139</v>
      </c>
      <c r="W816" s="17" t="s">
        <v>240</v>
      </c>
      <c r="X816" s="17" t="s">
        <v>4140</v>
      </c>
      <c r="Y816" s="17" t="s">
        <v>242</v>
      </c>
      <c r="Z816" s="19"/>
      <c r="AA816" s="19"/>
      <c r="AB816" s="17"/>
      <c r="AC816" s="19"/>
    </row>
    <row r="817" customFormat="false" ht="32.8" hidden="false" customHeight="false" outlineLevel="0" collapsed="false">
      <c r="A817" s="10" t="s">
        <v>4141</v>
      </c>
      <c r="B817" s="17" t="s">
        <v>175</v>
      </c>
      <c r="C817" s="18" t="s">
        <v>176</v>
      </c>
      <c r="D817" s="17" t="s">
        <v>19</v>
      </c>
      <c r="E817" s="17" t="s">
        <v>229</v>
      </c>
      <c r="F817" s="17" t="s">
        <v>3936</v>
      </c>
      <c r="G817" s="17" t="s">
        <v>177</v>
      </c>
      <c r="H817" s="17" t="s">
        <v>32</v>
      </c>
      <c r="I817" s="17" t="s">
        <v>289</v>
      </c>
      <c r="J817" s="17" t="s">
        <v>233</v>
      </c>
      <c r="K817" s="19"/>
      <c r="L817" s="19"/>
      <c r="M817" s="19"/>
      <c r="N817" s="19"/>
      <c r="O817" s="17" t="n">
        <v>1</v>
      </c>
      <c r="P817" s="18" t="s">
        <v>4128</v>
      </c>
      <c r="Q817" s="18" t="s">
        <v>4129</v>
      </c>
      <c r="R817" s="18" t="s">
        <v>4142</v>
      </c>
      <c r="S817" s="17" t="s">
        <v>4027</v>
      </c>
      <c r="T817" s="18" t="s">
        <v>4143</v>
      </c>
      <c r="U817" s="19"/>
      <c r="V817" s="18" t="s">
        <v>4144</v>
      </c>
      <c r="W817" s="17" t="s">
        <v>383</v>
      </c>
      <c r="X817" s="17" t="s">
        <v>4145</v>
      </c>
      <c r="Y817" s="17" t="s">
        <v>242</v>
      </c>
      <c r="Z817" s="19"/>
      <c r="AA817" s="19"/>
      <c r="AB817" s="17"/>
      <c r="AC817" s="19"/>
    </row>
    <row r="818" customFormat="false" ht="22.35" hidden="false" customHeight="false" outlineLevel="0" collapsed="false">
      <c r="A818" s="10" t="s">
        <v>4146</v>
      </c>
      <c r="B818" s="17" t="s">
        <v>175</v>
      </c>
      <c r="C818" s="18" t="s">
        <v>176</v>
      </c>
      <c r="D818" s="17" t="s">
        <v>19</v>
      </c>
      <c r="E818" s="17" t="s">
        <v>75</v>
      </c>
      <c r="F818" s="17" t="s">
        <v>3936</v>
      </c>
      <c r="G818" s="17" t="s">
        <v>177</v>
      </c>
      <c r="H818" s="17" t="s">
        <v>32</v>
      </c>
      <c r="I818" s="17" t="s">
        <v>289</v>
      </c>
      <c r="J818" s="17" t="s">
        <v>233</v>
      </c>
      <c r="K818" s="19"/>
      <c r="L818" s="19"/>
      <c r="M818" s="19"/>
      <c r="N818" s="19"/>
      <c r="O818" s="17" t="n">
        <v>1</v>
      </c>
      <c r="P818" s="18" t="s">
        <v>4128</v>
      </c>
      <c r="Q818" s="18" t="s">
        <v>4129</v>
      </c>
      <c r="R818" s="18" t="s">
        <v>4147</v>
      </c>
      <c r="S818" s="17" t="s">
        <v>4148</v>
      </c>
      <c r="T818" s="18" t="s">
        <v>4149</v>
      </c>
      <c r="U818" s="19"/>
      <c r="V818" s="18" t="s">
        <v>4150</v>
      </c>
      <c r="W818" s="17" t="s">
        <v>240</v>
      </c>
      <c r="X818" s="17" t="s">
        <v>4151</v>
      </c>
      <c r="Y818" s="17" t="s">
        <v>242</v>
      </c>
      <c r="Z818" s="19"/>
      <c r="AA818" s="19"/>
      <c r="AB818" s="17"/>
      <c r="AC818" s="19"/>
    </row>
    <row r="819" customFormat="false" ht="22.35" hidden="false" customHeight="false" outlineLevel="0" collapsed="false">
      <c r="A819" s="10" t="s">
        <v>4152</v>
      </c>
      <c r="B819" s="17" t="s">
        <v>175</v>
      </c>
      <c r="C819" s="18" t="s">
        <v>176</v>
      </c>
      <c r="D819" s="17" t="s">
        <v>19</v>
      </c>
      <c r="E819" s="17" t="s">
        <v>75</v>
      </c>
      <c r="F819" s="17" t="s">
        <v>3936</v>
      </c>
      <c r="G819" s="17" t="s">
        <v>177</v>
      </c>
      <c r="H819" s="17" t="s">
        <v>32</v>
      </c>
      <c r="I819" s="17" t="s">
        <v>333</v>
      </c>
      <c r="J819" s="17" t="s">
        <v>233</v>
      </c>
      <c r="K819" s="19"/>
      <c r="L819" s="19"/>
      <c r="M819" s="19"/>
      <c r="N819" s="19"/>
      <c r="O819" s="17" t="n">
        <v>1</v>
      </c>
      <c r="P819" s="18" t="s">
        <v>4128</v>
      </c>
      <c r="Q819" s="18" t="s">
        <v>4129</v>
      </c>
      <c r="R819" s="18" t="s">
        <v>4153</v>
      </c>
      <c r="S819" s="17" t="s">
        <v>2511</v>
      </c>
      <c r="T819" s="18" t="s">
        <v>4154</v>
      </c>
      <c r="U819" s="19"/>
      <c r="V819" s="18" t="s">
        <v>4155</v>
      </c>
      <c r="W819" s="17" t="s">
        <v>240</v>
      </c>
      <c r="X819" s="17" t="s">
        <v>4156</v>
      </c>
      <c r="Y819" s="17" t="s">
        <v>242</v>
      </c>
      <c r="Z819" s="19"/>
      <c r="AA819" s="19"/>
      <c r="AB819" s="17"/>
      <c r="AC819" s="19"/>
    </row>
    <row r="820" customFormat="false" ht="22.35" hidden="false" customHeight="false" outlineLevel="0" collapsed="false">
      <c r="A820" s="10" t="s">
        <v>4157</v>
      </c>
      <c r="B820" s="17" t="s">
        <v>175</v>
      </c>
      <c r="C820" s="18" t="s">
        <v>176</v>
      </c>
      <c r="D820" s="17" t="s">
        <v>19</v>
      </c>
      <c r="E820" s="17" t="s">
        <v>75</v>
      </c>
      <c r="F820" s="17" t="s">
        <v>3936</v>
      </c>
      <c r="G820" s="17" t="s">
        <v>177</v>
      </c>
      <c r="H820" s="17" t="s">
        <v>32</v>
      </c>
      <c r="I820" s="17" t="s">
        <v>333</v>
      </c>
      <c r="J820" s="17" t="s">
        <v>233</v>
      </c>
      <c r="K820" s="19"/>
      <c r="L820" s="19"/>
      <c r="M820" s="19"/>
      <c r="N820" s="19"/>
      <c r="O820" s="17" t="n">
        <v>1</v>
      </c>
      <c r="P820" s="18" t="s">
        <v>4128</v>
      </c>
      <c r="Q820" s="18" t="s">
        <v>4129</v>
      </c>
      <c r="R820" s="18" t="s">
        <v>4158</v>
      </c>
      <c r="S820" s="17" t="s">
        <v>4152</v>
      </c>
      <c r="T820" s="18" t="s">
        <v>285</v>
      </c>
      <c r="U820" s="19"/>
      <c r="V820" s="18" t="s">
        <v>4159</v>
      </c>
      <c r="W820" s="17" t="s">
        <v>240</v>
      </c>
      <c r="X820" s="17" t="s">
        <v>3977</v>
      </c>
      <c r="Y820" s="17" t="s">
        <v>242</v>
      </c>
      <c r="Z820" s="19"/>
      <c r="AA820" s="19"/>
      <c r="AB820" s="17"/>
      <c r="AC820" s="19"/>
    </row>
    <row r="821" customFormat="false" ht="22.35" hidden="false" customHeight="false" outlineLevel="0" collapsed="false">
      <c r="A821" s="10" t="s">
        <v>4160</v>
      </c>
      <c r="B821" s="17" t="s">
        <v>175</v>
      </c>
      <c r="C821" s="18" t="s">
        <v>176</v>
      </c>
      <c r="D821" s="17" t="s">
        <v>19</v>
      </c>
      <c r="E821" s="17" t="s">
        <v>229</v>
      </c>
      <c r="F821" s="17" t="s">
        <v>3936</v>
      </c>
      <c r="G821" s="17" t="s">
        <v>177</v>
      </c>
      <c r="H821" s="17" t="s">
        <v>32</v>
      </c>
      <c r="I821" s="17" t="s">
        <v>1413</v>
      </c>
      <c r="J821" s="17" t="s">
        <v>233</v>
      </c>
      <c r="K821" s="19"/>
      <c r="L821" s="19"/>
      <c r="M821" s="19"/>
      <c r="N821" s="19"/>
      <c r="O821" s="17" t="n">
        <v>1</v>
      </c>
      <c r="P821" s="18" t="s">
        <v>4161</v>
      </c>
      <c r="Q821" s="18" t="s">
        <v>4162</v>
      </c>
      <c r="R821" s="18" t="s">
        <v>4163</v>
      </c>
      <c r="S821" s="17" t="s">
        <v>4164</v>
      </c>
      <c r="T821" s="18" t="s">
        <v>4165</v>
      </c>
      <c r="U821" s="19"/>
      <c r="V821" s="18" t="s">
        <v>4166</v>
      </c>
      <c r="W821" s="17" t="s">
        <v>240</v>
      </c>
      <c r="X821" s="17" t="s">
        <v>4167</v>
      </c>
      <c r="Y821" s="17" t="s">
        <v>242</v>
      </c>
      <c r="Z821" s="19"/>
      <c r="AA821" s="19"/>
      <c r="AB821" s="17"/>
      <c r="AC821" s="19"/>
    </row>
    <row r="822" customFormat="false" ht="32.8" hidden="false" customHeight="false" outlineLevel="0" collapsed="false">
      <c r="A822" s="10" t="s">
        <v>4168</v>
      </c>
      <c r="B822" s="17" t="s">
        <v>175</v>
      </c>
      <c r="C822" s="18" t="s">
        <v>176</v>
      </c>
      <c r="D822" s="17" t="s">
        <v>19</v>
      </c>
      <c r="E822" s="17" t="s">
        <v>75</v>
      </c>
      <c r="F822" s="17" t="s">
        <v>3936</v>
      </c>
      <c r="G822" s="17" t="s">
        <v>177</v>
      </c>
      <c r="H822" s="17" t="s">
        <v>32</v>
      </c>
      <c r="I822" s="17" t="s">
        <v>232</v>
      </c>
      <c r="J822" s="17" t="s">
        <v>233</v>
      </c>
      <c r="K822" s="19"/>
      <c r="L822" s="19"/>
      <c r="M822" s="19"/>
      <c r="N822" s="19"/>
      <c r="O822" s="17" t="n">
        <v>1</v>
      </c>
      <c r="P822" s="18" t="s">
        <v>4161</v>
      </c>
      <c r="Q822" s="18" t="s">
        <v>4162</v>
      </c>
      <c r="R822" s="18" t="s">
        <v>4169</v>
      </c>
      <c r="S822" s="17" t="s">
        <v>4160</v>
      </c>
      <c r="T822" s="18" t="s">
        <v>4170</v>
      </c>
      <c r="U822" s="19"/>
      <c r="V822" s="18" t="s">
        <v>4171</v>
      </c>
      <c r="W822" s="17" t="s">
        <v>240</v>
      </c>
      <c r="X822" s="17" t="s">
        <v>4172</v>
      </c>
      <c r="Y822" s="17" t="s">
        <v>242</v>
      </c>
      <c r="Z822" s="19"/>
      <c r="AA822" s="19"/>
      <c r="AB822" s="17"/>
      <c r="AC822" s="19"/>
    </row>
    <row r="823" customFormat="false" ht="32.8" hidden="false" customHeight="false" outlineLevel="0" collapsed="false">
      <c r="A823" s="10" t="s">
        <v>4173</v>
      </c>
      <c r="B823" s="17" t="s">
        <v>175</v>
      </c>
      <c r="C823" s="18" t="s">
        <v>176</v>
      </c>
      <c r="D823" s="17" t="s">
        <v>19</v>
      </c>
      <c r="E823" s="17" t="s">
        <v>229</v>
      </c>
      <c r="F823" s="17" t="s">
        <v>3936</v>
      </c>
      <c r="G823" s="17" t="s">
        <v>177</v>
      </c>
      <c r="H823" s="17" t="s">
        <v>32</v>
      </c>
      <c r="I823" s="17" t="s">
        <v>289</v>
      </c>
      <c r="J823" s="17" t="s">
        <v>233</v>
      </c>
      <c r="K823" s="19"/>
      <c r="L823" s="19"/>
      <c r="M823" s="19"/>
      <c r="N823" s="19"/>
      <c r="O823" s="17" t="n">
        <v>1</v>
      </c>
      <c r="P823" s="18" t="s">
        <v>4161</v>
      </c>
      <c r="Q823" s="18" t="s">
        <v>4162</v>
      </c>
      <c r="R823" s="18" t="s">
        <v>4174</v>
      </c>
      <c r="S823" s="17" t="s">
        <v>4175</v>
      </c>
      <c r="T823" s="18" t="s">
        <v>4176</v>
      </c>
      <c r="U823" s="19"/>
      <c r="V823" s="18" t="s">
        <v>4177</v>
      </c>
      <c r="W823" s="17" t="s">
        <v>383</v>
      </c>
      <c r="X823" s="17" t="s">
        <v>4178</v>
      </c>
      <c r="Y823" s="17" t="s">
        <v>242</v>
      </c>
      <c r="Z823" s="19"/>
      <c r="AA823" s="19"/>
      <c r="AB823" s="17"/>
      <c r="AC823" s="19"/>
    </row>
    <row r="824" customFormat="false" ht="22.35" hidden="false" customHeight="false" outlineLevel="0" collapsed="false">
      <c r="A824" s="10" t="s">
        <v>4179</v>
      </c>
      <c r="B824" s="17" t="s">
        <v>175</v>
      </c>
      <c r="C824" s="18" t="s">
        <v>176</v>
      </c>
      <c r="D824" s="17" t="s">
        <v>19</v>
      </c>
      <c r="E824" s="17" t="s">
        <v>229</v>
      </c>
      <c r="F824" s="17" t="s">
        <v>3936</v>
      </c>
      <c r="G824" s="17" t="s">
        <v>177</v>
      </c>
      <c r="H824" s="17" t="s">
        <v>32</v>
      </c>
      <c r="I824" s="17" t="s">
        <v>289</v>
      </c>
      <c r="J824" s="17" t="s">
        <v>233</v>
      </c>
      <c r="K824" s="19"/>
      <c r="L824" s="19"/>
      <c r="M824" s="19"/>
      <c r="N824" s="19"/>
      <c r="O824" s="17" t="n">
        <v>1</v>
      </c>
      <c r="P824" s="18" t="s">
        <v>4161</v>
      </c>
      <c r="Q824" s="18" t="s">
        <v>4162</v>
      </c>
      <c r="R824" s="18" t="s">
        <v>4180</v>
      </c>
      <c r="S824" s="17" t="s">
        <v>4173</v>
      </c>
      <c r="T824" s="18" t="s">
        <v>2234</v>
      </c>
      <c r="U824" s="19"/>
      <c r="V824" s="18" t="s">
        <v>4181</v>
      </c>
      <c r="W824" s="17" t="s">
        <v>383</v>
      </c>
      <c r="X824" s="17" t="s">
        <v>4182</v>
      </c>
      <c r="Y824" s="17" t="s">
        <v>242</v>
      </c>
      <c r="Z824" s="19"/>
      <c r="AA824" s="19"/>
      <c r="AB824" s="17"/>
      <c r="AC824" s="19"/>
    </row>
    <row r="825" customFormat="false" ht="22.35" hidden="false" customHeight="false" outlineLevel="0" collapsed="false">
      <c r="A825" s="10" t="s">
        <v>4183</v>
      </c>
      <c r="B825" s="17" t="s">
        <v>175</v>
      </c>
      <c r="C825" s="18" t="s">
        <v>176</v>
      </c>
      <c r="D825" s="17" t="s">
        <v>19</v>
      </c>
      <c r="E825" s="17" t="s">
        <v>75</v>
      </c>
      <c r="F825" s="17" t="s">
        <v>3936</v>
      </c>
      <c r="G825" s="17" t="s">
        <v>177</v>
      </c>
      <c r="H825" s="17" t="s">
        <v>32</v>
      </c>
      <c r="I825" s="17" t="s">
        <v>369</v>
      </c>
      <c r="J825" s="17" t="s">
        <v>233</v>
      </c>
      <c r="K825" s="19"/>
      <c r="L825" s="19"/>
      <c r="M825" s="19"/>
      <c r="N825" s="19"/>
      <c r="O825" s="17" t="n">
        <v>1</v>
      </c>
      <c r="P825" s="18" t="s">
        <v>4161</v>
      </c>
      <c r="Q825" s="18" t="s">
        <v>4162</v>
      </c>
      <c r="R825" s="18" t="s">
        <v>4184</v>
      </c>
      <c r="S825" s="17" t="s">
        <v>4185</v>
      </c>
      <c r="T825" s="18" t="s">
        <v>2967</v>
      </c>
      <c r="U825" s="19"/>
      <c r="V825" s="18" t="s">
        <v>4186</v>
      </c>
      <c r="W825" s="17" t="s">
        <v>240</v>
      </c>
      <c r="X825" s="17" t="s">
        <v>4187</v>
      </c>
      <c r="Y825" s="17" t="s">
        <v>242</v>
      </c>
      <c r="Z825" s="19"/>
      <c r="AA825" s="19"/>
      <c r="AB825" s="17"/>
      <c r="AC825" s="19"/>
    </row>
    <row r="826" customFormat="false" ht="22.35" hidden="false" customHeight="false" outlineLevel="0" collapsed="false">
      <c r="A826" s="10" t="s">
        <v>4188</v>
      </c>
      <c r="B826" s="17" t="s">
        <v>175</v>
      </c>
      <c r="C826" s="18" t="s">
        <v>176</v>
      </c>
      <c r="D826" s="17" t="s">
        <v>19</v>
      </c>
      <c r="E826" s="17" t="s">
        <v>75</v>
      </c>
      <c r="F826" s="17" t="s">
        <v>3936</v>
      </c>
      <c r="G826" s="17" t="s">
        <v>177</v>
      </c>
      <c r="H826" s="17" t="s">
        <v>32</v>
      </c>
      <c r="I826" s="17" t="s">
        <v>1413</v>
      </c>
      <c r="J826" s="17" t="s">
        <v>233</v>
      </c>
      <c r="K826" s="19"/>
      <c r="L826" s="19"/>
      <c r="M826" s="19"/>
      <c r="N826" s="19"/>
      <c r="O826" s="17" t="n">
        <v>1</v>
      </c>
      <c r="P826" s="18" t="s">
        <v>4161</v>
      </c>
      <c r="Q826" s="18" t="s">
        <v>4162</v>
      </c>
      <c r="R826" s="18" t="s">
        <v>4189</v>
      </c>
      <c r="S826" s="17" t="s">
        <v>4183</v>
      </c>
      <c r="T826" s="18" t="s">
        <v>285</v>
      </c>
      <c r="U826" s="19"/>
      <c r="V826" s="18" t="s">
        <v>4190</v>
      </c>
      <c r="W826" s="17" t="s">
        <v>240</v>
      </c>
      <c r="X826" s="17" t="s">
        <v>3977</v>
      </c>
      <c r="Y826" s="17" t="s">
        <v>242</v>
      </c>
      <c r="Z826" s="19"/>
      <c r="AA826" s="19"/>
      <c r="AB826" s="17"/>
      <c r="AC826" s="19"/>
    </row>
    <row r="827" customFormat="false" ht="32.8" hidden="false" customHeight="false" outlineLevel="0" collapsed="false">
      <c r="A827" s="10" t="s">
        <v>4191</v>
      </c>
      <c r="B827" s="17" t="s">
        <v>60</v>
      </c>
      <c r="C827" s="18" t="s">
        <v>61</v>
      </c>
      <c r="D827" s="17" t="s">
        <v>19</v>
      </c>
      <c r="E827" s="17" t="s">
        <v>229</v>
      </c>
      <c r="F827" s="17" t="s">
        <v>3936</v>
      </c>
      <c r="G827" s="17" t="s">
        <v>4192</v>
      </c>
      <c r="H827" s="17" t="s">
        <v>32</v>
      </c>
      <c r="I827" s="17" t="s">
        <v>232</v>
      </c>
      <c r="J827" s="17" t="s">
        <v>233</v>
      </c>
      <c r="K827" s="19"/>
      <c r="L827" s="19"/>
      <c r="M827" s="19"/>
      <c r="N827" s="19"/>
      <c r="O827" s="17" t="n">
        <v>0</v>
      </c>
      <c r="P827" s="18" t="s">
        <v>4193</v>
      </c>
      <c r="Q827" s="18" t="s">
        <v>4194</v>
      </c>
      <c r="R827" s="18" t="s">
        <v>4195</v>
      </c>
      <c r="S827" s="17" t="s">
        <v>3940</v>
      </c>
      <c r="T827" s="18" t="s">
        <v>3941</v>
      </c>
      <c r="U827" s="19"/>
      <c r="V827" s="18" t="s">
        <v>4196</v>
      </c>
      <c r="W827" s="17" t="s">
        <v>240</v>
      </c>
      <c r="X827" s="17" t="s">
        <v>4197</v>
      </c>
      <c r="Y827" s="17" t="s">
        <v>242</v>
      </c>
      <c r="Z827" s="19"/>
      <c r="AA827" s="19"/>
      <c r="AB827" s="17"/>
      <c r="AC827" s="19"/>
    </row>
    <row r="828" customFormat="false" ht="32.8" hidden="false" customHeight="false" outlineLevel="0" collapsed="false">
      <c r="A828" s="10" t="s">
        <v>4198</v>
      </c>
      <c r="B828" s="17" t="s">
        <v>60</v>
      </c>
      <c r="C828" s="18" t="s">
        <v>61</v>
      </c>
      <c r="D828" s="17" t="s">
        <v>19</v>
      </c>
      <c r="E828" s="17" t="s">
        <v>229</v>
      </c>
      <c r="F828" s="17" t="s">
        <v>3936</v>
      </c>
      <c r="G828" s="17" t="s">
        <v>4192</v>
      </c>
      <c r="H828" s="17" t="s">
        <v>32</v>
      </c>
      <c r="I828" s="17" t="s">
        <v>232</v>
      </c>
      <c r="J828" s="17" t="s">
        <v>233</v>
      </c>
      <c r="K828" s="19"/>
      <c r="L828" s="19"/>
      <c r="M828" s="19"/>
      <c r="N828" s="19"/>
      <c r="O828" s="17" t="n">
        <v>0</v>
      </c>
      <c r="P828" s="18" t="s">
        <v>4193</v>
      </c>
      <c r="Q828" s="18" t="s">
        <v>4194</v>
      </c>
      <c r="R828" s="18" t="s">
        <v>4199</v>
      </c>
      <c r="S828" s="17" t="s">
        <v>4200</v>
      </c>
      <c r="T828" s="18" t="s">
        <v>4201</v>
      </c>
      <c r="U828" s="19"/>
      <c r="V828" s="18" t="s">
        <v>4202</v>
      </c>
      <c r="W828" s="17" t="s">
        <v>240</v>
      </c>
      <c r="X828" s="17" t="s">
        <v>4203</v>
      </c>
      <c r="Y828" s="17" t="s">
        <v>242</v>
      </c>
      <c r="Z828" s="19"/>
      <c r="AA828" s="19"/>
      <c r="AB828" s="17"/>
      <c r="AC828" s="19"/>
    </row>
    <row r="829" customFormat="false" ht="32.8" hidden="false" customHeight="false" outlineLevel="0" collapsed="false">
      <c r="A829" s="10" t="s">
        <v>4204</v>
      </c>
      <c r="B829" s="17" t="s">
        <v>60</v>
      </c>
      <c r="C829" s="18" t="s">
        <v>61</v>
      </c>
      <c r="D829" s="17" t="s">
        <v>19</v>
      </c>
      <c r="E829" s="17" t="s">
        <v>244</v>
      </c>
      <c r="F829" s="17" t="s">
        <v>3936</v>
      </c>
      <c r="G829" s="17" t="s">
        <v>4192</v>
      </c>
      <c r="H829" s="17" t="s">
        <v>32</v>
      </c>
      <c r="I829" s="17" t="s">
        <v>232</v>
      </c>
      <c r="J829" s="17" t="s">
        <v>233</v>
      </c>
      <c r="K829" s="19"/>
      <c r="L829" s="19"/>
      <c r="M829" s="19"/>
      <c r="N829" s="19"/>
      <c r="O829" s="17" t="n">
        <v>0</v>
      </c>
      <c r="P829" s="18" t="s">
        <v>4193</v>
      </c>
      <c r="Q829" s="18" t="s">
        <v>4194</v>
      </c>
      <c r="R829" s="18" t="s">
        <v>4205</v>
      </c>
      <c r="S829" s="17" t="s">
        <v>4206</v>
      </c>
      <c r="T829" s="18" t="s">
        <v>4207</v>
      </c>
      <c r="U829" s="19"/>
      <c r="V829" s="18" t="s">
        <v>4208</v>
      </c>
      <c r="W829" s="17" t="s">
        <v>240</v>
      </c>
      <c r="X829" s="17" t="s">
        <v>4209</v>
      </c>
      <c r="Y829" s="17" t="s">
        <v>242</v>
      </c>
      <c r="Z829" s="19"/>
      <c r="AA829" s="19"/>
      <c r="AB829" s="17"/>
      <c r="AC829" s="19"/>
    </row>
    <row r="830" customFormat="false" ht="22.35" hidden="false" customHeight="false" outlineLevel="0" collapsed="false">
      <c r="A830" s="10" t="s">
        <v>4210</v>
      </c>
      <c r="B830" s="17" t="s">
        <v>60</v>
      </c>
      <c r="C830" s="18" t="s">
        <v>61</v>
      </c>
      <c r="D830" s="17" t="s">
        <v>19</v>
      </c>
      <c r="E830" s="17" t="s">
        <v>75</v>
      </c>
      <c r="F830" s="17" t="s">
        <v>3936</v>
      </c>
      <c r="G830" s="17" t="s">
        <v>4192</v>
      </c>
      <c r="H830" s="17" t="s">
        <v>32</v>
      </c>
      <c r="I830" s="17" t="s">
        <v>1413</v>
      </c>
      <c r="J830" s="17" t="s">
        <v>233</v>
      </c>
      <c r="K830" s="19"/>
      <c r="L830" s="19"/>
      <c r="M830" s="19"/>
      <c r="N830" s="19"/>
      <c r="O830" s="17" t="n">
        <v>1</v>
      </c>
      <c r="P830" s="18" t="s">
        <v>4193</v>
      </c>
      <c r="Q830" s="18" t="s">
        <v>4194</v>
      </c>
      <c r="R830" s="18" t="s">
        <v>4211</v>
      </c>
      <c r="S830" s="17" t="s">
        <v>4078</v>
      </c>
      <c r="T830" s="18" t="s">
        <v>4212</v>
      </c>
      <c r="U830" s="19"/>
      <c r="V830" s="18" t="s">
        <v>4213</v>
      </c>
      <c r="W830" s="17" t="s">
        <v>240</v>
      </c>
      <c r="X830" s="17" t="s">
        <v>4214</v>
      </c>
      <c r="Y830" s="17" t="s">
        <v>242</v>
      </c>
      <c r="Z830" s="19"/>
      <c r="AA830" s="19"/>
      <c r="AB830" s="17"/>
      <c r="AC830" s="19"/>
    </row>
    <row r="831" customFormat="false" ht="32.8" hidden="false" customHeight="false" outlineLevel="0" collapsed="false">
      <c r="A831" s="10" t="s">
        <v>4215</v>
      </c>
      <c r="B831" s="17" t="s">
        <v>60</v>
      </c>
      <c r="C831" s="18" t="s">
        <v>61</v>
      </c>
      <c r="D831" s="17" t="s">
        <v>19</v>
      </c>
      <c r="E831" s="17" t="s">
        <v>75</v>
      </c>
      <c r="F831" s="17" t="s">
        <v>3936</v>
      </c>
      <c r="G831" s="17" t="s">
        <v>4192</v>
      </c>
      <c r="H831" s="17" t="s">
        <v>32</v>
      </c>
      <c r="I831" s="17" t="s">
        <v>1413</v>
      </c>
      <c r="J831" s="17" t="s">
        <v>233</v>
      </c>
      <c r="K831" s="19"/>
      <c r="L831" s="19"/>
      <c r="M831" s="19"/>
      <c r="N831" s="19"/>
      <c r="O831" s="17" t="n">
        <v>1</v>
      </c>
      <c r="P831" s="18" t="s">
        <v>4193</v>
      </c>
      <c r="Q831" s="18" t="s">
        <v>4194</v>
      </c>
      <c r="R831" s="18" t="s">
        <v>4216</v>
      </c>
      <c r="S831" s="17" t="s">
        <v>4210</v>
      </c>
      <c r="T831" s="18" t="s">
        <v>4217</v>
      </c>
      <c r="U831" s="19"/>
      <c r="V831" s="18" t="s">
        <v>4218</v>
      </c>
      <c r="W831" s="17" t="s">
        <v>240</v>
      </c>
      <c r="X831" s="17" t="s">
        <v>4219</v>
      </c>
      <c r="Y831" s="17" t="s">
        <v>242</v>
      </c>
      <c r="Z831" s="19"/>
      <c r="AA831" s="19"/>
      <c r="AB831" s="17"/>
      <c r="AC831" s="19"/>
    </row>
    <row r="832" customFormat="false" ht="22.35" hidden="false" customHeight="false" outlineLevel="0" collapsed="false">
      <c r="A832" s="10" t="s">
        <v>4220</v>
      </c>
      <c r="B832" s="17" t="s">
        <v>60</v>
      </c>
      <c r="C832" s="18" t="s">
        <v>61</v>
      </c>
      <c r="D832" s="17" t="s">
        <v>19</v>
      </c>
      <c r="E832" s="17" t="s">
        <v>75</v>
      </c>
      <c r="F832" s="17" t="s">
        <v>3936</v>
      </c>
      <c r="G832" s="17" t="s">
        <v>4192</v>
      </c>
      <c r="H832" s="17" t="s">
        <v>32</v>
      </c>
      <c r="I832" s="17" t="s">
        <v>277</v>
      </c>
      <c r="J832" s="17" t="s">
        <v>233</v>
      </c>
      <c r="K832" s="19"/>
      <c r="L832" s="19"/>
      <c r="M832" s="19"/>
      <c r="N832" s="19"/>
      <c r="O832" s="17" t="n">
        <v>1</v>
      </c>
      <c r="P832" s="18" t="s">
        <v>4193</v>
      </c>
      <c r="Q832" s="18" t="s">
        <v>4194</v>
      </c>
      <c r="R832" s="18" t="s">
        <v>4221</v>
      </c>
      <c r="S832" s="17" t="s">
        <v>4191</v>
      </c>
      <c r="T832" s="18" t="s">
        <v>3971</v>
      </c>
      <c r="U832" s="19"/>
      <c r="V832" s="18" t="s">
        <v>4222</v>
      </c>
      <c r="W832" s="17" t="s">
        <v>240</v>
      </c>
      <c r="X832" s="17" t="s">
        <v>4223</v>
      </c>
      <c r="Y832" s="17" t="s">
        <v>242</v>
      </c>
      <c r="Z832" s="19"/>
      <c r="AA832" s="19"/>
      <c r="AB832" s="17"/>
      <c r="AC832" s="19"/>
    </row>
    <row r="833" customFormat="false" ht="22.35" hidden="false" customHeight="false" outlineLevel="0" collapsed="false">
      <c r="A833" s="10" t="s">
        <v>4224</v>
      </c>
      <c r="B833" s="17" t="s">
        <v>60</v>
      </c>
      <c r="C833" s="18" t="s">
        <v>61</v>
      </c>
      <c r="D833" s="17" t="s">
        <v>19</v>
      </c>
      <c r="E833" s="17" t="s">
        <v>75</v>
      </c>
      <c r="F833" s="17" t="s">
        <v>3936</v>
      </c>
      <c r="G833" s="17" t="s">
        <v>4192</v>
      </c>
      <c r="H833" s="17" t="s">
        <v>32</v>
      </c>
      <c r="I833" s="17" t="s">
        <v>232</v>
      </c>
      <c r="J833" s="17" t="s">
        <v>233</v>
      </c>
      <c r="K833" s="19"/>
      <c r="L833" s="19"/>
      <c r="M833" s="19"/>
      <c r="N833" s="19"/>
      <c r="O833" s="17" t="n">
        <v>1</v>
      </c>
      <c r="P833" s="18" t="s">
        <v>4193</v>
      </c>
      <c r="Q833" s="18" t="s">
        <v>4194</v>
      </c>
      <c r="R833" s="18" t="s">
        <v>4225</v>
      </c>
      <c r="S833" s="17" t="s">
        <v>4220</v>
      </c>
      <c r="T833" s="18" t="s">
        <v>285</v>
      </c>
      <c r="U833" s="19"/>
      <c r="V833" s="18" t="s">
        <v>4226</v>
      </c>
      <c r="W833" s="17" t="s">
        <v>240</v>
      </c>
      <c r="X833" s="17" t="s">
        <v>3977</v>
      </c>
      <c r="Y833" s="17" t="s">
        <v>242</v>
      </c>
      <c r="Z833" s="19"/>
      <c r="AA833" s="19"/>
      <c r="AB833" s="17"/>
      <c r="AC833" s="19"/>
    </row>
    <row r="834" customFormat="false" ht="22.35" hidden="false" customHeight="false" outlineLevel="0" collapsed="false">
      <c r="A834" s="10" t="s">
        <v>4227</v>
      </c>
      <c r="B834" s="17" t="s">
        <v>60</v>
      </c>
      <c r="C834" s="18" t="s">
        <v>61</v>
      </c>
      <c r="D834" s="17" t="s">
        <v>19</v>
      </c>
      <c r="E834" s="17" t="s">
        <v>75</v>
      </c>
      <c r="F834" s="17" t="s">
        <v>3936</v>
      </c>
      <c r="G834" s="17" t="s">
        <v>4192</v>
      </c>
      <c r="H834" s="17" t="s">
        <v>32</v>
      </c>
      <c r="I834" s="17" t="s">
        <v>1413</v>
      </c>
      <c r="J834" s="17" t="s">
        <v>233</v>
      </c>
      <c r="K834" s="19"/>
      <c r="L834" s="19"/>
      <c r="M834" s="19"/>
      <c r="N834" s="19"/>
      <c r="O834" s="17" t="n">
        <v>3</v>
      </c>
      <c r="P834" s="18" t="s">
        <v>4228</v>
      </c>
      <c r="Q834" s="18" t="s">
        <v>4229</v>
      </c>
      <c r="R834" s="18" t="s">
        <v>4230</v>
      </c>
      <c r="S834" s="17" t="s">
        <v>4231</v>
      </c>
      <c r="T834" s="18" t="s">
        <v>4232</v>
      </c>
      <c r="U834" s="19"/>
      <c r="V834" s="18" t="s">
        <v>4233</v>
      </c>
      <c r="W834" s="17" t="s">
        <v>240</v>
      </c>
      <c r="X834" s="17" t="s">
        <v>4234</v>
      </c>
      <c r="Y834" s="17" t="s">
        <v>242</v>
      </c>
      <c r="Z834" s="19"/>
      <c r="AA834" s="19"/>
      <c r="AB834" s="17"/>
      <c r="AC834" s="19"/>
    </row>
    <row r="835" customFormat="false" ht="32.8" hidden="false" customHeight="false" outlineLevel="0" collapsed="false">
      <c r="A835" s="10" t="s">
        <v>4235</v>
      </c>
      <c r="B835" s="17" t="s">
        <v>60</v>
      </c>
      <c r="C835" s="18" t="s">
        <v>61</v>
      </c>
      <c r="D835" s="17" t="s">
        <v>19</v>
      </c>
      <c r="E835" s="17" t="s">
        <v>229</v>
      </c>
      <c r="F835" s="17" t="s">
        <v>3936</v>
      </c>
      <c r="G835" s="17" t="s">
        <v>4192</v>
      </c>
      <c r="H835" s="17" t="s">
        <v>32</v>
      </c>
      <c r="I835" s="17" t="s">
        <v>1413</v>
      </c>
      <c r="J835" s="17" t="s">
        <v>233</v>
      </c>
      <c r="K835" s="19"/>
      <c r="L835" s="19"/>
      <c r="M835" s="19"/>
      <c r="N835" s="19"/>
      <c r="O835" s="17" t="n">
        <v>3</v>
      </c>
      <c r="P835" s="18" t="s">
        <v>4228</v>
      </c>
      <c r="Q835" s="18" t="s">
        <v>4229</v>
      </c>
      <c r="R835" s="18" t="s">
        <v>4236</v>
      </c>
      <c r="S835" s="17" t="s">
        <v>4237</v>
      </c>
      <c r="T835" s="18" t="s">
        <v>4238</v>
      </c>
      <c r="U835" s="19"/>
      <c r="V835" s="18" t="s">
        <v>4239</v>
      </c>
      <c r="W835" s="17" t="s">
        <v>240</v>
      </c>
      <c r="X835" s="17" t="s">
        <v>4240</v>
      </c>
      <c r="Y835" s="17" t="s">
        <v>242</v>
      </c>
      <c r="Z835" s="19"/>
      <c r="AA835" s="19"/>
      <c r="AB835" s="17"/>
      <c r="AC835" s="19"/>
    </row>
    <row r="836" customFormat="false" ht="22.35" hidden="false" customHeight="false" outlineLevel="0" collapsed="false">
      <c r="A836" s="10" t="s">
        <v>4241</v>
      </c>
      <c r="B836" s="17" t="s">
        <v>60</v>
      </c>
      <c r="C836" s="18" t="s">
        <v>61</v>
      </c>
      <c r="D836" s="17" t="s">
        <v>19</v>
      </c>
      <c r="E836" s="17" t="s">
        <v>75</v>
      </c>
      <c r="F836" s="17" t="s">
        <v>3936</v>
      </c>
      <c r="G836" s="17" t="s">
        <v>4192</v>
      </c>
      <c r="H836" s="17" t="s">
        <v>32</v>
      </c>
      <c r="I836" s="17" t="s">
        <v>893</v>
      </c>
      <c r="J836" s="17" t="s">
        <v>233</v>
      </c>
      <c r="K836" s="19"/>
      <c r="L836" s="19"/>
      <c r="M836" s="19"/>
      <c r="N836" s="19"/>
      <c r="O836" s="17" t="n">
        <v>3</v>
      </c>
      <c r="P836" s="18" t="s">
        <v>4228</v>
      </c>
      <c r="Q836" s="18" t="s">
        <v>4229</v>
      </c>
      <c r="R836" s="18" t="s">
        <v>4242</v>
      </c>
      <c r="S836" s="17" t="s">
        <v>4235</v>
      </c>
      <c r="T836" s="18" t="s">
        <v>4243</v>
      </c>
      <c r="U836" s="19"/>
      <c r="V836" s="18" t="s">
        <v>4244</v>
      </c>
      <c r="W836" s="17" t="s">
        <v>240</v>
      </c>
      <c r="X836" s="17" t="s">
        <v>4245</v>
      </c>
      <c r="Y836" s="17" t="s">
        <v>242</v>
      </c>
      <c r="Z836" s="19"/>
      <c r="AA836" s="19"/>
      <c r="AB836" s="17"/>
      <c r="AC836" s="19"/>
    </row>
    <row r="837" customFormat="false" ht="22.35" hidden="false" customHeight="false" outlineLevel="0" collapsed="false">
      <c r="A837" s="10" t="s">
        <v>4246</v>
      </c>
      <c r="B837" s="17" t="s">
        <v>60</v>
      </c>
      <c r="C837" s="18" t="s">
        <v>61</v>
      </c>
      <c r="D837" s="17" t="s">
        <v>19</v>
      </c>
      <c r="E837" s="17" t="s">
        <v>75</v>
      </c>
      <c r="F837" s="17" t="s">
        <v>3936</v>
      </c>
      <c r="G837" s="17" t="s">
        <v>4192</v>
      </c>
      <c r="H837" s="17" t="s">
        <v>32</v>
      </c>
      <c r="I837" s="17" t="s">
        <v>1413</v>
      </c>
      <c r="J837" s="17" t="s">
        <v>233</v>
      </c>
      <c r="K837" s="19"/>
      <c r="L837" s="19"/>
      <c r="M837" s="19"/>
      <c r="N837" s="19"/>
      <c r="O837" s="17" t="n">
        <v>3</v>
      </c>
      <c r="P837" s="18" t="s">
        <v>4228</v>
      </c>
      <c r="Q837" s="18" t="s">
        <v>4229</v>
      </c>
      <c r="R837" s="18" t="s">
        <v>4247</v>
      </c>
      <c r="S837" s="17" t="s">
        <v>4210</v>
      </c>
      <c r="T837" s="18" t="s">
        <v>4248</v>
      </c>
      <c r="U837" s="19"/>
      <c r="V837" s="18" t="s">
        <v>4249</v>
      </c>
      <c r="W837" s="17" t="s">
        <v>240</v>
      </c>
      <c r="X837" s="17" t="s">
        <v>4250</v>
      </c>
      <c r="Y837" s="17" t="s">
        <v>242</v>
      </c>
      <c r="Z837" s="19"/>
      <c r="AA837" s="19"/>
      <c r="AB837" s="17"/>
      <c r="AC837" s="19"/>
    </row>
    <row r="838" customFormat="false" ht="22.35" hidden="false" customHeight="false" outlineLevel="0" collapsed="false">
      <c r="A838" s="10" t="s">
        <v>4251</v>
      </c>
      <c r="B838" s="17" t="s">
        <v>60</v>
      </c>
      <c r="C838" s="18" t="s">
        <v>61</v>
      </c>
      <c r="D838" s="17" t="s">
        <v>19</v>
      </c>
      <c r="E838" s="17" t="s">
        <v>229</v>
      </c>
      <c r="F838" s="17" t="s">
        <v>3936</v>
      </c>
      <c r="G838" s="17" t="s">
        <v>4192</v>
      </c>
      <c r="H838" s="17" t="s">
        <v>32</v>
      </c>
      <c r="I838" s="17" t="s">
        <v>893</v>
      </c>
      <c r="J838" s="17" t="s">
        <v>233</v>
      </c>
      <c r="K838" s="19"/>
      <c r="L838" s="19"/>
      <c r="M838" s="19"/>
      <c r="N838" s="19"/>
      <c r="O838" s="17" t="n">
        <v>3</v>
      </c>
      <c r="P838" s="18" t="s">
        <v>4228</v>
      </c>
      <c r="Q838" s="18" t="s">
        <v>4229</v>
      </c>
      <c r="R838" s="18" t="s">
        <v>4252</v>
      </c>
      <c r="S838" s="17" t="s">
        <v>4036</v>
      </c>
      <c r="T838" s="18" t="s">
        <v>4253</v>
      </c>
      <c r="U838" s="19"/>
      <c r="V838" s="18" t="s">
        <v>4254</v>
      </c>
      <c r="W838" s="17" t="s">
        <v>240</v>
      </c>
      <c r="X838" s="17" t="s">
        <v>4040</v>
      </c>
      <c r="Y838" s="17" t="s">
        <v>242</v>
      </c>
      <c r="Z838" s="19"/>
      <c r="AA838" s="19"/>
      <c r="AB838" s="17"/>
      <c r="AC838" s="19"/>
    </row>
    <row r="839" customFormat="false" ht="22.35" hidden="false" customHeight="false" outlineLevel="0" collapsed="false">
      <c r="A839" s="10" t="s">
        <v>4255</v>
      </c>
      <c r="B839" s="17" t="s">
        <v>60</v>
      </c>
      <c r="C839" s="18" t="s">
        <v>61</v>
      </c>
      <c r="D839" s="17" t="s">
        <v>19</v>
      </c>
      <c r="E839" s="17" t="s">
        <v>75</v>
      </c>
      <c r="F839" s="17" t="s">
        <v>3936</v>
      </c>
      <c r="G839" s="17" t="s">
        <v>4192</v>
      </c>
      <c r="H839" s="17" t="s">
        <v>32</v>
      </c>
      <c r="I839" s="17" t="s">
        <v>893</v>
      </c>
      <c r="J839" s="17" t="s">
        <v>233</v>
      </c>
      <c r="K839" s="19"/>
      <c r="L839" s="19"/>
      <c r="M839" s="19"/>
      <c r="N839" s="19"/>
      <c r="O839" s="17" t="n">
        <v>3</v>
      </c>
      <c r="P839" s="18" t="s">
        <v>4228</v>
      </c>
      <c r="Q839" s="18" t="s">
        <v>4229</v>
      </c>
      <c r="R839" s="18" t="s">
        <v>4256</v>
      </c>
      <c r="S839" s="17" t="s">
        <v>4204</v>
      </c>
      <c r="T839" s="18" t="s">
        <v>4257</v>
      </c>
      <c r="U839" s="19"/>
      <c r="V839" s="18" t="s">
        <v>4258</v>
      </c>
      <c r="W839" s="17" t="s">
        <v>383</v>
      </c>
      <c r="X839" s="17" t="s">
        <v>4259</v>
      </c>
      <c r="Y839" s="17" t="s">
        <v>242</v>
      </c>
      <c r="Z839" s="19"/>
      <c r="AA839" s="19"/>
      <c r="AB839" s="17"/>
      <c r="AC839" s="19"/>
    </row>
    <row r="840" customFormat="false" ht="22.35" hidden="false" customHeight="false" outlineLevel="0" collapsed="false">
      <c r="A840" s="10" t="s">
        <v>4260</v>
      </c>
      <c r="B840" s="17" t="s">
        <v>60</v>
      </c>
      <c r="C840" s="18" t="s">
        <v>61</v>
      </c>
      <c r="D840" s="17" t="s">
        <v>19</v>
      </c>
      <c r="E840" s="17" t="s">
        <v>229</v>
      </c>
      <c r="F840" s="17" t="s">
        <v>3936</v>
      </c>
      <c r="G840" s="17" t="s">
        <v>4192</v>
      </c>
      <c r="H840" s="17" t="s">
        <v>32</v>
      </c>
      <c r="I840" s="17" t="s">
        <v>316</v>
      </c>
      <c r="J840" s="17" t="s">
        <v>233</v>
      </c>
      <c r="K840" s="19"/>
      <c r="L840" s="19"/>
      <c r="M840" s="19"/>
      <c r="N840" s="19"/>
      <c r="O840" s="17" t="n">
        <v>3</v>
      </c>
      <c r="P840" s="18" t="s">
        <v>4228</v>
      </c>
      <c r="Q840" s="18" t="s">
        <v>4229</v>
      </c>
      <c r="R840" s="18" t="s">
        <v>4261</v>
      </c>
      <c r="S840" s="17" t="s">
        <v>4262</v>
      </c>
      <c r="T840" s="18" t="s">
        <v>4263</v>
      </c>
      <c r="U840" s="19"/>
      <c r="V840" s="18" t="s">
        <v>4264</v>
      </c>
      <c r="W840" s="17" t="s">
        <v>240</v>
      </c>
      <c r="X840" s="17" t="s">
        <v>4265</v>
      </c>
      <c r="Y840" s="17" t="s">
        <v>242</v>
      </c>
      <c r="Z840" s="19"/>
      <c r="AA840" s="19"/>
      <c r="AB840" s="17"/>
      <c r="AC840" s="19"/>
    </row>
    <row r="841" customFormat="false" ht="15" hidden="false" customHeight="false" outlineLevel="0" collapsed="false">
      <c r="A841" s="10" t="s">
        <v>4266</v>
      </c>
      <c r="B841" s="17" t="s">
        <v>60</v>
      </c>
      <c r="C841" s="18" t="s">
        <v>61</v>
      </c>
      <c r="D841" s="17" t="s">
        <v>19</v>
      </c>
      <c r="E841" s="17" t="s">
        <v>75</v>
      </c>
      <c r="F841" s="17" t="s">
        <v>3936</v>
      </c>
      <c r="G841" s="17" t="s">
        <v>4192</v>
      </c>
      <c r="H841" s="17" t="s">
        <v>32</v>
      </c>
      <c r="I841" s="17" t="s">
        <v>1413</v>
      </c>
      <c r="J841" s="17" t="s">
        <v>233</v>
      </c>
      <c r="K841" s="19"/>
      <c r="L841" s="19"/>
      <c r="M841" s="19"/>
      <c r="N841" s="19"/>
      <c r="O841" s="17" t="n">
        <v>3</v>
      </c>
      <c r="P841" s="18" t="s">
        <v>4228</v>
      </c>
      <c r="Q841" s="18" t="s">
        <v>4229</v>
      </c>
      <c r="R841" s="18" t="s">
        <v>4267</v>
      </c>
      <c r="S841" s="17" t="s">
        <v>4260</v>
      </c>
      <c r="T841" s="18" t="s">
        <v>285</v>
      </c>
      <c r="U841" s="19"/>
      <c r="V841" s="18" t="s">
        <v>4226</v>
      </c>
      <c r="W841" s="17" t="s">
        <v>240</v>
      </c>
      <c r="X841" s="17" t="s">
        <v>3977</v>
      </c>
      <c r="Y841" s="17" t="s">
        <v>242</v>
      </c>
      <c r="Z841" s="19"/>
      <c r="AA841" s="19"/>
      <c r="AB841" s="17"/>
      <c r="AC841" s="19"/>
    </row>
    <row r="842" customFormat="false" ht="22.35" hidden="false" customHeight="false" outlineLevel="0" collapsed="false">
      <c r="A842" s="10" t="s">
        <v>4268</v>
      </c>
      <c r="B842" s="17" t="s">
        <v>60</v>
      </c>
      <c r="C842" s="18" t="s">
        <v>61</v>
      </c>
      <c r="D842" s="17" t="s">
        <v>19</v>
      </c>
      <c r="E842" s="17" t="s">
        <v>229</v>
      </c>
      <c r="F842" s="17" t="s">
        <v>3936</v>
      </c>
      <c r="G842" s="17" t="s">
        <v>4192</v>
      </c>
      <c r="H842" s="17" t="s">
        <v>32</v>
      </c>
      <c r="I842" s="17" t="s">
        <v>450</v>
      </c>
      <c r="J842" s="17" t="s">
        <v>233</v>
      </c>
      <c r="K842" s="19"/>
      <c r="L842" s="19"/>
      <c r="M842" s="19"/>
      <c r="N842" s="19"/>
      <c r="O842" s="17" t="n">
        <v>3</v>
      </c>
      <c r="P842" s="18" t="s">
        <v>4269</v>
      </c>
      <c r="Q842" s="18" t="s">
        <v>4270</v>
      </c>
      <c r="R842" s="18" t="s">
        <v>4271</v>
      </c>
      <c r="S842" s="17" t="s">
        <v>4272</v>
      </c>
      <c r="T842" s="18" t="s">
        <v>4273</v>
      </c>
      <c r="U842" s="19"/>
      <c r="V842" s="18" t="s">
        <v>4274</v>
      </c>
      <c r="W842" s="17" t="s">
        <v>240</v>
      </c>
      <c r="X842" s="17" t="s">
        <v>2456</v>
      </c>
      <c r="Y842" s="17" t="s">
        <v>242</v>
      </c>
      <c r="Z842" s="19"/>
      <c r="AA842" s="19"/>
      <c r="AB842" s="17"/>
      <c r="AC842" s="19"/>
    </row>
    <row r="843" customFormat="false" ht="22.35" hidden="false" customHeight="false" outlineLevel="0" collapsed="false">
      <c r="A843" s="10" t="s">
        <v>4275</v>
      </c>
      <c r="B843" s="17" t="s">
        <v>60</v>
      </c>
      <c r="C843" s="18" t="s">
        <v>61</v>
      </c>
      <c r="D843" s="17" t="s">
        <v>19</v>
      </c>
      <c r="E843" s="17" t="s">
        <v>75</v>
      </c>
      <c r="F843" s="17" t="s">
        <v>3936</v>
      </c>
      <c r="G843" s="17" t="s">
        <v>4192</v>
      </c>
      <c r="H843" s="17" t="s">
        <v>32</v>
      </c>
      <c r="I843" s="17" t="s">
        <v>450</v>
      </c>
      <c r="J843" s="17" t="s">
        <v>233</v>
      </c>
      <c r="K843" s="19"/>
      <c r="L843" s="19"/>
      <c r="M843" s="19"/>
      <c r="N843" s="19"/>
      <c r="O843" s="17" t="n">
        <v>3</v>
      </c>
      <c r="P843" s="18" t="s">
        <v>4269</v>
      </c>
      <c r="Q843" s="18" t="s">
        <v>4270</v>
      </c>
      <c r="R843" s="18" t="s">
        <v>4276</v>
      </c>
      <c r="S843" s="17" t="s">
        <v>4277</v>
      </c>
      <c r="T843" s="18" t="s">
        <v>4278</v>
      </c>
      <c r="U843" s="19"/>
      <c r="V843" s="18" t="s">
        <v>4279</v>
      </c>
      <c r="W843" s="17" t="s">
        <v>240</v>
      </c>
      <c r="X843" s="17" t="s">
        <v>4280</v>
      </c>
      <c r="Y843" s="17" t="s">
        <v>242</v>
      </c>
      <c r="Z843" s="19"/>
      <c r="AA843" s="19"/>
      <c r="AB843" s="17"/>
      <c r="AC843" s="19"/>
    </row>
    <row r="844" customFormat="false" ht="32.8" hidden="false" customHeight="false" outlineLevel="0" collapsed="false">
      <c r="A844" s="10" t="s">
        <v>4281</v>
      </c>
      <c r="B844" s="17" t="s">
        <v>60</v>
      </c>
      <c r="C844" s="18" t="s">
        <v>61</v>
      </c>
      <c r="D844" s="17" t="s">
        <v>19</v>
      </c>
      <c r="E844" s="17" t="s">
        <v>229</v>
      </c>
      <c r="F844" s="17" t="s">
        <v>3936</v>
      </c>
      <c r="G844" s="17" t="s">
        <v>4192</v>
      </c>
      <c r="H844" s="17" t="s">
        <v>32</v>
      </c>
      <c r="I844" s="17" t="s">
        <v>1413</v>
      </c>
      <c r="J844" s="17" t="s">
        <v>233</v>
      </c>
      <c r="K844" s="19"/>
      <c r="L844" s="19"/>
      <c r="M844" s="19"/>
      <c r="N844" s="19"/>
      <c r="O844" s="17" t="n">
        <v>3</v>
      </c>
      <c r="P844" s="18" t="s">
        <v>4269</v>
      </c>
      <c r="Q844" s="18" t="s">
        <v>4270</v>
      </c>
      <c r="R844" s="18" t="s">
        <v>4282</v>
      </c>
      <c r="S844" s="17" t="s">
        <v>4283</v>
      </c>
      <c r="T844" s="18" t="s">
        <v>4284</v>
      </c>
      <c r="U844" s="19"/>
      <c r="V844" s="18" t="s">
        <v>4285</v>
      </c>
      <c r="W844" s="17" t="s">
        <v>240</v>
      </c>
      <c r="X844" s="17" t="s">
        <v>4286</v>
      </c>
      <c r="Y844" s="17" t="s">
        <v>242</v>
      </c>
      <c r="Z844" s="19"/>
      <c r="AA844" s="19"/>
      <c r="AB844" s="17"/>
      <c r="AC844" s="19"/>
    </row>
    <row r="845" customFormat="false" ht="22.35" hidden="false" customHeight="false" outlineLevel="0" collapsed="false">
      <c r="A845" s="10" t="s">
        <v>4287</v>
      </c>
      <c r="B845" s="17" t="s">
        <v>60</v>
      </c>
      <c r="C845" s="18" t="s">
        <v>61</v>
      </c>
      <c r="D845" s="17" t="s">
        <v>19</v>
      </c>
      <c r="E845" s="17" t="s">
        <v>75</v>
      </c>
      <c r="F845" s="17" t="s">
        <v>3936</v>
      </c>
      <c r="G845" s="17" t="s">
        <v>4192</v>
      </c>
      <c r="H845" s="17" t="s">
        <v>32</v>
      </c>
      <c r="I845" s="17" t="s">
        <v>450</v>
      </c>
      <c r="J845" s="17" t="s">
        <v>233</v>
      </c>
      <c r="K845" s="19"/>
      <c r="L845" s="19"/>
      <c r="M845" s="19"/>
      <c r="N845" s="19"/>
      <c r="O845" s="17" t="n">
        <v>3</v>
      </c>
      <c r="P845" s="18" t="s">
        <v>4269</v>
      </c>
      <c r="Q845" s="18" t="s">
        <v>4270</v>
      </c>
      <c r="R845" s="18" t="s">
        <v>4288</v>
      </c>
      <c r="S845" s="17" t="s">
        <v>4275</v>
      </c>
      <c r="T845" s="18" t="s">
        <v>4289</v>
      </c>
      <c r="U845" s="19"/>
      <c r="V845" s="18" t="s">
        <v>4290</v>
      </c>
      <c r="W845" s="17" t="s">
        <v>383</v>
      </c>
      <c r="X845" s="17" t="s">
        <v>4291</v>
      </c>
      <c r="Y845" s="17" t="s">
        <v>242</v>
      </c>
      <c r="Z845" s="19"/>
      <c r="AA845" s="19"/>
      <c r="AB845" s="17"/>
      <c r="AC845" s="19"/>
    </row>
    <row r="846" customFormat="false" ht="22.35" hidden="false" customHeight="false" outlineLevel="0" collapsed="false">
      <c r="A846" s="10" t="s">
        <v>4292</v>
      </c>
      <c r="B846" s="17" t="s">
        <v>60</v>
      </c>
      <c r="C846" s="18" t="s">
        <v>61</v>
      </c>
      <c r="D846" s="17" t="s">
        <v>19</v>
      </c>
      <c r="E846" s="17" t="s">
        <v>75</v>
      </c>
      <c r="F846" s="17" t="s">
        <v>3936</v>
      </c>
      <c r="G846" s="17" t="s">
        <v>4192</v>
      </c>
      <c r="H846" s="17" t="s">
        <v>32</v>
      </c>
      <c r="I846" s="17" t="s">
        <v>1413</v>
      </c>
      <c r="J846" s="17" t="s">
        <v>233</v>
      </c>
      <c r="K846" s="19"/>
      <c r="L846" s="19"/>
      <c r="M846" s="19"/>
      <c r="N846" s="19"/>
      <c r="O846" s="17" t="n">
        <v>3</v>
      </c>
      <c r="P846" s="18" t="s">
        <v>4269</v>
      </c>
      <c r="Q846" s="18" t="s">
        <v>4270</v>
      </c>
      <c r="R846" s="18" t="s">
        <v>4293</v>
      </c>
      <c r="S846" s="17" t="s">
        <v>4294</v>
      </c>
      <c r="T846" s="18" t="s">
        <v>4295</v>
      </c>
      <c r="U846" s="19"/>
      <c r="V846" s="18" t="s">
        <v>4296</v>
      </c>
      <c r="W846" s="17" t="s">
        <v>240</v>
      </c>
      <c r="X846" s="17" t="s">
        <v>4297</v>
      </c>
      <c r="Y846" s="17" t="s">
        <v>242</v>
      </c>
      <c r="Z846" s="19"/>
      <c r="AA846" s="19"/>
      <c r="AB846" s="17"/>
      <c r="AC846" s="19"/>
    </row>
    <row r="847" customFormat="false" ht="32.8" hidden="false" customHeight="false" outlineLevel="0" collapsed="false">
      <c r="A847" s="10" t="s">
        <v>4298</v>
      </c>
      <c r="B847" s="17" t="s">
        <v>60</v>
      </c>
      <c r="C847" s="18" t="s">
        <v>61</v>
      </c>
      <c r="D847" s="17" t="s">
        <v>19</v>
      </c>
      <c r="E847" s="17" t="s">
        <v>229</v>
      </c>
      <c r="F847" s="17" t="s">
        <v>3936</v>
      </c>
      <c r="G847" s="17" t="s">
        <v>4192</v>
      </c>
      <c r="H847" s="17" t="s">
        <v>32</v>
      </c>
      <c r="I847" s="17" t="s">
        <v>316</v>
      </c>
      <c r="J847" s="17" t="s">
        <v>233</v>
      </c>
      <c r="K847" s="19"/>
      <c r="L847" s="19"/>
      <c r="M847" s="19"/>
      <c r="N847" s="19"/>
      <c r="O847" s="17" t="n">
        <v>3</v>
      </c>
      <c r="P847" s="18" t="s">
        <v>4269</v>
      </c>
      <c r="Q847" s="18" t="s">
        <v>4270</v>
      </c>
      <c r="R847" s="18" t="s">
        <v>4299</v>
      </c>
      <c r="S847" s="17" t="s">
        <v>4300</v>
      </c>
      <c r="T847" s="18" t="s">
        <v>4301</v>
      </c>
      <c r="U847" s="19"/>
      <c r="V847" s="18" t="s">
        <v>4302</v>
      </c>
      <c r="W847" s="17" t="s">
        <v>240</v>
      </c>
      <c r="X847" s="17" t="s">
        <v>4303</v>
      </c>
      <c r="Y847" s="17" t="s">
        <v>242</v>
      </c>
      <c r="Z847" s="19"/>
      <c r="AA847" s="19"/>
      <c r="AB847" s="17"/>
      <c r="AC847" s="19"/>
    </row>
    <row r="848" customFormat="false" ht="22.35" hidden="false" customHeight="false" outlineLevel="0" collapsed="false">
      <c r="A848" s="10" t="s">
        <v>4304</v>
      </c>
      <c r="B848" s="17" t="s">
        <v>60</v>
      </c>
      <c r="C848" s="18" t="s">
        <v>61</v>
      </c>
      <c r="D848" s="17" t="s">
        <v>19</v>
      </c>
      <c r="E848" s="17" t="s">
        <v>75</v>
      </c>
      <c r="F848" s="17" t="s">
        <v>3936</v>
      </c>
      <c r="G848" s="17" t="s">
        <v>4192</v>
      </c>
      <c r="H848" s="17" t="s">
        <v>32</v>
      </c>
      <c r="I848" s="17" t="s">
        <v>450</v>
      </c>
      <c r="J848" s="17" t="s">
        <v>233</v>
      </c>
      <c r="K848" s="19"/>
      <c r="L848" s="19"/>
      <c r="M848" s="19"/>
      <c r="N848" s="19"/>
      <c r="O848" s="17" t="n">
        <v>3</v>
      </c>
      <c r="P848" s="18" t="s">
        <v>4269</v>
      </c>
      <c r="Q848" s="18" t="s">
        <v>4270</v>
      </c>
      <c r="R848" s="18" t="s">
        <v>4305</v>
      </c>
      <c r="S848" s="17" t="s">
        <v>4152</v>
      </c>
      <c r="T848" s="18" t="s">
        <v>4306</v>
      </c>
      <c r="U848" s="19"/>
      <c r="V848" s="18" t="s">
        <v>4307</v>
      </c>
      <c r="W848" s="17" t="s">
        <v>240</v>
      </c>
      <c r="X848" s="17" t="s">
        <v>4308</v>
      </c>
      <c r="Y848" s="17" t="s">
        <v>242</v>
      </c>
      <c r="Z848" s="19"/>
      <c r="AA848" s="19"/>
      <c r="AB848" s="17"/>
      <c r="AC848" s="19"/>
    </row>
    <row r="849" customFormat="false" ht="22.35" hidden="false" customHeight="false" outlineLevel="0" collapsed="false">
      <c r="A849" s="10" t="s">
        <v>4309</v>
      </c>
      <c r="B849" s="17" t="s">
        <v>60</v>
      </c>
      <c r="C849" s="18" t="s">
        <v>61</v>
      </c>
      <c r="D849" s="17" t="s">
        <v>19</v>
      </c>
      <c r="E849" s="17" t="s">
        <v>75</v>
      </c>
      <c r="F849" s="17" t="s">
        <v>3936</v>
      </c>
      <c r="G849" s="17" t="s">
        <v>4192</v>
      </c>
      <c r="H849" s="17" t="s">
        <v>32</v>
      </c>
      <c r="I849" s="17" t="s">
        <v>450</v>
      </c>
      <c r="J849" s="17" t="s">
        <v>233</v>
      </c>
      <c r="K849" s="19"/>
      <c r="L849" s="19"/>
      <c r="M849" s="19"/>
      <c r="N849" s="19"/>
      <c r="O849" s="17" t="n">
        <v>3</v>
      </c>
      <c r="P849" s="18" t="s">
        <v>4269</v>
      </c>
      <c r="Q849" s="18" t="s">
        <v>4270</v>
      </c>
      <c r="R849" s="18" t="s">
        <v>4310</v>
      </c>
      <c r="S849" s="17" t="s">
        <v>4304</v>
      </c>
      <c r="T849" s="18" t="s">
        <v>285</v>
      </c>
      <c r="U849" s="19"/>
      <c r="V849" s="18" t="s">
        <v>4226</v>
      </c>
      <c r="W849" s="17" t="s">
        <v>240</v>
      </c>
      <c r="X849" s="17" t="s">
        <v>3977</v>
      </c>
      <c r="Y849" s="17" t="s">
        <v>242</v>
      </c>
      <c r="Z849" s="19"/>
      <c r="AA849" s="19"/>
      <c r="AB849" s="17"/>
      <c r="AC849" s="19"/>
    </row>
    <row r="850" customFormat="false" ht="22.35" hidden="false" customHeight="false" outlineLevel="0" collapsed="false">
      <c r="A850" s="10" t="s">
        <v>4311</v>
      </c>
      <c r="B850" s="17" t="s">
        <v>60</v>
      </c>
      <c r="C850" s="18" t="s">
        <v>61</v>
      </c>
      <c r="D850" s="17" t="s">
        <v>19</v>
      </c>
      <c r="E850" s="17" t="s">
        <v>229</v>
      </c>
      <c r="F850" s="17" t="s">
        <v>3936</v>
      </c>
      <c r="G850" s="17" t="s">
        <v>4192</v>
      </c>
      <c r="H850" s="17" t="s">
        <v>32</v>
      </c>
      <c r="I850" s="17" t="s">
        <v>333</v>
      </c>
      <c r="J850" s="17" t="s">
        <v>233</v>
      </c>
      <c r="K850" s="19"/>
      <c r="L850" s="19"/>
      <c r="M850" s="19"/>
      <c r="N850" s="19"/>
      <c r="O850" s="17" t="n">
        <v>3</v>
      </c>
      <c r="P850" s="18" t="s">
        <v>4312</v>
      </c>
      <c r="Q850" s="18" t="s">
        <v>4313</v>
      </c>
      <c r="R850" s="18" t="s">
        <v>4314</v>
      </c>
      <c r="S850" s="17" t="s">
        <v>4315</v>
      </c>
      <c r="T850" s="18" t="s">
        <v>4316</v>
      </c>
      <c r="U850" s="19"/>
      <c r="V850" s="18" t="s">
        <v>4317</v>
      </c>
      <c r="W850" s="17" t="s">
        <v>240</v>
      </c>
      <c r="X850" s="17" t="s">
        <v>4318</v>
      </c>
      <c r="Y850" s="17" t="s">
        <v>242</v>
      </c>
      <c r="Z850" s="19"/>
      <c r="AA850" s="19"/>
      <c r="AB850" s="17"/>
      <c r="AC850" s="19"/>
    </row>
    <row r="851" customFormat="false" ht="22.35" hidden="false" customHeight="false" outlineLevel="0" collapsed="false">
      <c r="A851" s="10" t="s">
        <v>4319</v>
      </c>
      <c r="B851" s="17" t="s">
        <v>60</v>
      </c>
      <c r="C851" s="18" t="s">
        <v>61</v>
      </c>
      <c r="D851" s="17" t="s">
        <v>19</v>
      </c>
      <c r="E851" s="17" t="s">
        <v>229</v>
      </c>
      <c r="F851" s="17" t="s">
        <v>3936</v>
      </c>
      <c r="G851" s="17" t="s">
        <v>4192</v>
      </c>
      <c r="H851" s="17" t="s">
        <v>32</v>
      </c>
      <c r="I851" s="17" t="s">
        <v>333</v>
      </c>
      <c r="J851" s="17" t="s">
        <v>233</v>
      </c>
      <c r="K851" s="19"/>
      <c r="L851" s="19"/>
      <c r="M851" s="19"/>
      <c r="N851" s="19"/>
      <c r="O851" s="17" t="n">
        <v>3</v>
      </c>
      <c r="P851" s="18" t="s">
        <v>4312</v>
      </c>
      <c r="Q851" s="18" t="s">
        <v>4313</v>
      </c>
      <c r="R851" s="18" t="s">
        <v>4320</v>
      </c>
      <c r="S851" s="17" t="s">
        <v>4321</v>
      </c>
      <c r="T851" s="18" t="s">
        <v>4138</v>
      </c>
      <c r="U851" s="19"/>
      <c r="V851" s="18" t="s">
        <v>4322</v>
      </c>
      <c r="W851" s="17" t="s">
        <v>240</v>
      </c>
      <c r="X851" s="17" t="s">
        <v>4323</v>
      </c>
      <c r="Y851" s="17" t="s">
        <v>242</v>
      </c>
      <c r="Z851" s="19"/>
      <c r="AA851" s="19"/>
      <c r="AB851" s="17"/>
      <c r="AC851" s="19"/>
    </row>
    <row r="852" customFormat="false" ht="22.35" hidden="false" customHeight="false" outlineLevel="0" collapsed="false">
      <c r="A852" s="10" t="s">
        <v>4324</v>
      </c>
      <c r="B852" s="17" t="s">
        <v>60</v>
      </c>
      <c r="C852" s="18" t="s">
        <v>61</v>
      </c>
      <c r="D852" s="17" t="s">
        <v>19</v>
      </c>
      <c r="E852" s="17" t="s">
        <v>75</v>
      </c>
      <c r="F852" s="17" t="s">
        <v>3936</v>
      </c>
      <c r="G852" s="17" t="s">
        <v>4192</v>
      </c>
      <c r="H852" s="17" t="s">
        <v>32</v>
      </c>
      <c r="I852" s="17" t="s">
        <v>333</v>
      </c>
      <c r="J852" s="17" t="s">
        <v>233</v>
      </c>
      <c r="K852" s="19"/>
      <c r="L852" s="19"/>
      <c r="M852" s="19"/>
      <c r="N852" s="19"/>
      <c r="O852" s="17" t="n">
        <v>3</v>
      </c>
      <c r="P852" s="18" t="s">
        <v>4312</v>
      </c>
      <c r="Q852" s="18" t="s">
        <v>4313</v>
      </c>
      <c r="R852" s="18" t="s">
        <v>4325</v>
      </c>
      <c r="S852" s="17" t="s">
        <v>4227</v>
      </c>
      <c r="T852" s="18" t="s">
        <v>4326</v>
      </c>
      <c r="U852" s="19"/>
      <c r="V852" s="18" t="s">
        <v>4327</v>
      </c>
      <c r="W852" s="17" t="s">
        <v>240</v>
      </c>
      <c r="X852" s="17" t="s">
        <v>4328</v>
      </c>
      <c r="Y852" s="17" t="s">
        <v>242</v>
      </c>
      <c r="Z852" s="19"/>
      <c r="AA852" s="19"/>
      <c r="AB852" s="17"/>
      <c r="AC852" s="19"/>
    </row>
    <row r="853" customFormat="false" ht="22.35" hidden="false" customHeight="false" outlineLevel="0" collapsed="false">
      <c r="A853" s="10" t="s">
        <v>4329</v>
      </c>
      <c r="B853" s="17" t="s">
        <v>60</v>
      </c>
      <c r="C853" s="18" t="s">
        <v>61</v>
      </c>
      <c r="D853" s="17" t="s">
        <v>19</v>
      </c>
      <c r="E853" s="17" t="s">
        <v>229</v>
      </c>
      <c r="F853" s="17" t="s">
        <v>3936</v>
      </c>
      <c r="G853" s="17" t="s">
        <v>4192</v>
      </c>
      <c r="H853" s="17" t="s">
        <v>32</v>
      </c>
      <c r="I853" s="17" t="s">
        <v>1413</v>
      </c>
      <c r="J853" s="17" t="s">
        <v>233</v>
      </c>
      <c r="K853" s="19"/>
      <c r="L853" s="19"/>
      <c r="M853" s="19"/>
      <c r="N853" s="19"/>
      <c r="O853" s="17" t="n">
        <v>3</v>
      </c>
      <c r="P853" s="18" t="s">
        <v>4312</v>
      </c>
      <c r="Q853" s="18" t="s">
        <v>4313</v>
      </c>
      <c r="R853" s="18" t="s">
        <v>4330</v>
      </c>
      <c r="S853" s="17" t="s">
        <v>4083</v>
      </c>
      <c r="T853" s="18" t="s">
        <v>4331</v>
      </c>
      <c r="U853" s="19"/>
      <c r="V853" s="18" t="s">
        <v>4332</v>
      </c>
      <c r="W853" s="17" t="s">
        <v>240</v>
      </c>
      <c r="X853" s="17" t="s">
        <v>4333</v>
      </c>
      <c r="Y853" s="17" t="s">
        <v>242</v>
      </c>
      <c r="Z853" s="19"/>
      <c r="AA853" s="19"/>
      <c r="AB853" s="17"/>
      <c r="AC853" s="19"/>
    </row>
    <row r="854" customFormat="false" ht="22.35" hidden="false" customHeight="false" outlineLevel="0" collapsed="false">
      <c r="A854" s="10" t="s">
        <v>4334</v>
      </c>
      <c r="B854" s="17" t="s">
        <v>60</v>
      </c>
      <c r="C854" s="18" t="s">
        <v>61</v>
      </c>
      <c r="D854" s="17" t="s">
        <v>19</v>
      </c>
      <c r="E854" s="17" t="s">
        <v>229</v>
      </c>
      <c r="F854" s="17" t="s">
        <v>3936</v>
      </c>
      <c r="G854" s="17" t="s">
        <v>4192</v>
      </c>
      <c r="H854" s="17" t="s">
        <v>32</v>
      </c>
      <c r="I854" s="17" t="s">
        <v>1413</v>
      </c>
      <c r="J854" s="17" t="s">
        <v>233</v>
      </c>
      <c r="K854" s="19"/>
      <c r="L854" s="19"/>
      <c r="M854" s="19"/>
      <c r="N854" s="19"/>
      <c r="O854" s="17" t="n">
        <v>3</v>
      </c>
      <c r="P854" s="18" t="s">
        <v>4312</v>
      </c>
      <c r="Q854" s="18" t="s">
        <v>4313</v>
      </c>
      <c r="R854" s="18" t="s">
        <v>4335</v>
      </c>
      <c r="S854" s="17" t="s">
        <v>4329</v>
      </c>
      <c r="T854" s="18" t="s">
        <v>4336</v>
      </c>
      <c r="U854" s="19"/>
      <c r="V854" s="18" t="s">
        <v>4337</v>
      </c>
      <c r="W854" s="17" t="s">
        <v>240</v>
      </c>
      <c r="X854" s="17" t="s">
        <v>4333</v>
      </c>
      <c r="Y854" s="17" t="s">
        <v>242</v>
      </c>
      <c r="Z854" s="19"/>
      <c r="AA854" s="19"/>
      <c r="AB854" s="17"/>
      <c r="AC854" s="19"/>
    </row>
    <row r="855" customFormat="false" ht="22.35" hidden="false" customHeight="false" outlineLevel="0" collapsed="false">
      <c r="A855" s="10" t="s">
        <v>4338</v>
      </c>
      <c r="B855" s="17" t="s">
        <v>60</v>
      </c>
      <c r="C855" s="18" t="s">
        <v>61</v>
      </c>
      <c r="D855" s="17" t="s">
        <v>19</v>
      </c>
      <c r="E855" s="17" t="s">
        <v>75</v>
      </c>
      <c r="F855" s="17" t="s">
        <v>3936</v>
      </c>
      <c r="G855" s="17" t="s">
        <v>4192</v>
      </c>
      <c r="H855" s="17" t="s">
        <v>32</v>
      </c>
      <c r="I855" s="17" t="s">
        <v>333</v>
      </c>
      <c r="J855" s="17" t="s">
        <v>233</v>
      </c>
      <c r="K855" s="19"/>
      <c r="L855" s="19"/>
      <c r="M855" s="19"/>
      <c r="N855" s="19"/>
      <c r="O855" s="17" t="n">
        <v>3</v>
      </c>
      <c r="P855" s="18" t="s">
        <v>4312</v>
      </c>
      <c r="Q855" s="18" t="s">
        <v>4313</v>
      </c>
      <c r="R855" s="18" t="s">
        <v>4339</v>
      </c>
      <c r="S855" s="17" t="s">
        <v>4311</v>
      </c>
      <c r="T855" s="18" t="s">
        <v>4340</v>
      </c>
      <c r="U855" s="19"/>
      <c r="V855" s="18" t="s">
        <v>4341</v>
      </c>
      <c r="W855" s="17" t="s">
        <v>240</v>
      </c>
      <c r="X855" s="17" t="s">
        <v>4342</v>
      </c>
      <c r="Y855" s="17" t="s">
        <v>242</v>
      </c>
      <c r="Z855" s="19"/>
      <c r="AA855" s="19"/>
      <c r="AB855" s="17"/>
      <c r="AC855" s="19"/>
    </row>
    <row r="856" customFormat="false" ht="15" hidden="false" customHeight="false" outlineLevel="0" collapsed="false">
      <c r="A856" s="10" t="s">
        <v>4343</v>
      </c>
      <c r="B856" s="17" t="s">
        <v>60</v>
      </c>
      <c r="C856" s="18" t="s">
        <v>61</v>
      </c>
      <c r="D856" s="17" t="s">
        <v>19</v>
      </c>
      <c r="E856" s="17" t="s">
        <v>75</v>
      </c>
      <c r="F856" s="17" t="s">
        <v>3936</v>
      </c>
      <c r="G856" s="17" t="s">
        <v>4192</v>
      </c>
      <c r="H856" s="17" t="s">
        <v>32</v>
      </c>
      <c r="I856" s="17" t="s">
        <v>333</v>
      </c>
      <c r="J856" s="17" t="s">
        <v>233</v>
      </c>
      <c r="K856" s="19"/>
      <c r="L856" s="19"/>
      <c r="M856" s="19"/>
      <c r="N856" s="19"/>
      <c r="O856" s="17" t="n">
        <v>3</v>
      </c>
      <c r="P856" s="18" t="s">
        <v>4312</v>
      </c>
      <c r="Q856" s="18" t="s">
        <v>4313</v>
      </c>
      <c r="R856" s="18" t="s">
        <v>4344</v>
      </c>
      <c r="S856" s="17" t="s">
        <v>4338</v>
      </c>
      <c r="T856" s="18" t="s">
        <v>285</v>
      </c>
      <c r="U856" s="19"/>
      <c r="V856" s="18" t="s">
        <v>4226</v>
      </c>
      <c r="W856" s="17" t="s">
        <v>240</v>
      </c>
      <c r="X856" s="17" t="s">
        <v>3977</v>
      </c>
      <c r="Y856" s="17" t="s">
        <v>242</v>
      </c>
      <c r="Z856" s="19"/>
      <c r="AA856" s="19"/>
      <c r="AB856" s="17"/>
      <c r="AC856" s="19"/>
    </row>
    <row r="857" customFormat="false" ht="32.8" hidden="false" customHeight="false" outlineLevel="0" collapsed="false">
      <c r="A857" s="10" t="s">
        <v>4345</v>
      </c>
      <c r="B857" s="17" t="s">
        <v>60</v>
      </c>
      <c r="C857" s="18" t="s">
        <v>61</v>
      </c>
      <c r="D857" s="17" t="s">
        <v>19</v>
      </c>
      <c r="E857" s="17" t="s">
        <v>229</v>
      </c>
      <c r="F857" s="17" t="s">
        <v>3936</v>
      </c>
      <c r="G857" s="17" t="s">
        <v>4192</v>
      </c>
      <c r="H857" s="17" t="s">
        <v>32</v>
      </c>
      <c r="I857" s="17" t="s">
        <v>1413</v>
      </c>
      <c r="J857" s="17" t="s">
        <v>233</v>
      </c>
      <c r="K857" s="19"/>
      <c r="L857" s="19"/>
      <c r="M857" s="19"/>
      <c r="N857" s="19"/>
      <c r="O857" s="17" t="n">
        <v>3</v>
      </c>
      <c r="P857" s="18" t="s">
        <v>4346</v>
      </c>
      <c r="Q857" s="18" t="s">
        <v>4347</v>
      </c>
      <c r="R857" s="18" t="s">
        <v>4348</v>
      </c>
      <c r="S857" s="17" t="s">
        <v>4349</v>
      </c>
      <c r="T857" s="18" t="s">
        <v>4350</v>
      </c>
      <c r="U857" s="19"/>
      <c r="V857" s="18" t="s">
        <v>4351</v>
      </c>
      <c r="W857" s="17" t="s">
        <v>240</v>
      </c>
      <c r="X857" s="17" t="s">
        <v>4352</v>
      </c>
      <c r="Y857" s="17" t="s">
        <v>242</v>
      </c>
      <c r="Z857" s="19"/>
      <c r="AA857" s="19"/>
      <c r="AB857" s="17"/>
      <c r="AC857" s="19"/>
    </row>
    <row r="858" customFormat="false" ht="32.8" hidden="false" customHeight="false" outlineLevel="0" collapsed="false">
      <c r="A858" s="10" t="s">
        <v>4353</v>
      </c>
      <c r="B858" s="17" t="s">
        <v>60</v>
      </c>
      <c r="C858" s="18" t="s">
        <v>61</v>
      </c>
      <c r="D858" s="17" t="s">
        <v>19</v>
      </c>
      <c r="E858" s="17" t="s">
        <v>229</v>
      </c>
      <c r="F858" s="17" t="s">
        <v>3936</v>
      </c>
      <c r="G858" s="17" t="s">
        <v>4192</v>
      </c>
      <c r="H858" s="17" t="s">
        <v>32</v>
      </c>
      <c r="I858" s="17" t="s">
        <v>277</v>
      </c>
      <c r="J858" s="17" t="s">
        <v>233</v>
      </c>
      <c r="K858" s="19"/>
      <c r="L858" s="19"/>
      <c r="M858" s="19"/>
      <c r="N858" s="19"/>
      <c r="O858" s="17" t="n">
        <v>3</v>
      </c>
      <c r="P858" s="18" t="s">
        <v>4346</v>
      </c>
      <c r="Q858" s="18" t="s">
        <v>4347</v>
      </c>
      <c r="R858" s="18" t="s">
        <v>4354</v>
      </c>
      <c r="S858" s="17" t="s">
        <v>4355</v>
      </c>
      <c r="T858" s="18" t="s">
        <v>4356</v>
      </c>
      <c r="U858" s="19"/>
      <c r="V858" s="18" t="s">
        <v>4357</v>
      </c>
      <c r="W858" s="17" t="s">
        <v>240</v>
      </c>
      <c r="X858" s="17" t="s">
        <v>4358</v>
      </c>
      <c r="Y858" s="17" t="s">
        <v>242</v>
      </c>
      <c r="Z858" s="19"/>
      <c r="AA858" s="19"/>
      <c r="AB858" s="17"/>
      <c r="AC858" s="19"/>
    </row>
    <row r="859" customFormat="false" ht="22.35" hidden="false" customHeight="false" outlineLevel="0" collapsed="false">
      <c r="A859" s="10" t="s">
        <v>4359</v>
      </c>
      <c r="B859" s="17" t="s">
        <v>60</v>
      </c>
      <c r="C859" s="18" t="s">
        <v>61</v>
      </c>
      <c r="D859" s="17" t="s">
        <v>19</v>
      </c>
      <c r="E859" s="17" t="s">
        <v>75</v>
      </c>
      <c r="F859" s="17" t="s">
        <v>3936</v>
      </c>
      <c r="G859" s="17" t="s">
        <v>4192</v>
      </c>
      <c r="H859" s="17" t="s">
        <v>32</v>
      </c>
      <c r="I859" s="17" t="s">
        <v>277</v>
      </c>
      <c r="J859" s="17" t="s">
        <v>233</v>
      </c>
      <c r="K859" s="19"/>
      <c r="L859" s="19"/>
      <c r="M859" s="19"/>
      <c r="N859" s="19"/>
      <c r="O859" s="17" t="n">
        <v>3</v>
      </c>
      <c r="P859" s="18" t="s">
        <v>4346</v>
      </c>
      <c r="Q859" s="18" t="s">
        <v>4347</v>
      </c>
      <c r="R859" s="18" t="s">
        <v>4360</v>
      </c>
      <c r="S859" s="17" t="s">
        <v>4062</v>
      </c>
      <c r="T859" s="18" t="s">
        <v>4361</v>
      </c>
      <c r="U859" s="19"/>
      <c r="V859" s="18" t="s">
        <v>4362</v>
      </c>
      <c r="W859" s="17" t="s">
        <v>383</v>
      </c>
      <c r="X859" s="17" t="s">
        <v>4363</v>
      </c>
      <c r="Y859" s="17" t="s">
        <v>242</v>
      </c>
      <c r="Z859" s="19"/>
      <c r="AA859" s="19"/>
      <c r="AB859" s="17"/>
      <c r="AC859" s="19"/>
    </row>
    <row r="860" customFormat="false" ht="22.35" hidden="false" customHeight="false" outlineLevel="0" collapsed="false">
      <c r="A860" s="10" t="s">
        <v>4364</v>
      </c>
      <c r="B860" s="17" t="s">
        <v>60</v>
      </c>
      <c r="C860" s="18" t="s">
        <v>61</v>
      </c>
      <c r="D860" s="17" t="s">
        <v>19</v>
      </c>
      <c r="E860" s="17" t="s">
        <v>244</v>
      </c>
      <c r="F860" s="17" t="s">
        <v>3936</v>
      </c>
      <c r="G860" s="17" t="s">
        <v>4192</v>
      </c>
      <c r="H860" s="17" t="s">
        <v>32</v>
      </c>
      <c r="I860" s="17" t="s">
        <v>928</v>
      </c>
      <c r="J860" s="17" t="s">
        <v>233</v>
      </c>
      <c r="K860" s="19"/>
      <c r="L860" s="19"/>
      <c r="M860" s="19"/>
      <c r="N860" s="19"/>
      <c r="O860" s="17" t="n">
        <v>3</v>
      </c>
      <c r="P860" s="18" t="s">
        <v>4346</v>
      </c>
      <c r="Q860" s="18" t="s">
        <v>4347</v>
      </c>
      <c r="R860" s="18" t="s">
        <v>4365</v>
      </c>
      <c r="S860" s="17" t="s">
        <v>4120</v>
      </c>
      <c r="T860" s="18" t="s">
        <v>4366</v>
      </c>
      <c r="U860" s="19"/>
      <c r="V860" s="18" t="s">
        <v>4367</v>
      </c>
      <c r="W860" s="17" t="s">
        <v>383</v>
      </c>
      <c r="X860" s="17" t="s">
        <v>4124</v>
      </c>
      <c r="Y860" s="17" t="s">
        <v>242</v>
      </c>
      <c r="Z860" s="19"/>
      <c r="AA860" s="19"/>
      <c r="AB860" s="17"/>
      <c r="AC860" s="19"/>
    </row>
    <row r="861" customFormat="false" ht="22.35" hidden="false" customHeight="false" outlineLevel="0" collapsed="false">
      <c r="A861" s="10" t="s">
        <v>4368</v>
      </c>
      <c r="B861" s="17" t="s">
        <v>60</v>
      </c>
      <c r="C861" s="18" t="s">
        <v>61</v>
      </c>
      <c r="D861" s="17" t="s">
        <v>19</v>
      </c>
      <c r="E861" s="17" t="s">
        <v>244</v>
      </c>
      <c r="F861" s="17" t="s">
        <v>3936</v>
      </c>
      <c r="G861" s="17" t="s">
        <v>4192</v>
      </c>
      <c r="H861" s="17" t="s">
        <v>32</v>
      </c>
      <c r="I861" s="17" t="s">
        <v>283</v>
      </c>
      <c r="J861" s="17" t="s">
        <v>233</v>
      </c>
      <c r="K861" s="19"/>
      <c r="L861" s="19"/>
      <c r="M861" s="19"/>
      <c r="N861" s="19"/>
      <c r="O861" s="17" t="n">
        <v>3</v>
      </c>
      <c r="P861" s="18" t="s">
        <v>4346</v>
      </c>
      <c r="Q861" s="18" t="s">
        <v>4347</v>
      </c>
      <c r="R861" s="18" t="s">
        <v>4369</v>
      </c>
      <c r="S861" s="17" t="s">
        <v>4370</v>
      </c>
      <c r="T861" s="18" t="s">
        <v>4371</v>
      </c>
      <c r="U861" s="19"/>
      <c r="V861" s="18" t="s">
        <v>4372</v>
      </c>
      <c r="W861" s="17" t="s">
        <v>240</v>
      </c>
      <c r="X861" s="17" t="s">
        <v>4373</v>
      </c>
      <c r="Y861" s="17" t="s">
        <v>242</v>
      </c>
      <c r="Z861" s="19"/>
      <c r="AA861" s="19"/>
      <c r="AB861" s="17"/>
      <c r="AC861" s="19"/>
    </row>
    <row r="862" customFormat="false" ht="32.8" hidden="false" customHeight="false" outlineLevel="0" collapsed="false">
      <c r="A862" s="10" t="s">
        <v>4374</v>
      </c>
      <c r="B862" s="17" t="s">
        <v>60</v>
      </c>
      <c r="C862" s="18" t="s">
        <v>61</v>
      </c>
      <c r="D862" s="17" t="s">
        <v>19</v>
      </c>
      <c r="E862" s="17" t="s">
        <v>229</v>
      </c>
      <c r="F862" s="17" t="s">
        <v>3936</v>
      </c>
      <c r="G862" s="17" t="s">
        <v>4192</v>
      </c>
      <c r="H862" s="17" t="s">
        <v>32</v>
      </c>
      <c r="I862" s="17" t="s">
        <v>289</v>
      </c>
      <c r="J862" s="17" t="s">
        <v>233</v>
      </c>
      <c r="K862" s="19"/>
      <c r="L862" s="19"/>
      <c r="M862" s="19"/>
      <c r="N862" s="19"/>
      <c r="O862" s="17" t="n">
        <v>3</v>
      </c>
      <c r="P862" s="18" t="s">
        <v>4346</v>
      </c>
      <c r="Q862" s="18" t="s">
        <v>4347</v>
      </c>
      <c r="R862" s="18" t="s">
        <v>4375</v>
      </c>
      <c r="S862" s="17" t="s">
        <v>4376</v>
      </c>
      <c r="T862" s="18" t="s">
        <v>4377</v>
      </c>
      <c r="U862" s="19"/>
      <c r="V862" s="18" t="s">
        <v>4378</v>
      </c>
      <c r="W862" s="17" t="s">
        <v>240</v>
      </c>
      <c r="X862" s="17" t="s">
        <v>4379</v>
      </c>
      <c r="Y862" s="17" t="s">
        <v>242</v>
      </c>
      <c r="Z862" s="19"/>
      <c r="AA862" s="19"/>
      <c r="AB862" s="17"/>
      <c r="AC862" s="19"/>
    </row>
    <row r="863" customFormat="false" ht="22.35" hidden="false" customHeight="false" outlineLevel="0" collapsed="false">
      <c r="A863" s="10" t="s">
        <v>4380</v>
      </c>
      <c r="B863" s="17" t="s">
        <v>60</v>
      </c>
      <c r="C863" s="18" t="s">
        <v>61</v>
      </c>
      <c r="D863" s="17" t="s">
        <v>19</v>
      </c>
      <c r="E863" s="17" t="s">
        <v>75</v>
      </c>
      <c r="F863" s="17" t="s">
        <v>3936</v>
      </c>
      <c r="G863" s="17" t="s">
        <v>4192</v>
      </c>
      <c r="H863" s="17" t="s">
        <v>32</v>
      </c>
      <c r="I863" s="17" t="s">
        <v>283</v>
      </c>
      <c r="J863" s="17" t="s">
        <v>233</v>
      </c>
      <c r="K863" s="19"/>
      <c r="L863" s="19"/>
      <c r="M863" s="19"/>
      <c r="N863" s="19"/>
      <c r="O863" s="17" t="n">
        <v>3</v>
      </c>
      <c r="P863" s="18" t="s">
        <v>4346</v>
      </c>
      <c r="Q863" s="18" t="s">
        <v>4347</v>
      </c>
      <c r="R863" s="18" t="s">
        <v>4381</v>
      </c>
      <c r="S863" s="17" t="s">
        <v>4374</v>
      </c>
      <c r="T863" s="18" t="s">
        <v>285</v>
      </c>
      <c r="U863" s="19"/>
      <c r="V863" s="18" t="s">
        <v>4226</v>
      </c>
      <c r="W863" s="17" t="s">
        <v>240</v>
      </c>
      <c r="X863" s="17" t="s">
        <v>3977</v>
      </c>
      <c r="Y863" s="17" t="s">
        <v>242</v>
      </c>
      <c r="Z863" s="19"/>
      <c r="AA863" s="19"/>
      <c r="AB863" s="17"/>
      <c r="AC863" s="19"/>
    </row>
    <row r="864" customFormat="false" ht="22.35" hidden="false" customHeight="false" outlineLevel="0" collapsed="false">
      <c r="A864" s="10" t="s">
        <v>4382</v>
      </c>
      <c r="B864" s="17" t="s">
        <v>60</v>
      </c>
      <c r="C864" s="18" t="s">
        <v>61</v>
      </c>
      <c r="D864" s="17" t="s">
        <v>19</v>
      </c>
      <c r="E864" s="17" t="s">
        <v>75</v>
      </c>
      <c r="F864" s="17" t="s">
        <v>3936</v>
      </c>
      <c r="G864" s="17" t="s">
        <v>4192</v>
      </c>
      <c r="H864" s="17" t="s">
        <v>32</v>
      </c>
      <c r="I864" s="17" t="s">
        <v>1413</v>
      </c>
      <c r="J864" s="17" t="s">
        <v>233</v>
      </c>
      <c r="K864" s="19"/>
      <c r="L864" s="19"/>
      <c r="M864" s="19"/>
      <c r="N864" s="19"/>
      <c r="O864" s="17" t="n">
        <v>3</v>
      </c>
      <c r="P864" s="18" t="s">
        <v>4383</v>
      </c>
      <c r="Q864" s="18" t="s">
        <v>4384</v>
      </c>
      <c r="R864" s="18" t="s">
        <v>4385</v>
      </c>
      <c r="S864" s="17" t="s">
        <v>4386</v>
      </c>
      <c r="T864" s="18" t="s">
        <v>4387</v>
      </c>
      <c r="U864" s="19"/>
      <c r="V864" s="18" t="s">
        <v>4388</v>
      </c>
      <c r="W864" s="17" t="s">
        <v>240</v>
      </c>
      <c r="X864" s="17" t="s">
        <v>4119</v>
      </c>
      <c r="Y864" s="17" t="s">
        <v>242</v>
      </c>
      <c r="Z864" s="19"/>
      <c r="AA864" s="19"/>
      <c r="AB864" s="17"/>
      <c r="AC864" s="19"/>
    </row>
    <row r="865" customFormat="false" ht="22.35" hidden="false" customHeight="false" outlineLevel="0" collapsed="false">
      <c r="A865" s="10" t="s">
        <v>4389</v>
      </c>
      <c r="B865" s="17" t="s">
        <v>60</v>
      </c>
      <c r="C865" s="18" t="s">
        <v>61</v>
      </c>
      <c r="D865" s="17" t="s">
        <v>19</v>
      </c>
      <c r="E865" s="17" t="s">
        <v>75</v>
      </c>
      <c r="F865" s="17" t="s">
        <v>3936</v>
      </c>
      <c r="G865" s="17" t="s">
        <v>4192</v>
      </c>
      <c r="H865" s="17" t="s">
        <v>32</v>
      </c>
      <c r="I865" s="17" t="s">
        <v>289</v>
      </c>
      <c r="J865" s="17" t="s">
        <v>233</v>
      </c>
      <c r="K865" s="19"/>
      <c r="L865" s="19"/>
      <c r="M865" s="19"/>
      <c r="N865" s="19"/>
      <c r="O865" s="17" t="n">
        <v>3</v>
      </c>
      <c r="P865" s="18" t="s">
        <v>4383</v>
      </c>
      <c r="Q865" s="18" t="s">
        <v>4384</v>
      </c>
      <c r="R865" s="18" t="s">
        <v>4390</v>
      </c>
      <c r="S865" s="17" t="s">
        <v>4391</v>
      </c>
      <c r="T865" s="18" t="s">
        <v>4392</v>
      </c>
      <c r="U865" s="19"/>
      <c r="V865" s="18" t="s">
        <v>4393</v>
      </c>
      <c r="W865" s="17" t="s">
        <v>383</v>
      </c>
      <c r="X865" s="17" t="s">
        <v>4394</v>
      </c>
      <c r="Y865" s="17" t="s">
        <v>242</v>
      </c>
      <c r="Z865" s="19"/>
      <c r="AA865" s="19"/>
      <c r="AB865" s="17"/>
      <c r="AC865" s="19"/>
    </row>
    <row r="866" customFormat="false" ht="22.35" hidden="false" customHeight="false" outlineLevel="0" collapsed="false">
      <c r="A866" s="10" t="s">
        <v>4395</v>
      </c>
      <c r="B866" s="17" t="s">
        <v>60</v>
      </c>
      <c r="C866" s="18" t="s">
        <v>61</v>
      </c>
      <c r="D866" s="17" t="s">
        <v>19</v>
      </c>
      <c r="E866" s="17" t="s">
        <v>75</v>
      </c>
      <c r="F866" s="17" t="s">
        <v>3936</v>
      </c>
      <c r="G866" s="17" t="s">
        <v>4192</v>
      </c>
      <c r="H866" s="17" t="s">
        <v>32</v>
      </c>
      <c r="I866" s="17" t="s">
        <v>316</v>
      </c>
      <c r="J866" s="17" t="s">
        <v>233</v>
      </c>
      <c r="K866" s="19"/>
      <c r="L866" s="19"/>
      <c r="M866" s="19"/>
      <c r="N866" s="19"/>
      <c r="O866" s="17" t="n">
        <v>3</v>
      </c>
      <c r="P866" s="18" t="s">
        <v>4383</v>
      </c>
      <c r="Q866" s="18" t="s">
        <v>4384</v>
      </c>
      <c r="R866" s="18" t="s">
        <v>4396</v>
      </c>
      <c r="S866" s="17" t="s">
        <v>4397</v>
      </c>
      <c r="T866" s="18" t="s">
        <v>4398</v>
      </c>
      <c r="U866" s="19"/>
      <c r="V866" s="18" t="s">
        <v>4399</v>
      </c>
      <c r="W866" s="17" t="s">
        <v>240</v>
      </c>
      <c r="X866" s="17" t="s">
        <v>4400</v>
      </c>
      <c r="Y866" s="17" t="s">
        <v>242</v>
      </c>
      <c r="Z866" s="19"/>
      <c r="AA866" s="19"/>
      <c r="AB866" s="17"/>
      <c r="AC866" s="19"/>
    </row>
    <row r="867" customFormat="false" ht="22.35" hidden="false" customHeight="false" outlineLevel="0" collapsed="false">
      <c r="A867" s="10" t="s">
        <v>4401</v>
      </c>
      <c r="B867" s="17" t="s">
        <v>60</v>
      </c>
      <c r="C867" s="18" t="s">
        <v>61</v>
      </c>
      <c r="D867" s="17" t="s">
        <v>19</v>
      </c>
      <c r="E867" s="17" t="s">
        <v>75</v>
      </c>
      <c r="F867" s="17" t="s">
        <v>3936</v>
      </c>
      <c r="G867" s="17" t="s">
        <v>4192</v>
      </c>
      <c r="H867" s="17" t="s">
        <v>32</v>
      </c>
      <c r="I867" s="17" t="s">
        <v>289</v>
      </c>
      <c r="J867" s="17" t="s">
        <v>233</v>
      </c>
      <c r="K867" s="19"/>
      <c r="L867" s="19"/>
      <c r="M867" s="19"/>
      <c r="N867" s="19"/>
      <c r="O867" s="17" t="n">
        <v>3</v>
      </c>
      <c r="P867" s="18" t="s">
        <v>4383</v>
      </c>
      <c r="Q867" s="18" t="s">
        <v>4384</v>
      </c>
      <c r="R867" s="18" t="s">
        <v>4402</v>
      </c>
      <c r="S867" s="17" t="s">
        <v>4403</v>
      </c>
      <c r="T867" s="18" t="s">
        <v>4404</v>
      </c>
      <c r="U867" s="19"/>
      <c r="V867" s="18" t="s">
        <v>4405</v>
      </c>
      <c r="W867" s="17" t="s">
        <v>240</v>
      </c>
      <c r="X867" s="17" t="s">
        <v>4406</v>
      </c>
      <c r="Y867" s="17" t="s">
        <v>242</v>
      </c>
      <c r="Z867" s="19"/>
      <c r="AA867" s="19"/>
      <c r="AB867" s="17"/>
      <c r="AC867" s="19"/>
    </row>
    <row r="868" customFormat="false" ht="22.35" hidden="false" customHeight="false" outlineLevel="0" collapsed="false">
      <c r="A868" s="10" t="s">
        <v>4407</v>
      </c>
      <c r="B868" s="17" t="s">
        <v>60</v>
      </c>
      <c r="C868" s="18" t="s">
        <v>61</v>
      </c>
      <c r="D868" s="17" t="s">
        <v>19</v>
      </c>
      <c r="E868" s="17" t="s">
        <v>244</v>
      </c>
      <c r="F868" s="17" t="s">
        <v>3936</v>
      </c>
      <c r="G868" s="17" t="s">
        <v>4192</v>
      </c>
      <c r="H868" s="17" t="s">
        <v>32</v>
      </c>
      <c r="I868" s="17" t="s">
        <v>289</v>
      </c>
      <c r="J868" s="17" t="s">
        <v>233</v>
      </c>
      <c r="K868" s="19"/>
      <c r="L868" s="19"/>
      <c r="M868" s="19"/>
      <c r="N868" s="19"/>
      <c r="O868" s="17" t="n">
        <v>3</v>
      </c>
      <c r="P868" s="18" t="s">
        <v>4383</v>
      </c>
      <c r="Q868" s="18" t="s">
        <v>4384</v>
      </c>
      <c r="R868" s="18" t="s">
        <v>4408</v>
      </c>
      <c r="S868" s="17" t="s">
        <v>4173</v>
      </c>
      <c r="T868" s="18" t="s">
        <v>4409</v>
      </c>
      <c r="U868" s="19"/>
      <c r="V868" s="18" t="s">
        <v>4410</v>
      </c>
      <c r="W868" s="17" t="s">
        <v>383</v>
      </c>
      <c r="X868" s="17" t="s">
        <v>4411</v>
      </c>
      <c r="Y868" s="17" t="s">
        <v>242</v>
      </c>
      <c r="Z868" s="19"/>
      <c r="AA868" s="19"/>
      <c r="AB868" s="17"/>
      <c r="AC868" s="19"/>
    </row>
    <row r="869" customFormat="false" ht="22.35" hidden="false" customHeight="false" outlineLevel="0" collapsed="false">
      <c r="A869" s="10" t="s">
        <v>4412</v>
      </c>
      <c r="B869" s="17" t="s">
        <v>60</v>
      </c>
      <c r="C869" s="18" t="s">
        <v>61</v>
      </c>
      <c r="D869" s="17" t="s">
        <v>19</v>
      </c>
      <c r="E869" s="17" t="s">
        <v>75</v>
      </c>
      <c r="F869" s="17" t="s">
        <v>3936</v>
      </c>
      <c r="G869" s="17" t="s">
        <v>4192</v>
      </c>
      <c r="H869" s="17" t="s">
        <v>32</v>
      </c>
      <c r="I869" s="17" t="s">
        <v>369</v>
      </c>
      <c r="J869" s="17" t="s">
        <v>233</v>
      </c>
      <c r="K869" s="19"/>
      <c r="L869" s="19"/>
      <c r="M869" s="19"/>
      <c r="N869" s="19"/>
      <c r="O869" s="17" t="n">
        <v>3</v>
      </c>
      <c r="P869" s="18" t="s">
        <v>4383</v>
      </c>
      <c r="Q869" s="18" t="s">
        <v>4384</v>
      </c>
      <c r="R869" s="18" t="s">
        <v>4413</v>
      </c>
      <c r="S869" s="17" t="s">
        <v>4191</v>
      </c>
      <c r="T869" s="18" t="s">
        <v>2967</v>
      </c>
      <c r="U869" s="19"/>
      <c r="V869" s="18" t="s">
        <v>4414</v>
      </c>
      <c r="W869" s="17" t="s">
        <v>240</v>
      </c>
      <c r="X869" s="17" t="s">
        <v>4415</v>
      </c>
      <c r="Y869" s="17" t="s">
        <v>242</v>
      </c>
      <c r="Z869" s="19"/>
      <c r="AA869" s="19"/>
      <c r="AB869" s="17"/>
      <c r="AC869" s="19"/>
    </row>
    <row r="870" customFormat="false" ht="22.35" hidden="false" customHeight="false" outlineLevel="0" collapsed="false">
      <c r="A870" s="10" t="s">
        <v>4416</v>
      </c>
      <c r="B870" s="17" t="s">
        <v>60</v>
      </c>
      <c r="C870" s="18" t="s">
        <v>61</v>
      </c>
      <c r="D870" s="17" t="s">
        <v>19</v>
      </c>
      <c r="E870" s="17" t="s">
        <v>75</v>
      </c>
      <c r="F870" s="17" t="s">
        <v>3936</v>
      </c>
      <c r="G870" s="17" t="s">
        <v>4192</v>
      </c>
      <c r="H870" s="17" t="s">
        <v>32</v>
      </c>
      <c r="I870" s="17" t="s">
        <v>1413</v>
      </c>
      <c r="J870" s="17" t="s">
        <v>233</v>
      </c>
      <c r="K870" s="19"/>
      <c r="L870" s="19"/>
      <c r="M870" s="19"/>
      <c r="N870" s="19"/>
      <c r="O870" s="17" t="n">
        <v>3</v>
      </c>
      <c r="P870" s="18" t="s">
        <v>4383</v>
      </c>
      <c r="Q870" s="18" t="s">
        <v>4384</v>
      </c>
      <c r="R870" s="18" t="s">
        <v>4417</v>
      </c>
      <c r="S870" s="17" t="s">
        <v>4412</v>
      </c>
      <c r="T870" s="18" t="s">
        <v>285</v>
      </c>
      <c r="U870" s="19"/>
      <c r="V870" s="18" t="s">
        <v>4226</v>
      </c>
      <c r="W870" s="17" t="s">
        <v>240</v>
      </c>
      <c r="X870" s="17" t="s">
        <v>3977</v>
      </c>
      <c r="Y870" s="17" t="s">
        <v>242</v>
      </c>
      <c r="Z870" s="19"/>
      <c r="AA870" s="19"/>
      <c r="AB870" s="17"/>
      <c r="AC870" s="19"/>
    </row>
    <row r="871" customFormat="false" ht="22.35" hidden="false" customHeight="false" outlineLevel="0" collapsed="false">
      <c r="A871" s="10" t="s">
        <v>4418</v>
      </c>
      <c r="B871" s="17" t="s">
        <v>65</v>
      </c>
      <c r="C871" s="18" t="s">
        <v>66</v>
      </c>
      <c r="D871" s="17" t="s">
        <v>19</v>
      </c>
      <c r="E871" s="17" t="s">
        <v>229</v>
      </c>
      <c r="F871" s="17" t="s">
        <v>3936</v>
      </c>
      <c r="G871" s="17" t="s">
        <v>4419</v>
      </c>
      <c r="H871" s="17" t="s">
        <v>32</v>
      </c>
      <c r="I871" s="17" t="s">
        <v>232</v>
      </c>
      <c r="J871" s="17" t="s">
        <v>233</v>
      </c>
      <c r="K871" s="19"/>
      <c r="L871" s="19"/>
      <c r="M871" s="19"/>
      <c r="N871" s="19"/>
      <c r="O871" s="17" t="n">
        <v>0</v>
      </c>
      <c r="P871" s="18" t="s">
        <v>4420</v>
      </c>
      <c r="Q871" s="18" t="s">
        <v>4421</v>
      </c>
      <c r="R871" s="18" t="s">
        <v>4422</v>
      </c>
      <c r="S871" s="17" t="s">
        <v>3940</v>
      </c>
      <c r="T871" s="18" t="s">
        <v>3941</v>
      </c>
      <c r="U871" s="19"/>
      <c r="V871" s="18" t="s">
        <v>4423</v>
      </c>
      <c r="W871" s="17" t="s">
        <v>240</v>
      </c>
      <c r="X871" s="17" t="s">
        <v>4424</v>
      </c>
      <c r="Y871" s="17" t="s">
        <v>242</v>
      </c>
      <c r="Z871" s="19"/>
      <c r="AA871" s="19"/>
      <c r="AB871" s="17"/>
      <c r="AC871" s="19"/>
    </row>
    <row r="872" customFormat="false" ht="22.35" hidden="false" customHeight="false" outlineLevel="0" collapsed="false">
      <c r="A872" s="10" t="s">
        <v>4425</v>
      </c>
      <c r="B872" s="17" t="s">
        <v>65</v>
      </c>
      <c r="C872" s="18" t="s">
        <v>66</v>
      </c>
      <c r="D872" s="17" t="s">
        <v>19</v>
      </c>
      <c r="E872" s="17" t="s">
        <v>229</v>
      </c>
      <c r="F872" s="17" t="s">
        <v>3936</v>
      </c>
      <c r="G872" s="17" t="s">
        <v>4419</v>
      </c>
      <c r="H872" s="17" t="s">
        <v>32</v>
      </c>
      <c r="I872" s="17" t="s">
        <v>232</v>
      </c>
      <c r="J872" s="17" t="s">
        <v>233</v>
      </c>
      <c r="K872" s="19"/>
      <c r="L872" s="19"/>
      <c r="M872" s="19"/>
      <c r="N872" s="19"/>
      <c r="O872" s="17" t="n">
        <v>0</v>
      </c>
      <c r="P872" s="18" t="s">
        <v>4420</v>
      </c>
      <c r="Q872" s="18" t="s">
        <v>4421</v>
      </c>
      <c r="R872" s="18" t="s">
        <v>4426</v>
      </c>
      <c r="S872" s="17" t="s">
        <v>4418</v>
      </c>
      <c r="T872" s="18" t="s">
        <v>3941</v>
      </c>
      <c r="U872" s="19"/>
      <c r="V872" s="18" t="s">
        <v>4427</v>
      </c>
      <c r="W872" s="17" t="s">
        <v>240</v>
      </c>
      <c r="X872" s="17" t="s">
        <v>4428</v>
      </c>
      <c r="Y872" s="17" t="s">
        <v>242</v>
      </c>
      <c r="Z872" s="19"/>
      <c r="AA872" s="19"/>
      <c r="AB872" s="17"/>
      <c r="AC872" s="19"/>
    </row>
    <row r="873" customFormat="false" ht="32.8" hidden="false" customHeight="false" outlineLevel="0" collapsed="false">
      <c r="A873" s="10" t="s">
        <v>4429</v>
      </c>
      <c r="B873" s="17" t="s">
        <v>65</v>
      </c>
      <c r="C873" s="18" t="s">
        <v>66</v>
      </c>
      <c r="D873" s="17" t="s">
        <v>19</v>
      </c>
      <c r="E873" s="17" t="s">
        <v>244</v>
      </c>
      <c r="F873" s="17" t="s">
        <v>3936</v>
      </c>
      <c r="G873" s="17" t="s">
        <v>4419</v>
      </c>
      <c r="H873" s="17" t="s">
        <v>32</v>
      </c>
      <c r="I873" s="17" t="s">
        <v>1413</v>
      </c>
      <c r="J873" s="17" t="s">
        <v>233</v>
      </c>
      <c r="K873" s="19"/>
      <c r="L873" s="19"/>
      <c r="M873" s="19"/>
      <c r="N873" s="19"/>
      <c r="O873" s="17" t="n">
        <v>0</v>
      </c>
      <c r="P873" s="18" t="s">
        <v>4420</v>
      </c>
      <c r="Q873" s="18" t="s">
        <v>4421</v>
      </c>
      <c r="R873" s="18" t="s">
        <v>4430</v>
      </c>
      <c r="S873" s="17" t="s">
        <v>4425</v>
      </c>
      <c r="T873" s="18" t="s">
        <v>4431</v>
      </c>
      <c r="U873" s="19"/>
      <c r="V873" s="18" t="s">
        <v>4432</v>
      </c>
      <c r="W873" s="17" t="s">
        <v>240</v>
      </c>
      <c r="X873" s="17" t="s">
        <v>4433</v>
      </c>
      <c r="Y873" s="17" t="s">
        <v>242</v>
      </c>
      <c r="Z873" s="19"/>
      <c r="AA873" s="19"/>
      <c r="AB873" s="17"/>
      <c r="AC873" s="19"/>
    </row>
    <row r="874" customFormat="false" ht="32.8" hidden="false" customHeight="false" outlineLevel="0" collapsed="false">
      <c r="A874" s="10" t="s">
        <v>4434</v>
      </c>
      <c r="B874" s="17" t="s">
        <v>65</v>
      </c>
      <c r="C874" s="18" t="s">
        <v>66</v>
      </c>
      <c r="D874" s="17" t="s">
        <v>19</v>
      </c>
      <c r="E874" s="17" t="s">
        <v>229</v>
      </c>
      <c r="F874" s="17" t="s">
        <v>3936</v>
      </c>
      <c r="G874" s="17" t="s">
        <v>4419</v>
      </c>
      <c r="H874" s="17" t="s">
        <v>32</v>
      </c>
      <c r="I874" s="17" t="s">
        <v>1786</v>
      </c>
      <c r="J874" s="17" t="s">
        <v>233</v>
      </c>
      <c r="K874" s="19"/>
      <c r="L874" s="19"/>
      <c r="M874" s="19"/>
      <c r="N874" s="19"/>
      <c r="O874" s="17" t="n">
        <v>0</v>
      </c>
      <c r="P874" s="18" t="s">
        <v>4420</v>
      </c>
      <c r="Q874" s="18" t="s">
        <v>4421</v>
      </c>
      <c r="R874" s="18" t="s">
        <v>4435</v>
      </c>
      <c r="S874" s="17" t="s">
        <v>4425</v>
      </c>
      <c r="T874" s="18" t="s">
        <v>4436</v>
      </c>
      <c r="U874" s="19"/>
      <c r="V874" s="18" t="s">
        <v>4437</v>
      </c>
      <c r="W874" s="17" t="s">
        <v>240</v>
      </c>
      <c r="X874" s="17" t="s">
        <v>4438</v>
      </c>
      <c r="Y874" s="17" t="s">
        <v>242</v>
      </c>
      <c r="Z874" s="19"/>
      <c r="AA874" s="19"/>
      <c r="AB874" s="17"/>
      <c r="AC874" s="19"/>
    </row>
    <row r="875" customFormat="false" ht="32.8" hidden="false" customHeight="false" outlineLevel="0" collapsed="false">
      <c r="A875" s="10" t="s">
        <v>4439</v>
      </c>
      <c r="B875" s="17" t="s">
        <v>65</v>
      </c>
      <c r="C875" s="18" t="s">
        <v>66</v>
      </c>
      <c r="D875" s="17" t="s">
        <v>19</v>
      </c>
      <c r="E875" s="17" t="s">
        <v>229</v>
      </c>
      <c r="F875" s="17" t="s">
        <v>3936</v>
      </c>
      <c r="G875" s="17" t="s">
        <v>4419</v>
      </c>
      <c r="H875" s="17" t="s">
        <v>32</v>
      </c>
      <c r="I875" s="17" t="s">
        <v>1413</v>
      </c>
      <c r="J875" s="17" t="s">
        <v>233</v>
      </c>
      <c r="K875" s="19"/>
      <c r="L875" s="19"/>
      <c r="M875" s="19"/>
      <c r="N875" s="19"/>
      <c r="O875" s="17" t="n">
        <v>0</v>
      </c>
      <c r="P875" s="18" t="s">
        <v>4420</v>
      </c>
      <c r="Q875" s="18" t="s">
        <v>4421</v>
      </c>
      <c r="R875" s="18" t="s">
        <v>4440</v>
      </c>
      <c r="S875" s="17" t="s">
        <v>4425</v>
      </c>
      <c r="T875" s="18" t="s">
        <v>4441</v>
      </c>
      <c r="U875" s="19"/>
      <c r="V875" s="18" t="s">
        <v>4442</v>
      </c>
      <c r="W875" s="17" t="s">
        <v>240</v>
      </c>
      <c r="X875" s="17" t="s">
        <v>4443</v>
      </c>
      <c r="Y875" s="17" t="s">
        <v>242</v>
      </c>
      <c r="Z875" s="19"/>
      <c r="AA875" s="19"/>
      <c r="AB875" s="17"/>
      <c r="AC875" s="19"/>
    </row>
    <row r="876" customFormat="false" ht="22.35" hidden="false" customHeight="false" outlineLevel="0" collapsed="false">
      <c r="A876" s="10" t="s">
        <v>4444</v>
      </c>
      <c r="B876" s="17" t="s">
        <v>65</v>
      </c>
      <c r="C876" s="18" t="s">
        <v>66</v>
      </c>
      <c r="D876" s="17" t="s">
        <v>19</v>
      </c>
      <c r="E876" s="17" t="s">
        <v>75</v>
      </c>
      <c r="F876" s="17" t="s">
        <v>3936</v>
      </c>
      <c r="G876" s="17" t="s">
        <v>4419</v>
      </c>
      <c r="H876" s="17" t="s">
        <v>32</v>
      </c>
      <c r="I876" s="17" t="s">
        <v>232</v>
      </c>
      <c r="J876" s="17" t="s">
        <v>233</v>
      </c>
      <c r="K876" s="19"/>
      <c r="L876" s="19"/>
      <c r="M876" s="19"/>
      <c r="N876" s="19"/>
      <c r="O876" s="17" t="n">
        <v>1</v>
      </c>
      <c r="P876" s="18" t="s">
        <v>4420</v>
      </c>
      <c r="Q876" s="18" t="s">
        <v>4421</v>
      </c>
      <c r="R876" s="18" t="s">
        <v>4445</v>
      </c>
      <c r="S876" s="17" t="s">
        <v>4425</v>
      </c>
      <c r="T876" s="18" t="s">
        <v>4446</v>
      </c>
      <c r="U876" s="19"/>
      <c r="V876" s="18" t="s">
        <v>4447</v>
      </c>
      <c r="W876" s="17" t="s">
        <v>240</v>
      </c>
      <c r="X876" s="17" t="s">
        <v>4448</v>
      </c>
      <c r="Y876" s="17" t="s">
        <v>242</v>
      </c>
      <c r="Z876" s="19"/>
      <c r="AA876" s="19"/>
      <c r="AB876" s="17"/>
      <c r="AC876" s="19"/>
    </row>
    <row r="877" customFormat="false" ht="22.35" hidden="false" customHeight="false" outlineLevel="0" collapsed="false">
      <c r="A877" s="10" t="s">
        <v>4449</v>
      </c>
      <c r="B877" s="17" t="s">
        <v>65</v>
      </c>
      <c r="C877" s="18" t="s">
        <v>66</v>
      </c>
      <c r="D877" s="17" t="s">
        <v>19</v>
      </c>
      <c r="E877" s="17" t="s">
        <v>75</v>
      </c>
      <c r="F877" s="17" t="s">
        <v>3936</v>
      </c>
      <c r="G877" s="17" t="s">
        <v>4419</v>
      </c>
      <c r="H877" s="17" t="s">
        <v>32</v>
      </c>
      <c r="I877" s="17" t="s">
        <v>277</v>
      </c>
      <c r="J877" s="17" t="s">
        <v>233</v>
      </c>
      <c r="K877" s="19"/>
      <c r="L877" s="19"/>
      <c r="M877" s="19"/>
      <c r="N877" s="19"/>
      <c r="O877" s="17" t="n">
        <v>1</v>
      </c>
      <c r="P877" s="18" t="s">
        <v>4420</v>
      </c>
      <c r="Q877" s="18" t="s">
        <v>4421</v>
      </c>
      <c r="R877" s="18" t="s">
        <v>4450</v>
      </c>
      <c r="S877" s="17" t="s">
        <v>4418</v>
      </c>
      <c r="T877" s="18" t="s">
        <v>3971</v>
      </c>
      <c r="U877" s="19"/>
      <c r="V877" s="18" t="s">
        <v>4451</v>
      </c>
      <c r="W877" s="17" t="s">
        <v>240</v>
      </c>
      <c r="X877" s="17" t="s">
        <v>4223</v>
      </c>
      <c r="Y877" s="17" t="s">
        <v>242</v>
      </c>
      <c r="Z877" s="19"/>
      <c r="AA877" s="19"/>
      <c r="AB877" s="17"/>
      <c r="AC877" s="19"/>
    </row>
    <row r="878" customFormat="false" ht="22.35" hidden="false" customHeight="false" outlineLevel="0" collapsed="false">
      <c r="A878" s="10" t="s">
        <v>4452</v>
      </c>
      <c r="B878" s="17" t="s">
        <v>65</v>
      </c>
      <c r="C878" s="18" t="s">
        <v>66</v>
      </c>
      <c r="D878" s="17" t="s">
        <v>19</v>
      </c>
      <c r="E878" s="17" t="s">
        <v>75</v>
      </c>
      <c r="F878" s="17" t="s">
        <v>3936</v>
      </c>
      <c r="G878" s="17" t="s">
        <v>4419</v>
      </c>
      <c r="H878" s="17" t="s">
        <v>32</v>
      </c>
      <c r="I878" s="17" t="s">
        <v>232</v>
      </c>
      <c r="J878" s="17" t="s">
        <v>233</v>
      </c>
      <c r="K878" s="19"/>
      <c r="L878" s="19"/>
      <c r="M878" s="19"/>
      <c r="N878" s="19"/>
      <c r="O878" s="17" t="n">
        <v>1</v>
      </c>
      <c r="P878" s="18" t="s">
        <v>4420</v>
      </c>
      <c r="Q878" s="18" t="s">
        <v>4421</v>
      </c>
      <c r="R878" s="18" t="s">
        <v>4453</v>
      </c>
      <c r="S878" s="17" t="s">
        <v>4449</v>
      </c>
      <c r="T878" s="18" t="s">
        <v>285</v>
      </c>
      <c r="U878" s="19"/>
      <c r="V878" s="18" t="s">
        <v>4226</v>
      </c>
      <c r="W878" s="17" t="s">
        <v>240</v>
      </c>
      <c r="X878" s="17" t="s">
        <v>3977</v>
      </c>
      <c r="Y878" s="17" t="s">
        <v>242</v>
      </c>
      <c r="Z878" s="19"/>
      <c r="AA878" s="19"/>
      <c r="AB878" s="17"/>
      <c r="AC878" s="19"/>
    </row>
    <row r="879" customFormat="false" ht="22.35" hidden="false" customHeight="false" outlineLevel="0" collapsed="false">
      <c r="A879" s="10" t="s">
        <v>4454</v>
      </c>
      <c r="B879" s="17" t="s">
        <v>65</v>
      </c>
      <c r="C879" s="18" t="s">
        <v>66</v>
      </c>
      <c r="D879" s="17" t="s">
        <v>19</v>
      </c>
      <c r="E879" s="17" t="s">
        <v>229</v>
      </c>
      <c r="F879" s="17" t="s">
        <v>3936</v>
      </c>
      <c r="G879" s="17" t="s">
        <v>4419</v>
      </c>
      <c r="H879" s="17" t="s">
        <v>32</v>
      </c>
      <c r="I879" s="17" t="s">
        <v>316</v>
      </c>
      <c r="J879" s="17" t="s">
        <v>233</v>
      </c>
      <c r="K879" s="19"/>
      <c r="L879" s="19"/>
      <c r="M879" s="19"/>
      <c r="N879" s="19"/>
      <c r="O879" s="17" t="n">
        <v>2</v>
      </c>
      <c r="P879" s="18" t="s">
        <v>4455</v>
      </c>
      <c r="Q879" s="18" t="s">
        <v>4456</v>
      </c>
      <c r="R879" s="18" t="s">
        <v>4457</v>
      </c>
      <c r="S879" s="17" t="s">
        <v>4418</v>
      </c>
      <c r="T879" s="18" t="s">
        <v>4458</v>
      </c>
      <c r="U879" s="19"/>
      <c r="V879" s="18" t="s">
        <v>4459</v>
      </c>
      <c r="W879" s="17" t="s">
        <v>240</v>
      </c>
      <c r="X879" s="17" t="s">
        <v>4460</v>
      </c>
      <c r="Y879" s="17" t="s">
        <v>242</v>
      </c>
      <c r="Z879" s="19"/>
      <c r="AA879" s="19"/>
      <c r="AB879" s="17"/>
      <c r="AC879" s="19"/>
    </row>
    <row r="880" customFormat="false" ht="22.35" hidden="false" customHeight="false" outlineLevel="0" collapsed="false">
      <c r="A880" s="10" t="s">
        <v>4461</v>
      </c>
      <c r="B880" s="17" t="s">
        <v>65</v>
      </c>
      <c r="C880" s="18" t="s">
        <v>66</v>
      </c>
      <c r="D880" s="17" t="s">
        <v>19</v>
      </c>
      <c r="E880" s="17" t="s">
        <v>75</v>
      </c>
      <c r="F880" s="17" t="s">
        <v>3936</v>
      </c>
      <c r="G880" s="17" t="s">
        <v>4419</v>
      </c>
      <c r="H880" s="17" t="s">
        <v>32</v>
      </c>
      <c r="I880" s="17" t="s">
        <v>450</v>
      </c>
      <c r="J880" s="17" t="s">
        <v>233</v>
      </c>
      <c r="K880" s="19"/>
      <c r="L880" s="19"/>
      <c r="M880" s="19"/>
      <c r="N880" s="19"/>
      <c r="O880" s="17" t="n">
        <v>2</v>
      </c>
      <c r="P880" s="18" t="s">
        <v>4455</v>
      </c>
      <c r="Q880" s="18" t="s">
        <v>4456</v>
      </c>
      <c r="R880" s="18" t="s">
        <v>4462</v>
      </c>
      <c r="S880" s="17" t="s">
        <v>4454</v>
      </c>
      <c r="T880" s="18" t="s">
        <v>4463</v>
      </c>
      <c r="U880" s="19"/>
      <c r="V880" s="18" t="s">
        <v>4464</v>
      </c>
      <c r="W880" s="17" t="s">
        <v>240</v>
      </c>
      <c r="X880" s="17" t="s">
        <v>4465</v>
      </c>
      <c r="Y880" s="17" t="s">
        <v>242</v>
      </c>
      <c r="Z880" s="19"/>
      <c r="AA880" s="19"/>
      <c r="AB880" s="17"/>
      <c r="AC880" s="19"/>
    </row>
    <row r="881" customFormat="false" ht="32.8" hidden="false" customHeight="false" outlineLevel="0" collapsed="false">
      <c r="A881" s="10" t="s">
        <v>4466</v>
      </c>
      <c r="B881" s="17" t="s">
        <v>65</v>
      </c>
      <c r="C881" s="18" t="s">
        <v>66</v>
      </c>
      <c r="D881" s="17" t="s">
        <v>19</v>
      </c>
      <c r="E881" s="17" t="s">
        <v>75</v>
      </c>
      <c r="F881" s="17" t="s">
        <v>3936</v>
      </c>
      <c r="G881" s="17" t="s">
        <v>4419</v>
      </c>
      <c r="H881" s="17" t="s">
        <v>32</v>
      </c>
      <c r="I881" s="17" t="s">
        <v>450</v>
      </c>
      <c r="J881" s="17" t="s">
        <v>233</v>
      </c>
      <c r="K881" s="19"/>
      <c r="L881" s="19"/>
      <c r="M881" s="19"/>
      <c r="N881" s="19"/>
      <c r="O881" s="17" t="n">
        <v>2</v>
      </c>
      <c r="P881" s="18" t="s">
        <v>4455</v>
      </c>
      <c r="Q881" s="18" t="s">
        <v>4456</v>
      </c>
      <c r="R881" s="18" t="s">
        <v>4467</v>
      </c>
      <c r="S881" s="17" t="s">
        <v>4461</v>
      </c>
      <c r="T881" s="18" t="s">
        <v>4468</v>
      </c>
      <c r="U881" s="19"/>
      <c r="V881" s="18" t="s">
        <v>4469</v>
      </c>
      <c r="W881" s="17" t="s">
        <v>240</v>
      </c>
      <c r="X881" s="17" t="s">
        <v>4470</v>
      </c>
      <c r="Y881" s="17" t="s">
        <v>242</v>
      </c>
      <c r="Z881" s="19"/>
      <c r="AA881" s="19"/>
      <c r="AB881" s="17"/>
      <c r="AC881" s="19"/>
    </row>
    <row r="882" customFormat="false" ht="32.8" hidden="false" customHeight="false" outlineLevel="0" collapsed="false">
      <c r="A882" s="10" t="s">
        <v>4471</v>
      </c>
      <c r="B882" s="17" t="s">
        <v>65</v>
      </c>
      <c r="C882" s="18" t="s">
        <v>66</v>
      </c>
      <c r="D882" s="17" t="s">
        <v>19</v>
      </c>
      <c r="E882" s="17" t="s">
        <v>244</v>
      </c>
      <c r="F882" s="17" t="s">
        <v>3936</v>
      </c>
      <c r="G882" s="17" t="s">
        <v>4419</v>
      </c>
      <c r="H882" s="17" t="s">
        <v>32</v>
      </c>
      <c r="I882" s="17" t="s">
        <v>1786</v>
      </c>
      <c r="J882" s="17" t="s">
        <v>233</v>
      </c>
      <c r="K882" s="19"/>
      <c r="L882" s="19"/>
      <c r="M882" s="19"/>
      <c r="N882" s="19"/>
      <c r="O882" s="17" t="n">
        <v>2</v>
      </c>
      <c r="P882" s="18" t="s">
        <v>4455</v>
      </c>
      <c r="Q882" s="18" t="s">
        <v>4456</v>
      </c>
      <c r="R882" s="18" t="s">
        <v>4472</v>
      </c>
      <c r="S882" s="17" t="s">
        <v>4461</v>
      </c>
      <c r="T882" s="18" t="s">
        <v>4473</v>
      </c>
      <c r="U882" s="19"/>
      <c r="V882" s="18" t="s">
        <v>4474</v>
      </c>
      <c r="W882" s="17" t="s">
        <v>240</v>
      </c>
      <c r="X882" s="17" t="s">
        <v>4475</v>
      </c>
      <c r="Y882" s="17" t="s">
        <v>242</v>
      </c>
      <c r="Z882" s="19"/>
      <c r="AA882" s="19"/>
      <c r="AB882" s="17"/>
      <c r="AC882" s="19"/>
    </row>
    <row r="883" customFormat="false" ht="22.35" hidden="false" customHeight="false" outlineLevel="0" collapsed="false">
      <c r="A883" s="10" t="s">
        <v>4476</v>
      </c>
      <c r="B883" s="17" t="s">
        <v>65</v>
      </c>
      <c r="C883" s="18" t="s">
        <v>66</v>
      </c>
      <c r="D883" s="17" t="s">
        <v>19</v>
      </c>
      <c r="E883" s="17" t="s">
        <v>75</v>
      </c>
      <c r="F883" s="17" t="s">
        <v>3936</v>
      </c>
      <c r="G883" s="17" t="s">
        <v>4419</v>
      </c>
      <c r="H883" s="17" t="s">
        <v>32</v>
      </c>
      <c r="I883" s="17" t="s">
        <v>450</v>
      </c>
      <c r="J883" s="17" t="s">
        <v>233</v>
      </c>
      <c r="K883" s="19"/>
      <c r="L883" s="19"/>
      <c r="M883" s="19"/>
      <c r="N883" s="19"/>
      <c r="O883" s="17" t="n">
        <v>2</v>
      </c>
      <c r="P883" s="18" t="s">
        <v>4455</v>
      </c>
      <c r="Q883" s="18" t="s">
        <v>4456</v>
      </c>
      <c r="R883" s="18" t="s">
        <v>4477</v>
      </c>
      <c r="S883" s="17" t="s">
        <v>4466</v>
      </c>
      <c r="T883" s="18" t="s">
        <v>4478</v>
      </c>
      <c r="U883" s="19"/>
      <c r="V883" s="18" t="s">
        <v>4479</v>
      </c>
      <c r="W883" s="17" t="s">
        <v>240</v>
      </c>
      <c r="X883" s="17" t="s">
        <v>4465</v>
      </c>
      <c r="Y883" s="17" t="s">
        <v>242</v>
      </c>
      <c r="Z883" s="19"/>
      <c r="AA883" s="19"/>
      <c r="AB883" s="17"/>
      <c r="AC883" s="19"/>
    </row>
    <row r="884" customFormat="false" ht="22.35" hidden="false" customHeight="false" outlineLevel="0" collapsed="false">
      <c r="A884" s="10" t="s">
        <v>4480</v>
      </c>
      <c r="B884" s="17" t="s">
        <v>65</v>
      </c>
      <c r="C884" s="18" t="s">
        <v>66</v>
      </c>
      <c r="D884" s="17" t="s">
        <v>19</v>
      </c>
      <c r="E884" s="17" t="s">
        <v>75</v>
      </c>
      <c r="F884" s="17" t="s">
        <v>3936</v>
      </c>
      <c r="G884" s="17" t="s">
        <v>4419</v>
      </c>
      <c r="H884" s="17" t="s">
        <v>32</v>
      </c>
      <c r="I884" s="17" t="s">
        <v>316</v>
      </c>
      <c r="J884" s="17" t="s">
        <v>233</v>
      </c>
      <c r="K884" s="19"/>
      <c r="L884" s="19"/>
      <c r="M884" s="19"/>
      <c r="N884" s="19"/>
      <c r="O884" s="17" t="n">
        <v>2</v>
      </c>
      <c r="P884" s="18" t="s">
        <v>4455</v>
      </c>
      <c r="Q884" s="18" t="s">
        <v>4456</v>
      </c>
      <c r="R884" s="18" t="s">
        <v>4481</v>
      </c>
      <c r="S884" s="17" t="s">
        <v>4476</v>
      </c>
      <c r="T884" s="18" t="s">
        <v>285</v>
      </c>
      <c r="U884" s="19"/>
      <c r="V884" s="18" t="s">
        <v>4226</v>
      </c>
      <c r="W884" s="17" t="s">
        <v>240</v>
      </c>
      <c r="X884" s="17" t="s">
        <v>3977</v>
      </c>
      <c r="Y884" s="17" t="s">
        <v>242</v>
      </c>
      <c r="Z884" s="19"/>
      <c r="AA884" s="19"/>
      <c r="AB884" s="17"/>
      <c r="AC884" s="19"/>
    </row>
    <row r="885" customFormat="false" ht="22.35" hidden="false" customHeight="false" outlineLevel="0" collapsed="false">
      <c r="A885" s="10" t="s">
        <v>4482</v>
      </c>
      <c r="B885" s="17" t="s">
        <v>65</v>
      </c>
      <c r="C885" s="18" t="s">
        <v>66</v>
      </c>
      <c r="D885" s="17" t="s">
        <v>19</v>
      </c>
      <c r="E885" s="17" t="s">
        <v>229</v>
      </c>
      <c r="F885" s="17" t="s">
        <v>3936</v>
      </c>
      <c r="G885" s="17" t="s">
        <v>4419</v>
      </c>
      <c r="H885" s="17" t="s">
        <v>32</v>
      </c>
      <c r="I885" s="17" t="s">
        <v>1413</v>
      </c>
      <c r="J885" s="17" t="s">
        <v>233</v>
      </c>
      <c r="K885" s="19"/>
      <c r="L885" s="19"/>
      <c r="M885" s="19"/>
      <c r="N885" s="19"/>
      <c r="O885" s="17" t="n">
        <v>3</v>
      </c>
      <c r="P885" s="18" t="s">
        <v>4483</v>
      </c>
      <c r="Q885" s="18" t="s">
        <v>4484</v>
      </c>
      <c r="R885" s="18" t="s">
        <v>4485</v>
      </c>
      <c r="S885" s="17" t="s">
        <v>4486</v>
      </c>
      <c r="T885" s="18" t="s">
        <v>4487</v>
      </c>
      <c r="U885" s="19"/>
      <c r="V885" s="18" t="s">
        <v>4488</v>
      </c>
      <c r="W885" s="17" t="s">
        <v>240</v>
      </c>
      <c r="X885" s="17" t="s">
        <v>4489</v>
      </c>
      <c r="Y885" s="17" t="s">
        <v>242</v>
      </c>
      <c r="Z885" s="19"/>
      <c r="AA885" s="19"/>
      <c r="AB885" s="17"/>
      <c r="AC885" s="19"/>
    </row>
    <row r="886" customFormat="false" ht="32.8" hidden="false" customHeight="false" outlineLevel="0" collapsed="false">
      <c r="A886" s="10" t="s">
        <v>4490</v>
      </c>
      <c r="B886" s="17" t="s">
        <v>65</v>
      </c>
      <c r="C886" s="18" t="s">
        <v>66</v>
      </c>
      <c r="D886" s="17" t="s">
        <v>19</v>
      </c>
      <c r="E886" s="17" t="s">
        <v>75</v>
      </c>
      <c r="F886" s="17" t="s">
        <v>3936</v>
      </c>
      <c r="G886" s="17" t="s">
        <v>4419</v>
      </c>
      <c r="H886" s="17" t="s">
        <v>32</v>
      </c>
      <c r="I886" s="17" t="s">
        <v>1786</v>
      </c>
      <c r="J886" s="17" t="s">
        <v>233</v>
      </c>
      <c r="K886" s="19"/>
      <c r="L886" s="19"/>
      <c r="M886" s="19"/>
      <c r="N886" s="19"/>
      <c r="O886" s="17" t="n">
        <v>3</v>
      </c>
      <c r="P886" s="18" t="s">
        <v>4483</v>
      </c>
      <c r="Q886" s="18" t="s">
        <v>4484</v>
      </c>
      <c r="R886" s="18" t="s">
        <v>4491</v>
      </c>
      <c r="S886" s="17" t="s">
        <v>4482</v>
      </c>
      <c r="T886" s="18" t="s">
        <v>4492</v>
      </c>
      <c r="U886" s="19"/>
      <c r="V886" s="18" t="s">
        <v>4493</v>
      </c>
      <c r="W886" s="17" t="s">
        <v>240</v>
      </c>
      <c r="X886" s="17" t="s">
        <v>4494</v>
      </c>
      <c r="Y886" s="17" t="s">
        <v>242</v>
      </c>
      <c r="Z886" s="19"/>
      <c r="AA886" s="19"/>
      <c r="AB886" s="17"/>
      <c r="AC886" s="19"/>
    </row>
    <row r="887" customFormat="false" ht="22.35" hidden="false" customHeight="false" outlineLevel="0" collapsed="false">
      <c r="A887" s="10" t="s">
        <v>4495</v>
      </c>
      <c r="B887" s="17" t="s">
        <v>65</v>
      </c>
      <c r="C887" s="18" t="s">
        <v>66</v>
      </c>
      <c r="D887" s="17" t="s">
        <v>19</v>
      </c>
      <c r="E887" s="17" t="s">
        <v>229</v>
      </c>
      <c r="F887" s="17" t="s">
        <v>3936</v>
      </c>
      <c r="G887" s="17" t="s">
        <v>4419</v>
      </c>
      <c r="H887" s="17" t="s">
        <v>32</v>
      </c>
      <c r="I887" s="17" t="s">
        <v>316</v>
      </c>
      <c r="J887" s="17" t="s">
        <v>233</v>
      </c>
      <c r="K887" s="19"/>
      <c r="L887" s="19"/>
      <c r="M887" s="19"/>
      <c r="N887" s="19"/>
      <c r="O887" s="17" t="n">
        <v>3</v>
      </c>
      <c r="P887" s="18" t="s">
        <v>4483</v>
      </c>
      <c r="Q887" s="18" t="s">
        <v>4484</v>
      </c>
      <c r="R887" s="18" t="s">
        <v>4496</v>
      </c>
      <c r="S887" s="17" t="s">
        <v>4497</v>
      </c>
      <c r="T887" s="18" t="s">
        <v>4498</v>
      </c>
      <c r="U887" s="19"/>
      <c r="V887" s="18" t="s">
        <v>4499</v>
      </c>
      <c r="W887" s="17" t="s">
        <v>240</v>
      </c>
      <c r="X887" s="17" t="s">
        <v>4500</v>
      </c>
      <c r="Y887" s="17" t="s">
        <v>242</v>
      </c>
      <c r="Z887" s="19"/>
      <c r="AA887" s="19"/>
      <c r="AB887" s="17"/>
      <c r="AC887" s="19"/>
    </row>
    <row r="888" customFormat="false" ht="22.35" hidden="false" customHeight="false" outlineLevel="0" collapsed="false">
      <c r="A888" s="10" t="s">
        <v>4501</v>
      </c>
      <c r="B888" s="17" t="s">
        <v>65</v>
      </c>
      <c r="C888" s="18" t="s">
        <v>66</v>
      </c>
      <c r="D888" s="17" t="s">
        <v>19</v>
      </c>
      <c r="E888" s="17" t="s">
        <v>229</v>
      </c>
      <c r="F888" s="17" t="s">
        <v>3936</v>
      </c>
      <c r="G888" s="17" t="s">
        <v>4419</v>
      </c>
      <c r="H888" s="17" t="s">
        <v>32</v>
      </c>
      <c r="I888" s="17" t="s">
        <v>2896</v>
      </c>
      <c r="J888" s="17" t="s">
        <v>233</v>
      </c>
      <c r="K888" s="19"/>
      <c r="L888" s="19"/>
      <c r="M888" s="19"/>
      <c r="N888" s="19"/>
      <c r="O888" s="17" t="n">
        <v>3</v>
      </c>
      <c r="P888" s="18" t="s">
        <v>4483</v>
      </c>
      <c r="Q888" s="18" t="s">
        <v>4484</v>
      </c>
      <c r="R888" s="18" t="s">
        <v>4502</v>
      </c>
      <c r="S888" s="17" t="s">
        <v>4503</v>
      </c>
      <c r="T888" s="18" t="s">
        <v>4504</v>
      </c>
      <c r="U888" s="19"/>
      <c r="V888" s="18" t="s">
        <v>4505</v>
      </c>
      <c r="W888" s="17" t="s">
        <v>240</v>
      </c>
      <c r="X888" s="17" t="s">
        <v>4506</v>
      </c>
      <c r="Y888" s="17" t="s">
        <v>242</v>
      </c>
      <c r="Z888" s="19"/>
      <c r="AA888" s="19"/>
      <c r="AB888" s="17"/>
      <c r="AC888" s="19"/>
    </row>
    <row r="889" customFormat="false" ht="22.35" hidden="false" customHeight="false" outlineLevel="0" collapsed="false">
      <c r="A889" s="10" t="s">
        <v>4507</v>
      </c>
      <c r="B889" s="17" t="s">
        <v>65</v>
      </c>
      <c r="C889" s="18" t="s">
        <v>66</v>
      </c>
      <c r="D889" s="17" t="s">
        <v>19</v>
      </c>
      <c r="E889" s="17" t="s">
        <v>75</v>
      </c>
      <c r="F889" s="17" t="s">
        <v>3936</v>
      </c>
      <c r="G889" s="17" t="s">
        <v>4419</v>
      </c>
      <c r="H889" s="17" t="s">
        <v>32</v>
      </c>
      <c r="I889" s="17" t="s">
        <v>1413</v>
      </c>
      <c r="J889" s="17" t="s">
        <v>233</v>
      </c>
      <c r="K889" s="19"/>
      <c r="L889" s="19"/>
      <c r="M889" s="19"/>
      <c r="N889" s="19"/>
      <c r="O889" s="17" t="n">
        <v>3</v>
      </c>
      <c r="P889" s="18" t="s">
        <v>4483</v>
      </c>
      <c r="Q889" s="18" t="s">
        <v>4484</v>
      </c>
      <c r="R889" s="18" t="s">
        <v>4508</v>
      </c>
      <c r="S889" s="17" t="s">
        <v>4501</v>
      </c>
      <c r="T889" s="18" t="s">
        <v>285</v>
      </c>
      <c r="U889" s="19"/>
      <c r="V889" s="18" t="s">
        <v>4226</v>
      </c>
      <c r="W889" s="17" t="s">
        <v>240</v>
      </c>
      <c r="X889" s="17" t="s">
        <v>3977</v>
      </c>
      <c r="Y889" s="17" t="s">
        <v>242</v>
      </c>
      <c r="Z889" s="19"/>
      <c r="AA889" s="19"/>
      <c r="AB889" s="17"/>
      <c r="AC889" s="19"/>
    </row>
    <row r="890" customFormat="false" ht="22.35" hidden="false" customHeight="false" outlineLevel="0" collapsed="false">
      <c r="A890" s="10" t="s">
        <v>4509</v>
      </c>
      <c r="B890" s="17" t="s">
        <v>65</v>
      </c>
      <c r="C890" s="18" t="s">
        <v>66</v>
      </c>
      <c r="D890" s="17" t="s">
        <v>19</v>
      </c>
      <c r="E890" s="17" t="s">
        <v>75</v>
      </c>
      <c r="F890" s="17" t="s">
        <v>3936</v>
      </c>
      <c r="G890" s="17" t="s">
        <v>4419</v>
      </c>
      <c r="H890" s="17" t="s">
        <v>32</v>
      </c>
      <c r="I890" s="17" t="s">
        <v>1413</v>
      </c>
      <c r="J890" s="17" t="s">
        <v>233</v>
      </c>
      <c r="K890" s="19"/>
      <c r="L890" s="19"/>
      <c r="M890" s="19"/>
      <c r="N890" s="19"/>
      <c r="O890" s="17" t="n">
        <v>2</v>
      </c>
      <c r="P890" s="18" t="s">
        <v>4510</v>
      </c>
      <c r="Q890" s="18" t="s">
        <v>4511</v>
      </c>
      <c r="R890" s="18" t="s">
        <v>4512</v>
      </c>
      <c r="S890" s="17" t="s">
        <v>4032</v>
      </c>
      <c r="T890" s="18" t="s">
        <v>4513</v>
      </c>
      <c r="U890" s="19"/>
      <c r="V890" s="18" t="s">
        <v>4514</v>
      </c>
      <c r="W890" s="17" t="s">
        <v>240</v>
      </c>
      <c r="X890" s="17" t="s">
        <v>4515</v>
      </c>
      <c r="Y890" s="17" t="s">
        <v>242</v>
      </c>
      <c r="Z890" s="19"/>
      <c r="AA890" s="19"/>
      <c r="AB890" s="17"/>
      <c r="AC890" s="19"/>
    </row>
    <row r="891" customFormat="false" ht="32.8" hidden="false" customHeight="false" outlineLevel="0" collapsed="false">
      <c r="A891" s="10" t="s">
        <v>4516</v>
      </c>
      <c r="B891" s="17" t="s">
        <v>65</v>
      </c>
      <c r="C891" s="18" t="s">
        <v>66</v>
      </c>
      <c r="D891" s="17" t="s">
        <v>19</v>
      </c>
      <c r="E891" s="17" t="s">
        <v>75</v>
      </c>
      <c r="F891" s="17" t="s">
        <v>3936</v>
      </c>
      <c r="G891" s="17" t="s">
        <v>4419</v>
      </c>
      <c r="H891" s="17" t="s">
        <v>32</v>
      </c>
      <c r="I891" s="17" t="s">
        <v>1413</v>
      </c>
      <c r="J891" s="17" t="s">
        <v>233</v>
      </c>
      <c r="K891" s="19"/>
      <c r="L891" s="19"/>
      <c r="M891" s="19"/>
      <c r="N891" s="19"/>
      <c r="O891" s="17" t="n">
        <v>3</v>
      </c>
      <c r="P891" s="18" t="s">
        <v>4510</v>
      </c>
      <c r="Q891" s="18" t="s">
        <v>4511</v>
      </c>
      <c r="R891" s="18" t="s">
        <v>4517</v>
      </c>
      <c r="S891" s="17" t="s">
        <v>4518</v>
      </c>
      <c r="T891" s="18" t="s">
        <v>4519</v>
      </c>
      <c r="U891" s="19"/>
      <c r="V891" s="18" t="s">
        <v>4520</v>
      </c>
      <c r="W891" s="17" t="s">
        <v>383</v>
      </c>
      <c r="X891" s="17" t="s">
        <v>4521</v>
      </c>
      <c r="Y891" s="17" t="s">
        <v>242</v>
      </c>
      <c r="Z891" s="19"/>
      <c r="AA891" s="19"/>
      <c r="AB891" s="17"/>
      <c r="AC891" s="19"/>
    </row>
    <row r="892" customFormat="false" ht="22.35" hidden="false" customHeight="false" outlineLevel="0" collapsed="false">
      <c r="A892" s="10" t="s">
        <v>4522</v>
      </c>
      <c r="B892" s="17" t="s">
        <v>65</v>
      </c>
      <c r="C892" s="18" t="s">
        <v>66</v>
      </c>
      <c r="D892" s="17" t="s">
        <v>19</v>
      </c>
      <c r="E892" s="17" t="s">
        <v>75</v>
      </c>
      <c r="F892" s="17" t="s">
        <v>3936</v>
      </c>
      <c r="G892" s="17" t="s">
        <v>4419</v>
      </c>
      <c r="H892" s="17" t="s">
        <v>32</v>
      </c>
      <c r="I892" s="17" t="s">
        <v>316</v>
      </c>
      <c r="J892" s="17" t="s">
        <v>233</v>
      </c>
      <c r="K892" s="19"/>
      <c r="L892" s="19"/>
      <c r="M892" s="19"/>
      <c r="N892" s="19"/>
      <c r="O892" s="17" t="n">
        <v>2</v>
      </c>
      <c r="P892" s="18" t="s">
        <v>4510</v>
      </c>
      <c r="Q892" s="18" t="s">
        <v>4511</v>
      </c>
      <c r="R892" s="18" t="s">
        <v>4523</v>
      </c>
      <c r="S892" s="17" t="s">
        <v>4434</v>
      </c>
      <c r="T892" s="18" t="s">
        <v>4524</v>
      </c>
      <c r="U892" s="19"/>
      <c r="V892" s="18" t="s">
        <v>4525</v>
      </c>
      <c r="W892" s="17" t="s">
        <v>240</v>
      </c>
      <c r="X892" s="17" t="s">
        <v>4526</v>
      </c>
      <c r="Y892" s="17" t="s">
        <v>242</v>
      </c>
      <c r="Z892" s="19"/>
      <c r="AA892" s="19"/>
      <c r="AB892" s="17"/>
      <c r="AC892" s="19"/>
    </row>
    <row r="893" customFormat="false" ht="32.8" hidden="false" customHeight="false" outlineLevel="0" collapsed="false">
      <c r="A893" s="10" t="s">
        <v>4527</v>
      </c>
      <c r="B893" s="17" t="s">
        <v>65</v>
      </c>
      <c r="C893" s="18" t="s">
        <v>66</v>
      </c>
      <c r="D893" s="17" t="s">
        <v>19</v>
      </c>
      <c r="E893" s="17" t="s">
        <v>75</v>
      </c>
      <c r="F893" s="17" t="s">
        <v>3936</v>
      </c>
      <c r="G893" s="17" t="s">
        <v>4419</v>
      </c>
      <c r="H893" s="17" t="s">
        <v>32</v>
      </c>
      <c r="I893" s="17" t="s">
        <v>1786</v>
      </c>
      <c r="J893" s="17" t="s">
        <v>233</v>
      </c>
      <c r="K893" s="19"/>
      <c r="L893" s="19"/>
      <c r="M893" s="19"/>
      <c r="N893" s="19"/>
      <c r="O893" s="17" t="n">
        <v>2</v>
      </c>
      <c r="P893" s="18" t="s">
        <v>4510</v>
      </c>
      <c r="Q893" s="18" t="s">
        <v>4511</v>
      </c>
      <c r="R893" s="18" t="s">
        <v>4528</v>
      </c>
      <c r="S893" s="17" t="s">
        <v>4522</v>
      </c>
      <c r="T893" s="18" t="s">
        <v>4529</v>
      </c>
      <c r="U893" s="19"/>
      <c r="V893" s="18" t="s">
        <v>4530</v>
      </c>
      <c r="W893" s="17" t="s">
        <v>240</v>
      </c>
      <c r="X893" s="17" t="s">
        <v>4531</v>
      </c>
      <c r="Y893" s="17" t="s">
        <v>242</v>
      </c>
      <c r="Z893" s="19"/>
      <c r="AA893" s="19"/>
      <c r="AB893" s="17"/>
      <c r="AC893" s="19"/>
    </row>
    <row r="894" customFormat="false" ht="32.8" hidden="false" customHeight="false" outlineLevel="0" collapsed="false">
      <c r="A894" s="10" t="s">
        <v>4532</v>
      </c>
      <c r="B894" s="17" t="s">
        <v>65</v>
      </c>
      <c r="C894" s="18" t="s">
        <v>66</v>
      </c>
      <c r="D894" s="17" t="s">
        <v>19</v>
      </c>
      <c r="E894" s="17" t="s">
        <v>229</v>
      </c>
      <c r="F894" s="17" t="s">
        <v>3936</v>
      </c>
      <c r="G894" s="17" t="s">
        <v>4419</v>
      </c>
      <c r="H894" s="17" t="s">
        <v>32</v>
      </c>
      <c r="I894" s="17" t="s">
        <v>316</v>
      </c>
      <c r="J894" s="17" t="s">
        <v>233</v>
      </c>
      <c r="K894" s="19"/>
      <c r="L894" s="19"/>
      <c r="M894" s="19"/>
      <c r="N894" s="19"/>
      <c r="O894" s="17" t="n">
        <v>3</v>
      </c>
      <c r="P894" s="18" t="s">
        <v>4510</v>
      </c>
      <c r="Q894" s="18" t="s">
        <v>4511</v>
      </c>
      <c r="R894" s="18" t="s">
        <v>4533</v>
      </c>
      <c r="S894" s="17" t="s">
        <v>4534</v>
      </c>
      <c r="T894" s="18" t="s">
        <v>660</v>
      </c>
      <c r="U894" s="19"/>
      <c r="V894" s="18" t="s">
        <v>4535</v>
      </c>
      <c r="W894" s="17" t="s">
        <v>240</v>
      </c>
      <c r="X894" s="17" t="s">
        <v>4536</v>
      </c>
      <c r="Y894" s="17" t="s">
        <v>242</v>
      </c>
      <c r="Z894" s="19"/>
      <c r="AA894" s="19"/>
      <c r="AB894" s="17"/>
      <c r="AC894" s="19"/>
    </row>
    <row r="895" customFormat="false" ht="32.8" hidden="false" customHeight="false" outlineLevel="0" collapsed="false">
      <c r="A895" s="10" t="s">
        <v>4537</v>
      </c>
      <c r="B895" s="17" t="s">
        <v>65</v>
      </c>
      <c r="C895" s="18" t="s">
        <v>66</v>
      </c>
      <c r="D895" s="17" t="s">
        <v>19</v>
      </c>
      <c r="E895" s="17" t="s">
        <v>244</v>
      </c>
      <c r="F895" s="17" t="s">
        <v>3936</v>
      </c>
      <c r="G895" s="17" t="s">
        <v>4419</v>
      </c>
      <c r="H895" s="17" t="s">
        <v>32</v>
      </c>
      <c r="I895" s="17" t="s">
        <v>1413</v>
      </c>
      <c r="J895" s="17" t="s">
        <v>233</v>
      </c>
      <c r="K895" s="19"/>
      <c r="L895" s="19"/>
      <c r="M895" s="19"/>
      <c r="N895" s="19"/>
      <c r="O895" s="17" t="n">
        <v>3</v>
      </c>
      <c r="P895" s="18" t="s">
        <v>4510</v>
      </c>
      <c r="Q895" s="18" t="s">
        <v>4538</v>
      </c>
      <c r="R895" s="18" t="s">
        <v>4539</v>
      </c>
      <c r="S895" s="17" t="s">
        <v>4540</v>
      </c>
      <c r="T895" s="18" t="s">
        <v>4541</v>
      </c>
      <c r="U895" s="19"/>
      <c r="V895" s="18" t="s">
        <v>4542</v>
      </c>
      <c r="W895" s="17" t="s">
        <v>240</v>
      </c>
      <c r="X895" s="17" t="s">
        <v>4543</v>
      </c>
      <c r="Y895" s="17" t="s">
        <v>242</v>
      </c>
      <c r="Z895" s="19"/>
      <c r="AA895" s="19"/>
      <c r="AB895" s="17"/>
      <c r="AC895" s="19"/>
    </row>
    <row r="896" customFormat="false" ht="22.35" hidden="false" customHeight="false" outlineLevel="0" collapsed="false">
      <c r="A896" s="10" t="s">
        <v>4544</v>
      </c>
      <c r="B896" s="17" t="s">
        <v>65</v>
      </c>
      <c r="C896" s="18" t="s">
        <v>66</v>
      </c>
      <c r="D896" s="17" t="s">
        <v>19</v>
      </c>
      <c r="E896" s="17" t="s">
        <v>229</v>
      </c>
      <c r="F896" s="17" t="s">
        <v>3936</v>
      </c>
      <c r="G896" s="17" t="s">
        <v>4419</v>
      </c>
      <c r="H896" s="17" t="s">
        <v>32</v>
      </c>
      <c r="I896" s="17" t="s">
        <v>333</v>
      </c>
      <c r="J896" s="17" t="s">
        <v>233</v>
      </c>
      <c r="K896" s="19"/>
      <c r="L896" s="19"/>
      <c r="M896" s="19"/>
      <c r="N896" s="19"/>
      <c r="O896" s="17" t="n">
        <v>3</v>
      </c>
      <c r="P896" s="18" t="s">
        <v>4510</v>
      </c>
      <c r="Q896" s="18" t="s">
        <v>4538</v>
      </c>
      <c r="R896" s="18" t="s">
        <v>4545</v>
      </c>
      <c r="S896" s="17" t="s">
        <v>4546</v>
      </c>
      <c r="T896" s="18" t="s">
        <v>4547</v>
      </c>
      <c r="U896" s="19"/>
      <c r="V896" s="18" t="s">
        <v>4548</v>
      </c>
      <c r="W896" s="17" t="s">
        <v>240</v>
      </c>
      <c r="X896" s="17" t="s">
        <v>4549</v>
      </c>
      <c r="Y896" s="17" t="s">
        <v>242</v>
      </c>
      <c r="Z896" s="19"/>
      <c r="AA896" s="19"/>
      <c r="AB896" s="17"/>
      <c r="AC896" s="19"/>
    </row>
    <row r="897" customFormat="false" ht="22.35" hidden="false" customHeight="false" outlineLevel="0" collapsed="false">
      <c r="A897" s="10" t="s">
        <v>4550</v>
      </c>
      <c r="B897" s="17" t="s">
        <v>65</v>
      </c>
      <c r="C897" s="18" t="s">
        <v>66</v>
      </c>
      <c r="D897" s="17" t="s">
        <v>19</v>
      </c>
      <c r="E897" s="17" t="s">
        <v>75</v>
      </c>
      <c r="F897" s="17" t="s">
        <v>3936</v>
      </c>
      <c r="G897" s="17" t="s">
        <v>4419</v>
      </c>
      <c r="H897" s="17" t="s">
        <v>32</v>
      </c>
      <c r="I897" s="17" t="s">
        <v>1413</v>
      </c>
      <c r="J897" s="17" t="s">
        <v>233</v>
      </c>
      <c r="K897" s="19"/>
      <c r="L897" s="19"/>
      <c r="M897" s="19"/>
      <c r="N897" s="19"/>
      <c r="O897" s="17" t="n">
        <v>3</v>
      </c>
      <c r="P897" s="18" t="s">
        <v>4510</v>
      </c>
      <c r="Q897" s="18" t="s">
        <v>4538</v>
      </c>
      <c r="R897" s="18" t="s">
        <v>4551</v>
      </c>
      <c r="S897" s="17" t="s">
        <v>4544</v>
      </c>
      <c r="T897" s="18" t="s">
        <v>285</v>
      </c>
      <c r="U897" s="19"/>
      <c r="V897" s="18" t="s">
        <v>4226</v>
      </c>
      <c r="W897" s="17" t="s">
        <v>240</v>
      </c>
      <c r="X897" s="17" t="s">
        <v>3977</v>
      </c>
      <c r="Y897" s="17" t="s">
        <v>242</v>
      </c>
      <c r="Z897" s="19"/>
      <c r="AA897" s="19"/>
      <c r="AB897" s="17"/>
      <c r="AC897" s="19"/>
    </row>
    <row r="898" customFormat="false" ht="22.35" hidden="false" customHeight="false" outlineLevel="0" collapsed="false">
      <c r="A898" s="10" t="s">
        <v>4552</v>
      </c>
      <c r="B898" s="17" t="s">
        <v>65</v>
      </c>
      <c r="C898" s="18" t="s">
        <v>66</v>
      </c>
      <c r="D898" s="17" t="s">
        <v>19</v>
      </c>
      <c r="E898" s="17" t="s">
        <v>244</v>
      </c>
      <c r="F898" s="17" t="s">
        <v>3936</v>
      </c>
      <c r="G898" s="17" t="s">
        <v>4419</v>
      </c>
      <c r="H898" s="17" t="s">
        <v>32</v>
      </c>
      <c r="I898" s="17" t="s">
        <v>450</v>
      </c>
      <c r="J898" s="17" t="s">
        <v>233</v>
      </c>
      <c r="K898" s="19"/>
      <c r="L898" s="19"/>
      <c r="M898" s="19"/>
      <c r="N898" s="19"/>
      <c r="O898" s="17" t="n">
        <v>2</v>
      </c>
      <c r="P898" s="18" t="s">
        <v>4553</v>
      </c>
      <c r="Q898" s="18" t="s">
        <v>4554</v>
      </c>
      <c r="R898" s="18" t="s">
        <v>4555</v>
      </c>
      <c r="S898" s="17" t="s">
        <v>4429</v>
      </c>
      <c r="T898" s="18" t="s">
        <v>4556</v>
      </c>
      <c r="U898" s="19"/>
      <c r="V898" s="18" t="s">
        <v>4557</v>
      </c>
      <c r="W898" s="17" t="s">
        <v>240</v>
      </c>
      <c r="X898" s="17" t="s">
        <v>4558</v>
      </c>
      <c r="Y898" s="17" t="s">
        <v>242</v>
      </c>
      <c r="Z898" s="19"/>
      <c r="AA898" s="19"/>
      <c r="AB898" s="17"/>
      <c r="AC898" s="19"/>
    </row>
    <row r="899" customFormat="false" ht="22.35" hidden="false" customHeight="false" outlineLevel="0" collapsed="false">
      <c r="A899" s="10" t="s">
        <v>4559</v>
      </c>
      <c r="B899" s="17" t="s">
        <v>65</v>
      </c>
      <c r="C899" s="18" t="s">
        <v>66</v>
      </c>
      <c r="D899" s="17" t="s">
        <v>19</v>
      </c>
      <c r="E899" s="17" t="s">
        <v>229</v>
      </c>
      <c r="F899" s="17" t="s">
        <v>3936</v>
      </c>
      <c r="G899" s="17" t="s">
        <v>4419</v>
      </c>
      <c r="H899" s="17" t="s">
        <v>32</v>
      </c>
      <c r="I899" s="17" t="s">
        <v>316</v>
      </c>
      <c r="J899" s="17" t="s">
        <v>233</v>
      </c>
      <c r="K899" s="19"/>
      <c r="L899" s="19"/>
      <c r="M899" s="19"/>
      <c r="N899" s="19"/>
      <c r="O899" s="17" t="n">
        <v>2</v>
      </c>
      <c r="P899" s="18" t="s">
        <v>4553</v>
      </c>
      <c r="Q899" s="18" t="s">
        <v>4554</v>
      </c>
      <c r="R899" s="18" t="s">
        <v>4560</v>
      </c>
      <c r="S899" s="17" t="s">
        <v>4561</v>
      </c>
      <c r="T899" s="18" t="s">
        <v>4562</v>
      </c>
      <c r="U899" s="19"/>
      <c r="V899" s="18" t="s">
        <v>4563</v>
      </c>
      <c r="W899" s="17" t="s">
        <v>240</v>
      </c>
      <c r="X899" s="17" t="s">
        <v>4564</v>
      </c>
      <c r="Y899" s="17" t="s">
        <v>242</v>
      </c>
      <c r="Z899" s="19"/>
      <c r="AA899" s="19"/>
      <c r="AB899" s="17"/>
      <c r="AC899" s="19"/>
    </row>
    <row r="900" customFormat="false" ht="22.35" hidden="false" customHeight="false" outlineLevel="0" collapsed="false">
      <c r="A900" s="10" t="s">
        <v>4565</v>
      </c>
      <c r="B900" s="17" t="s">
        <v>65</v>
      </c>
      <c r="C900" s="18" t="s">
        <v>66</v>
      </c>
      <c r="D900" s="17" t="s">
        <v>19</v>
      </c>
      <c r="E900" s="17" t="s">
        <v>229</v>
      </c>
      <c r="F900" s="17" t="s">
        <v>3936</v>
      </c>
      <c r="G900" s="17" t="s">
        <v>4419</v>
      </c>
      <c r="H900" s="17" t="s">
        <v>32</v>
      </c>
      <c r="I900" s="17" t="s">
        <v>316</v>
      </c>
      <c r="J900" s="17" t="s">
        <v>233</v>
      </c>
      <c r="K900" s="19"/>
      <c r="L900" s="19"/>
      <c r="M900" s="19"/>
      <c r="N900" s="19"/>
      <c r="O900" s="17" t="n">
        <v>2</v>
      </c>
      <c r="P900" s="18" t="s">
        <v>4553</v>
      </c>
      <c r="Q900" s="18" t="s">
        <v>4554</v>
      </c>
      <c r="R900" s="18" t="s">
        <v>4566</v>
      </c>
      <c r="S900" s="17" t="s">
        <v>4567</v>
      </c>
      <c r="T900" s="18" t="s">
        <v>4568</v>
      </c>
      <c r="U900" s="19"/>
      <c r="V900" s="18" t="s">
        <v>4569</v>
      </c>
      <c r="W900" s="17" t="s">
        <v>240</v>
      </c>
      <c r="X900" s="17" t="s">
        <v>4500</v>
      </c>
      <c r="Y900" s="17" t="s">
        <v>242</v>
      </c>
      <c r="Z900" s="19"/>
      <c r="AA900" s="19"/>
      <c r="AB900" s="17"/>
      <c r="AC900" s="19"/>
    </row>
    <row r="901" customFormat="false" ht="22.35" hidden="false" customHeight="false" outlineLevel="0" collapsed="false">
      <c r="A901" s="10" t="s">
        <v>4570</v>
      </c>
      <c r="B901" s="17" t="s">
        <v>65</v>
      </c>
      <c r="C901" s="18" t="s">
        <v>66</v>
      </c>
      <c r="D901" s="17" t="s">
        <v>19</v>
      </c>
      <c r="E901" s="17" t="s">
        <v>229</v>
      </c>
      <c r="F901" s="17" t="s">
        <v>3936</v>
      </c>
      <c r="G901" s="17" t="s">
        <v>4419</v>
      </c>
      <c r="H901" s="17" t="s">
        <v>32</v>
      </c>
      <c r="I901" s="17" t="s">
        <v>333</v>
      </c>
      <c r="J901" s="17" t="s">
        <v>233</v>
      </c>
      <c r="K901" s="19"/>
      <c r="L901" s="19"/>
      <c r="M901" s="19"/>
      <c r="N901" s="19"/>
      <c r="O901" s="17" t="n">
        <v>2</v>
      </c>
      <c r="P901" s="18" t="s">
        <v>4553</v>
      </c>
      <c r="Q901" s="18" t="s">
        <v>4554</v>
      </c>
      <c r="R901" s="18" t="s">
        <v>4571</v>
      </c>
      <c r="S901" s="17" t="s">
        <v>4572</v>
      </c>
      <c r="T901" s="18" t="s">
        <v>4138</v>
      </c>
      <c r="U901" s="19"/>
      <c r="V901" s="18" t="s">
        <v>4573</v>
      </c>
      <c r="W901" s="17" t="s">
        <v>240</v>
      </c>
      <c r="X901" s="17" t="s">
        <v>4134</v>
      </c>
      <c r="Y901" s="17" t="s">
        <v>242</v>
      </c>
      <c r="Z901" s="19"/>
      <c r="AA901" s="19"/>
      <c r="AB901" s="17"/>
      <c r="AC901" s="19"/>
    </row>
    <row r="902" customFormat="false" ht="22.35" hidden="false" customHeight="false" outlineLevel="0" collapsed="false">
      <c r="A902" s="10" t="s">
        <v>4574</v>
      </c>
      <c r="B902" s="17" t="s">
        <v>65</v>
      </c>
      <c r="C902" s="18" t="s">
        <v>66</v>
      </c>
      <c r="D902" s="17" t="s">
        <v>19</v>
      </c>
      <c r="E902" s="17" t="s">
        <v>75</v>
      </c>
      <c r="F902" s="17" t="s">
        <v>3936</v>
      </c>
      <c r="G902" s="17" t="s">
        <v>4419</v>
      </c>
      <c r="H902" s="17" t="s">
        <v>32</v>
      </c>
      <c r="I902" s="17" t="s">
        <v>1028</v>
      </c>
      <c r="J902" s="17" t="s">
        <v>233</v>
      </c>
      <c r="K902" s="19"/>
      <c r="L902" s="19"/>
      <c r="M902" s="19"/>
      <c r="N902" s="19"/>
      <c r="O902" s="17" t="n">
        <v>3</v>
      </c>
      <c r="P902" s="18" t="s">
        <v>4553</v>
      </c>
      <c r="Q902" s="18" t="s">
        <v>4554</v>
      </c>
      <c r="R902" s="18" t="s">
        <v>4575</v>
      </c>
      <c r="S902" s="17" t="s">
        <v>4522</v>
      </c>
      <c r="T902" s="18" t="s">
        <v>4576</v>
      </c>
      <c r="U902" s="19"/>
      <c r="V902" s="18" t="s">
        <v>4577</v>
      </c>
      <c r="W902" s="17" t="s">
        <v>240</v>
      </c>
      <c r="X902" s="17" t="s">
        <v>4578</v>
      </c>
      <c r="Y902" s="17" t="s">
        <v>242</v>
      </c>
      <c r="Z902" s="19"/>
      <c r="AA902" s="19"/>
      <c r="AB902" s="17"/>
      <c r="AC902" s="19"/>
    </row>
    <row r="903" customFormat="false" ht="22.35" hidden="false" customHeight="false" outlineLevel="0" collapsed="false">
      <c r="A903" s="10" t="s">
        <v>4579</v>
      </c>
      <c r="B903" s="17" t="s">
        <v>65</v>
      </c>
      <c r="C903" s="18" t="s">
        <v>66</v>
      </c>
      <c r="D903" s="17" t="s">
        <v>19</v>
      </c>
      <c r="E903" s="17" t="s">
        <v>75</v>
      </c>
      <c r="F903" s="17" t="s">
        <v>3936</v>
      </c>
      <c r="G903" s="17" t="s">
        <v>4419</v>
      </c>
      <c r="H903" s="17" t="s">
        <v>32</v>
      </c>
      <c r="I903" s="17" t="s">
        <v>450</v>
      </c>
      <c r="J903" s="17" t="s">
        <v>233</v>
      </c>
      <c r="K903" s="19"/>
      <c r="L903" s="19"/>
      <c r="M903" s="19"/>
      <c r="N903" s="19"/>
      <c r="O903" s="17" t="n">
        <v>2</v>
      </c>
      <c r="P903" s="18" t="s">
        <v>4553</v>
      </c>
      <c r="Q903" s="18" t="s">
        <v>4554</v>
      </c>
      <c r="R903" s="18" t="s">
        <v>4580</v>
      </c>
      <c r="S903" s="17" t="s">
        <v>4574</v>
      </c>
      <c r="T903" s="18" t="s">
        <v>285</v>
      </c>
      <c r="U903" s="19"/>
      <c r="V903" s="18" t="s">
        <v>4226</v>
      </c>
      <c r="W903" s="17" t="s">
        <v>240</v>
      </c>
      <c r="X903" s="17" t="s">
        <v>3977</v>
      </c>
      <c r="Y903" s="17" t="s">
        <v>242</v>
      </c>
      <c r="Z903" s="19"/>
      <c r="AA903" s="19"/>
      <c r="AB903" s="17" t="s">
        <v>1681</v>
      </c>
      <c r="AC903" s="19"/>
    </row>
    <row r="904" customFormat="false" ht="22.35" hidden="false" customHeight="false" outlineLevel="0" collapsed="false">
      <c r="A904" s="10" t="s">
        <v>4581</v>
      </c>
      <c r="B904" s="17" t="s">
        <v>65</v>
      </c>
      <c r="C904" s="18" t="s">
        <v>66</v>
      </c>
      <c r="D904" s="17" t="s">
        <v>19</v>
      </c>
      <c r="E904" s="17" t="s">
        <v>75</v>
      </c>
      <c r="F904" s="17" t="s">
        <v>3936</v>
      </c>
      <c r="G904" s="17" t="s">
        <v>4419</v>
      </c>
      <c r="H904" s="17" t="s">
        <v>32</v>
      </c>
      <c r="I904" s="17" t="s">
        <v>316</v>
      </c>
      <c r="J904" s="17" t="s">
        <v>233</v>
      </c>
      <c r="K904" s="19"/>
      <c r="L904" s="19"/>
      <c r="M904" s="19"/>
      <c r="N904" s="19"/>
      <c r="O904" s="17" t="n">
        <v>3</v>
      </c>
      <c r="P904" s="18" t="s">
        <v>4582</v>
      </c>
      <c r="Q904" s="18" t="s">
        <v>4384</v>
      </c>
      <c r="R904" s="18" t="s">
        <v>4583</v>
      </c>
      <c r="S904" s="17" t="s">
        <v>4584</v>
      </c>
      <c r="T904" s="18" t="s">
        <v>4585</v>
      </c>
      <c r="U904" s="19"/>
      <c r="V904" s="18" t="s">
        <v>4586</v>
      </c>
      <c r="W904" s="17" t="s">
        <v>240</v>
      </c>
      <c r="X904" s="17" t="s">
        <v>4119</v>
      </c>
      <c r="Y904" s="17" t="s">
        <v>242</v>
      </c>
      <c r="Z904" s="19"/>
      <c r="AA904" s="19"/>
      <c r="AB904" s="17"/>
      <c r="AC904" s="19"/>
    </row>
    <row r="905" customFormat="false" ht="32.8" hidden="false" customHeight="false" outlineLevel="0" collapsed="false">
      <c r="A905" s="10" t="s">
        <v>4587</v>
      </c>
      <c r="B905" s="17" t="s">
        <v>65</v>
      </c>
      <c r="C905" s="18" t="s">
        <v>66</v>
      </c>
      <c r="D905" s="17" t="s">
        <v>19</v>
      </c>
      <c r="E905" s="17" t="s">
        <v>75</v>
      </c>
      <c r="F905" s="17" t="s">
        <v>3936</v>
      </c>
      <c r="G905" s="17" t="s">
        <v>4419</v>
      </c>
      <c r="H905" s="17" t="s">
        <v>32</v>
      </c>
      <c r="I905" s="17" t="s">
        <v>1413</v>
      </c>
      <c r="J905" s="17" t="s">
        <v>233</v>
      </c>
      <c r="K905" s="19"/>
      <c r="L905" s="19"/>
      <c r="M905" s="19"/>
      <c r="N905" s="19"/>
      <c r="O905" s="17" t="n">
        <v>3</v>
      </c>
      <c r="P905" s="18" t="s">
        <v>4582</v>
      </c>
      <c r="Q905" s="18" t="s">
        <v>4384</v>
      </c>
      <c r="R905" s="18" t="s">
        <v>4588</v>
      </c>
      <c r="S905" s="17" t="s">
        <v>4589</v>
      </c>
      <c r="T905" s="18" t="s">
        <v>4590</v>
      </c>
      <c r="U905" s="19"/>
      <c r="V905" s="18" t="s">
        <v>4591</v>
      </c>
      <c r="W905" s="17" t="s">
        <v>383</v>
      </c>
      <c r="X905" s="17" t="s">
        <v>4592</v>
      </c>
      <c r="Y905" s="17" t="s">
        <v>242</v>
      </c>
      <c r="Z905" s="19"/>
      <c r="AA905" s="19"/>
      <c r="AB905" s="17"/>
      <c r="AC905" s="19"/>
    </row>
    <row r="906" customFormat="false" ht="22.35" hidden="false" customHeight="false" outlineLevel="0" collapsed="false">
      <c r="A906" s="10" t="s">
        <v>4593</v>
      </c>
      <c r="B906" s="17" t="s">
        <v>65</v>
      </c>
      <c r="C906" s="18" t="s">
        <v>66</v>
      </c>
      <c r="D906" s="17" t="s">
        <v>19</v>
      </c>
      <c r="E906" s="17" t="s">
        <v>229</v>
      </c>
      <c r="F906" s="17" t="s">
        <v>3936</v>
      </c>
      <c r="G906" s="17" t="s">
        <v>4419</v>
      </c>
      <c r="H906" s="17" t="s">
        <v>32</v>
      </c>
      <c r="I906" s="17" t="s">
        <v>289</v>
      </c>
      <c r="J906" s="17" t="s">
        <v>233</v>
      </c>
      <c r="K906" s="19"/>
      <c r="L906" s="19"/>
      <c r="M906" s="19"/>
      <c r="N906" s="19"/>
      <c r="O906" s="17" t="n">
        <v>3</v>
      </c>
      <c r="P906" s="18" t="s">
        <v>4582</v>
      </c>
      <c r="Q906" s="18" t="s">
        <v>4384</v>
      </c>
      <c r="R906" s="18" t="s">
        <v>4594</v>
      </c>
      <c r="S906" s="17" t="s">
        <v>4173</v>
      </c>
      <c r="T906" s="18" t="s">
        <v>4595</v>
      </c>
      <c r="U906" s="19"/>
      <c r="V906" s="18" t="s">
        <v>4596</v>
      </c>
      <c r="W906" s="17" t="s">
        <v>383</v>
      </c>
      <c r="X906" s="17" t="s">
        <v>4178</v>
      </c>
      <c r="Y906" s="17" t="s">
        <v>242</v>
      </c>
      <c r="Z906" s="19"/>
      <c r="AA906" s="19"/>
      <c r="AB906" s="17"/>
      <c r="AC906" s="19"/>
    </row>
    <row r="907" customFormat="false" ht="22.35" hidden="false" customHeight="false" outlineLevel="0" collapsed="false">
      <c r="A907" s="10" t="s">
        <v>4597</v>
      </c>
      <c r="B907" s="17" t="s">
        <v>65</v>
      </c>
      <c r="C907" s="18" t="s">
        <v>66</v>
      </c>
      <c r="D907" s="17" t="s">
        <v>19</v>
      </c>
      <c r="E907" s="17" t="s">
        <v>75</v>
      </c>
      <c r="F907" s="17" t="s">
        <v>3936</v>
      </c>
      <c r="G907" s="17" t="s">
        <v>4419</v>
      </c>
      <c r="H907" s="17" t="s">
        <v>32</v>
      </c>
      <c r="I907" s="17" t="s">
        <v>289</v>
      </c>
      <c r="J907" s="17" t="s">
        <v>233</v>
      </c>
      <c r="K907" s="19"/>
      <c r="L907" s="19"/>
      <c r="M907" s="19"/>
      <c r="N907" s="19"/>
      <c r="O907" s="17" t="n">
        <v>3</v>
      </c>
      <c r="P907" s="18" t="s">
        <v>4582</v>
      </c>
      <c r="Q907" s="18" t="s">
        <v>4384</v>
      </c>
      <c r="R907" s="18" t="s">
        <v>4598</v>
      </c>
      <c r="S907" s="17" t="s">
        <v>4593</v>
      </c>
      <c r="T907" s="18" t="s">
        <v>2234</v>
      </c>
      <c r="U907" s="19"/>
      <c r="V907" s="18" t="s">
        <v>4599</v>
      </c>
      <c r="W907" s="17" t="s">
        <v>240</v>
      </c>
      <c r="X907" s="17" t="s">
        <v>4600</v>
      </c>
      <c r="Y907" s="17" t="s">
        <v>242</v>
      </c>
      <c r="Z907" s="19"/>
      <c r="AA907" s="19"/>
      <c r="AB907" s="17"/>
      <c r="AC907" s="19"/>
    </row>
    <row r="908" customFormat="false" ht="22.35" hidden="false" customHeight="false" outlineLevel="0" collapsed="false">
      <c r="A908" s="10" t="s">
        <v>4601</v>
      </c>
      <c r="B908" s="17" t="s">
        <v>65</v>
      </c>
      <c r="C908" s="18" t="s">
        <v>66</v>
      </c>
      <c r="D908" s="17" t="s">
        <v>19</v>
      </c>
      <c r="E908" s="17" t="s">
        <v>75</v>
      </c>
      <c r="F908" s="17" t="s">
        <v>3936</v>
      </c>
      <c r="G908" s="17" t="s">
        <v>4419</v>
      </c>
      <c r="H908" s="17" t="s">
        <v>32</v>
      </c>
      <c r="I908" s="17" t="s">
        <v>369</v>
      </c>
      <c r="J908" s="17" t="s">
        <v>233</v>
      </c>
      <c r="K908" s="19"/>
      <c r="L908" s="19"/>
      <c r="M908" s="19"/>
      <c r="N908" s="19"/>
      <c r="O908" s="17" t="n">
        <v>3</v>
      </c>
      <c r="P908" s="18" t="s">
        <v>4582</v>
      </c>
      <c r="Q908" s="18" t="s">
        <v>4384</v>
      </c>
      <c r="R908" s="18" t="s">
        <v>4602</v>
      </c>
      <c r="S908" s="17" t="s">
        <v>4434</v>
      </c>
      <c r="T908" s="18" t="s">
        <v>2967</v>
      </c>
      <c r="U908" s="19"/>
      <c r="V908" s="18" t="s">
        <v>4603</v>
      </c>
      <c r="W908" s="17" t="s">
        <v>240</v>
      </c>
      <c r="X908" s="17" t="s">
        <v>4415</v>
      </c>
      <c r="Y908" s="17" t="s">
        <v>242</v>
      </c>
      <c r="Z908" s="19"/>
      <c r="AA908" s="19"/>
      <c r="AB908" s="17"/>
      <c r="AC908" s="19"/>
    </row>
    <row r="909" customFormat="false" ht="22.35" hidden="false" customHeight="false" outlineLevel="0" collapsed="false">
      <c r="A909" s="10" t="s">
        <v>4604</v>
      </c>
      <c r="B909" s="17" t="s">
        <v>65</v>
      </c>
      <c r="C909" s="18" t="s">
        <v>66</v>
      </c>
      <c r="D909" s="17" t="s">
        <v>19</v>
      </c>
      <c r="E909" s="17" t="s">
        <v>75</v>
      </c>
      <c r="F909" s="17" t="s">
        <v>3936</v>
      </c>
      <c r="G909" s="17" t="s">
        <v>4419</v>
      </c>
      <c r="H909" s="17" t="s">
        <v>32</v>
      </c>
      <c r="I909" s="17" t="s">
        <v>316</v>
      </c>
      <c r="J909" s="17" t="s">
        <v>233</v>
      </c>
      <c r="K909" s="19"/>
      <c r="L909" s="19"/>
      <c r="M909" s="19"/>
      <c r="N909" s="19"/>
      <c r="O909" s="17" t="n">
        <v>3</v>
      </c>
      <c r="P909" s="18" t="s">
        <v>4582</v>
      </c>
      <c r="Q909" s="18" t="s">
        <v>4384</v>
      </c>
      <c r="R909" s="18" t="s">
        <v>4605</v>
      </c>
      <c r="S909" s="17" t="s">
        <v>4601</v>
      </c>
      <c r="T909" s="18" t="s">
        <v>285</v>
      </c>
      <c r="U909" s="19"/>
      <c r="V909" s="18" t="s">
        <v>4226</v>
      </c>
      <c r="W909" s="17" t="s">
        <v>240</v>
      </c>
      <c r="X909" s="17" t="s">
        <v>3977</v>
      </c>
      <c r="Y909" s="17" t="s">
        <v>242</v>
      </c>
      <c r="Z909" s="19"/>
      <c r="AA909" s="19"/>
      <c r="AB909" s="17"/>
      <c r="AC909" s="19"/>
    </row>
    <row r="910" customFormat="false" ht="43.25" hidden="false" customHeight="false" outlineLevel="0" collapsed="false">
      <c r="A910" s="10" t="s">
        <v>4606</v>
      </c>
      <c r="B910" s="17" t="s">
        <v>106</v>
      </c>
      <c r="C910" s="18" t="s">
        <v>107</v>
      </c>
      <c r="D910" s="17" t="s">
        <v>19</v>
      </c>
      <c r="E910" s="17" t="s">
        <v>229</v>
      </c>
      <c r="F910" s="17" t="s">
        <v>3936</v>
      </c>
      <c r="G910" s="17" t="s">
        <v>4607</v>
      </c>
      <c r="H910" s="17" t="s">
        <v>32</v>
      </c>
      <c r="I910" s="17" t="s">
        <v>1786</v>
      </c>
      <c r="J910" s="17" t="s">
        <v>233</v>
      </c>
      <c r="K910" s="19"/>
      <c r="L910" s="19"/>
      <c r="M910" s="19"/>
      <c r="N910" s="19"/>
      <c r="O910" s="17" t="n">
        <v>0</v>
      </c>
      <c r="P910" s="18" t="s">
        <v>4608</v>
      </c>
      <c r="Q910" s="18" t="s">
        <v>4609</v>
      </c>
      <c r="R910" s="18" t="s">
        <v>4610</v>
      </c>
      <c r="S910" s="17" t="s">
        <v>237</v>
      </c>
      <c r="T910" s="18" t="s">
        <v>4611</v>
      </c>
      <c r="U910" s="19"/>
      <c r="V910" s="18" t="s">
        <v>4612</v>
      </c>
      <c r="W910" s="17" t="s">
        <v>240</v>
      </c>
      <c r="X910" s="17" t="s">
        <v>4613</v>
      </c>
      <c r="Y910" s="17" t="s">
        <v>242</v>
      </c>
      <c r="Z910" s="19"/>
      <c r="AA910" s="19"/>
      <c r="AB910" s="17"/>
      <c r="AC910" s="19"/>
    </row>
    <row r="911" customFormat="false" ht="32.8" hidden="false" customHeight="false" outlineLevel="0" collapsed="false">
      <c r="A911" s="10" t="s">
        <v>4614</v>
      </c>
      <c r="B911" s="17" t="s">
        <v>106</v>
      </c>
      <c r="C911" s="18" t="s">
        <v>107</v>
      </c>
      <c r="D911" s="17" t="s">
        <v>19</v>
      </c>
      <c r="E911" s="17" t="s">
        <v>229</v>
      </c>
      <c r="F911" s="17" t="s">
        <v>3936</v>
      </c>
      <c r="G911" s="17" t="s">
        <v>4607</v>
      </c>
      <c r="H911" s="17" t="s">
        <v>32</v>
      </c>
      <c r="I911" s="17" t="s">
        <v>232</v>
      </c>
      <c r="J911" s="17" t="s">
        <v>233</v>
      </c>
      <c r="K911" s="19"/>
      <c r="L911" s="19"/>
      <c r="M911" s="19"/>
      <c r="N911" s="19"/>
      <c r="O911" s="17" t="n">
        <v>0</v>
      </c>
      <c r="P911" s="18" t="s">
        <v>4608</v>
      </c>
      <c r="Q911" s="18" t="s">
        <v>4609</v>
      </c>
      <c r="R911" s="18" t="s">
        <v>4615</v>
      </c>
      <c r="S911" s="17" t="s">
        <v>3940</v>
      </c>
      <c r="T911" s="18" t="s">
        <v>4616</v>
      </c>
      <c r="U911" s="19"/>
      <c r="V911" s="18" t="s">
        <v>4617</v>
      </c>
      <c r="W911" s="17" t="s">
        <v>240</v>
      </c>
      <c r="X911" s="17" t="s">
        <v>4618</v>
      </c>
      <c r="Y911" s="17" t="s">
        <v>242</v>
      </c>
      <c r="Z911" s="19"/>
      <c r="AA911" s="19"/>
      <c r="AB911" s="17"/>
      <c r="AC911" s="19"/>
    </row>
    <row r="912" customFormat="false" ht="22.35" hidden="false" customHeight="false" outlineLevel="0" collapsed="false">
      <c r="A912" s="10" t="s">
        <v>4619</v>
      </c>
      <c r="B912" s="17" t="s">
        <v>106</v>
      </c>
      <c r="C912" s="18" t="s">
        <v>107</v>
      </c>
      <c r="D912" s="17" t="s">
        <v>19</v>
      </c>
      <c r="E912" s="17" t="s">
        <v>229</v>
      </c>
      <c r="F912" s="17" t="s">
        <v>3936</v>
      </c>
      <c r="G912" s="17" t="s">
        <v>4607</v>
      </c>
      <c r="H912" s="17" t="s">
        <v>32</v>
      </c>
      <c r="I912" s="17" t="s">
        <v>232</v>
      </c>
      <c r="J912" s="17" t="s">
        <v>233</v>
      </c>
      <c r="K912" s="19"/>
      <c r="L912" s="19"/>
      <c r="M912" s="19"/>
      <c r="N912" s="19"/>
      <c r="O912" s="17" t="n">
        <v>0</v>
      </c>
      <c r="P912" s="18" t="s">
        <v>4608</v>
      </c>
      <c r="Q912" s="18" t="s">
        <v>4609</v>
      </c>
      <c r="R912" s="18" t="s">
        <v>4620</v>
      </c>
      <c r="S912" s="17" t="s">
        <v>4614</v>
      </c>
      <c r="T912" s="18" t="s">
        <v>4621</v>
      </c>
      <c r="U912" s="19"/>
      <c r="V912" s="18" t="s">
        <v>4622</v>
      </c>
      <c r="W912" s="17" t="s">
        <v>240</v>
      </c>
      <c r="X912" s="17" t="s">
        <v>4623</v>
      </c>
      <c r="Y912" s="17" t="s">
        <v>242</v>
      </c>
      <c r="Z912" s="19"/>
      <c r="AA912" s="19"/>
      <c r="AB912" s="17"/>
      <c r="AC912" s="19"/>
    </row>
    <row r="913" customFormat="false" ht="22.35" hidden="false" customHeight="false" outlineLevel="0" collapsed="false">
      <c r="A913" s="10" t="s">
        <v>4624</v>
      </c>
      <c r="B913" s="17" t="s">
        <v>106</v>
      </c>
      <c r="C913" s="18" t="s">
        <v>107</v>
      </c>
      <c r="D913" s="17" t="s">
        <v>19</v>
      </c>
      <c r="E913" s="17" t="s">
        <v>244</v>
      </c>
      <c r="F913" s="17" t="s">
        <v>3936</v>
      </c>
      <c r="G913" s="17" t="s">
        <v>4607</v>
      </c>
      <c r="H913" s="17" t="s">
        <v>32</v>
      </c>
      <c r="I913" s="17" t="s">
        <v>1028</v>
      </c>
      <c r="J913" s="17" t="s">
        <v>233</v>
      </c>
      <c r="K913" s="19"/>
      <c r="L913" s="19"/>
      <c r="M913" s="19"/>
      <c r="N913" s="19"/>
      <c r="O913" s="17" t="n">
        <v>2</v>
      </c>
      <c r="P913" s="18" t="s">
        <v>4608</v>
      </c>
      <c r="Q913" s="18" t="s">
        <v>4609</v>
      </c>
      <c r="R913" s="18" t="s">
        <v>4625</v>
      </c>
      <c r="S913" s="17" t="s">
        <v>4614</v>
      </c>
      <c r="T913" s="18" t="s">
        <v>4626</v>
      </c>
      <c r="U913" s="19"/>
      <c r="V913" s="18" t="s">
        <v>4627</v>
      </c>
      <c r="W913" s="17" t="s">
        <v>240</v>
      </c>
      <c r="X913" s="17" t="s">
        <v>4628</v>
      </c>
      <c r="Y913" s="17" t="s">
        <v>242</v>
      </c>
      <c r="Z913" s="19"/>
      <c r="AA913" s="19"/>
      <c r="AB913" s="17"/>
      <c r="AC913" s="19"/>
    </row>
    <row r="914" customFormat="false" ht="22.35" hidden="false" customHeight="false" outlineLevel="0" collapsed="false">
      <c r="A914" s="10" t="s">
        <v>4629</v>
      </c>
      <c r="B914" s="17" t="s">
        <v>106</v>
      </c>
      <c r="C914" s="18" t="s">
        <v>107</v>
      </c>
      <c r="D914" s="17" t="s">
        <v>19</v>
      </c>
      <c r="E914" s="17" t="s">
        <v>75</v>
      </c>
      <c r="F914" s="17" t="s">
        <v>3936</v>
      </c>
      <c r="G914" s="17" t="s">
        <v>4607</v>
      </c>
      <c r="H914" s="17" t="s">
        <v>32</v>
      </c>
      <c r="I914" s="17" t="s">
        <v>277</v>
      </c>
      <c r="J914" s="17" t="s">
        <v>233</v>
      </c>
      <c r="K914" s="19"/>
      <c r="L914" s="19"/>
      <c r="M914" s="19"/>
      <c r="N914" s="19"/>
      <c r="O914" s="17" t="n">
        <v>2</v>
      </c>
      <c r="P914" s="18" t="s">
        <v>4608</v>
      </c>
      <c r="Q914" s="18" t="s">
        <v>4609</v>
      </c>
      <c r="R914" s="18" t="s">
        <v>4630</v>
      </c>
      <c r="S914" s="17" t="s">
        <v>4619</v>
      </c>
      <c r="T914" s="18" t="s">
        <v>3971</v>
      </c>
      <c r="U914" s="19"/>
      <c r="V914" s="18" t="s">
        <v>4451</v>
      </c>
      <c r="W914" s="17" t="s">
        <v>240</v>
      </c>
      <c r="X914" s="17" t="s">
        <v>4223</v>
      </c>
      <c r="Y914" s="17" t="s">
        <v>242</v>
      </c>
      <c r="Z914" s="19"/>
      <c r="AA914" s="19"/>
      <c r="AB914" s="17"/>
      <c r="AC914" s="19"/>
    </row>
    <row r="915" customFormat="false" ht="22.35" hidden="false" customHeight="false" outlineLevel="0" collapsed="false">
      <c r="A915" s="10" t="s">
        <v>4631</v>
      </c>
      <c r="B915" s="17" t="s">
        <v>106</v>
      </c>
      <c r="C915" s="18" t="s">
        <v>107</v>
      </c>
      <c r="D915" s="17" t="s">
        <v>19</v>
      </c>
      <c r="E915" s="17" t="s">
        <v>75</v>
      </c>
      <c r="F915" s="17" t="s">
        <v>3936</v>
      </c>
      <c r="G915" s="17" t="s">
        <v>4607</v>
      </c>
      <c r="H915" s="17" t="s">
        <v>32</v>
      </c>
      <c r="I915" s="17" t="s">
        <v>232</v>
      </c>
      <c r="J915" s="17" t="s">
        <v>233</v>
      </c>
      <c r="K915" s="19"/>
      <c r="L915" s="19"/>
      <c r="M915" s="19"/>
      <c r="N915" s="19"/>
      <c r="O915" s="17" t="n">
        <v>2</v>
      </c>
      <c r="P915" s="18" t="s">
        <v>4608</v>
      </c>
      <c r="Q915" s="18" t="s">
        <v>4609</v>
      </c>
      <c r="R915" s="18" t="s">
        <v>4632</v>
      </c>
      <c r="S915" s="17" t="s">
        <v>4629</v>
      </c>
      <c r="T915" s="18" t="s">
        <v>285</v>
      </c>
      <c r="U915" s="19"/>
      <c r="V915" s="18" t="s">
        <v>4226</v>
      </c>
      <c r="W915" s="17" t="s">
        <v>240</v>
      </c>
      <c r="X915" s="17" t="s">
        <v>3977</v>
      </c>
      <c r="Y915" s="17" t="s">
        <v>242</v>
      </c>
      <c r="Z915" s="19"/>
      <c r="AA915" s="19"/>
      <c r="AB915" s="17"/>
      <c r="AC915" s="19"/>
    </row>
    <row r="916" customFormat="false" ht="32.8" hidden="false" customHeight="false" outlineLevel="0" collapsed="false">
      <c r="A916" s="10" t="s">
        <v>4633</v>
      </c>
      <c r="B916" s="17" t="s">
        <v>106</v>
      </c>
      <c r="C916" s="18" t="s">
        <v>107</v>
      </c>
      <c r="D916" s="17" t="s">
        <v>19</v>
      </c>
      <c r="E916" s="17" t="s">
        <v>75</v>
      </c>
      <c r="F916" s="17" t="s">
        <v>3936</v>
      </c>
      <c r="G916" s="17" t="s">
        <v>4607</v>
      </c>
      <c r="H916" s="17" t="s">
        <v>32</v>
      </c>
      <c r="I916" s="17" t="s">
        <v>316</v>
      </c>
      <c r="J916" s="17" t="s">
        <v>233</v>
      </c>
      <c r="K916" s="19"/>
      <c r="L916" s="19"/>
      <c r="M916" s="19"/>
      <c r="N916" s="19"/>
      <c r="O916" s="17" t="n">
        <v>3</v>
      </c>
      <c r="P916" s="18" t="s">
        <v>4634</v>
      </c>
      <c r="Q916" s="18" t="s">
        <v>4635</v>
      </c>
      <c r="R916" s="18" t="s">
        <v>4636</v>
      </c>
      <c r="S916" s="17" t="s">
        <v>4624</v>
      </c>
      <c r="T916" s="18" t="s">
        <v>4637</v>
      </c>
      <c r="U916" s="19"/>
      <c r="V916" s="18" t="s">
        <v>4638</v>
      </c>
      <c r="W916" s="17" t="s">
        <v>240</v>
      </c>
      <c r="X916" s="17" t="s">
        <v>4639</v>
      </c>
      <c r="Y916" s="17" t="s">
        <v>242</v>
      </c>
      <c r="Z916" s="19"/>
      <c r="AA916" s="19"/>
      <c r="AB916" s="17"/>
      <c r="AC916" s="19"/>
    </row>
    <row r="917" customFormat="false" ht="22.35" hidden="false" customHeight="false" outlineLevel="0" collapsed="false">
      <c r="A917" s="10" t="s">
        <v>4640</v>
      </c>
      <c r="B917" s="17" t="s">
        <v>106</v>
      </c>
      <c r="C917" s="18" t="s">
        <v>107</v>
      </c>
      <c r="D917" s="17" t="s">
        <v>19</v>
      </c>
      <c r="E917" s="17" t="s">
        <v>75</v>
      </c>
      <c r="F917" s="17" t="s">
        <v>3936</v>
      </c>
      <c r="G917" s="17" t="s">
        <v>4607</v>
      </c>
      <c r="H917" s="17" t="s">
        <v>32</v>
      </c>
      <c r="I917" s="17" t="s">
        <v>316</v>
      </c>
      <c r="J917" s="17" t="s">
        <v>233</v>
      </c>
      <c r="K917" s="19"/>
      <c r="L917" s="19"/>
      <c r="M917" s="19"/>
      <c r="N917" s="19"/>
      <c r="O917" s="17" t="n">
        <v>3</v>
      </c>
      <c r="P917" s="18" t="s">
        <v>4634</v>
      </c>
      <c r="Q917" s="18" t="s">
        <v>4635</v>
      </c>
      <c r="R917" s="18" t="s">
        <v>4641</v>
      </c>
      <c r="S917" s="17" t="s">
        <v>4642</v>
      </c>
      <c r="T917" s="18" t="s">
        <v>4643</v>
      </c>
      <c r="U917" s="19"/>
      <c r="V917" s="18" t="s">
        <v>4644</v>
      </c>
      <c r="W917" s="17" t="s">
        <v>240</v>
      </c>
      <c r="X917" s="17" t="s">
        <v>4623</v>
      </c>
      <c r="Y917" s="17" t="s">
        <v>242</v>
      </c>
      <c r="Z917" s="19"/>
      <c r="AA917" s="19"/>
      <c r="AB917" s="17"/>
      <c r="AC917" s="19"/>
    </row>
    <row r="918" customFormat="false" ht="22.35" hidden="false" customHeight="false" outlineLevel="0" collapsed="false">
      <c r="A918" s="10" t="s">
        <v>4645</v>
      </c>
      <c r="B918" s="17" t="s">
        <v>106</v>
      </c>
      <c r="C918" s="18" t="s">
        <v>107</v>
      </c>
      <c r="D918" s="17" t="s">
        <v>19</v>
      </c>
      <c r="E918" s="17" t="s">
        <v>75</v>
      </c>
      <c r="F918" s="17" t="s">
        <v>3936</v>
      </c>
      <c r="G918" s="17" t="s">
        <v>4607</v>
      </c>
      <c r="H918" s="17" t="s">
        <v>32</v>
      </c>
      <c r="I918" s="17" t="s">
        <v>893</v>
      </c>
      <c r="J918" s="17" t="s">
        <v>233</v>
      </c>
      <c r="K918" s="19"/>
      <c r="L918" s="19"/>
      <c r="M918" s="19"/>
      <c r="N918" s="19"/>
      <c r="O918" s="17" t="n">
        <v>3</v>
      </c>
      <c r="P918" s="18" t="s">
        <v>4634</v>
      </c>
      <c r="Q918" s="18" t="s">
        <v>4635</v>
      </c>
      <c r="R918" s="18" t="s">
        <v>4646</v>
      </c>
      <c r="S918" s="17" t="s">
        <v>4647</v>
      </c>
      <c r="T918" s="18" t="s">
        <v>4648</v>
      </c>
      <c r="U918" s="19"/>
      <c r="V918" s="18" t="s">
        <v>4649</v>
      </c>
      <c r="W918" s="17" t="s">
        <v>240</v>
      </c>
      <c r="X918" s="17" t="s">
        <v>4650</v>
      </c>
      <c r="Y918" s="17" t="s">
        <v>242</v>
      </c>
      <c r="Z918" s="19"/>
      <c r="AA918" s="19"/>
      <c r="AB918" s="17"/>
      <c r="AC918" s="19"/>
    </row>
    <row r="919" customFormat="false" ht="22.35" hidden="false" customHeight="false" outlineLevel="0" collapsed="false">
      <c r="A919" s="10" t="s">
        <v>4651</v>
      </c>
      <c r="B919" s="17" t="s">
        <v>106</v>
      </c>
      <c r="C919" s="18" t="s">
        <v>107</v>
      </c>
      <c r="D919" s="17" t="s">
        <v>19</v>
      </c>
      <c r="E919" s="17" t="s">
        <v>75</v>
      </c>
      <c r="F919" s="17" t="s">
        <v>3936</v>
      </c>
      <c r="G919" s="17" t="s">
        <v>4607</v>
      </c>
      <c r="H919" s="17" t="s">
        <v>32</v>
      </c>
      <c r="I919" s="17" t="s">
        <v>316</v>
      </c>
      <c r="J919" s="17" t="s">
        <v>233</v>
      </c>
      <c r="K919" s="19"/>
      <c r="L919" s="19"/>
      <c r="M919" s="19"/>
      <c r="N919" s="19"/>
      <c r="O919" s="17" t="n">
        <v>3</v>
      </c>
      <c r="P919" s="18" t="s">
        <v>4634</v>
      </c>
      <c r="Q919" s="18" t="s">
        <v>4635</v>
      </c>
      <c r="R919" s="18" t="s">
        <v>4652</v>
      </c>
      <c r="S919" s="17" t="s">
        <v>4633</v>
      </c>
      <c r="T919" s="18" t="s">
        <v>4653</v>
      </c>
      <c r="U919" s="19"/>
      <c r="V919" s="18" t="s">
        <v>4654</v>
      </c>
      <c r="W919" s="17" t="s">
        <v>240</v>
      </c>
      <c r="X919" s="17" t="s">
        <v>4655</v>
      </c>
      <c r="Y919" s="17" t="s">
        <v>242</v>
      </c>
      <c r="Z919" s="19"/>
      <c r="AA919" s="19"/>
      <c r="AB919" s="17"/>
      <c r="AC919" s="19"/>
    </row>
    <row r="920" customFormat="false" ht="22.35" hidden="false" customHeight="false" outlineLevel="0" collapsed="false">
      <c r="A920" s="10" t="s">
        <v>4656</v>
      </c>
      <c r="B920" s="17" t="s">
        <v>106</v>
      </c>
      <c r="C920" s="18" t="s">
        <v>107</v>
      </c>
      <c r="D920" s="17" t="s">
        <v>19</v>
      </c>
      <c r="E920" s="17" t="s">
        <v>75</v>
      </c>
      <c r="F920" s="17" t="s">
        <v>3936</v>
      </c>
      <c r="G920" s="17" t="s">
        <v>4607</v>
      </c>
      <c r="H920" s="17" t="s">
        <v>32</v>
      </c>
      <c r="I920" s="17" t="s">
        <v>277</v>
      </c>
      <c r="J920" s="17" t="s">
        <v>233</v>
      </c>
      <c r="K920" s="19"/>
      <c r="L920" s="19"/>
      <c r="M920" s="19"/>
      <c r="N920" s="19"/>
      <c r="O920" s="17" t="n">
        <v>3</v>
      </c>
      <c r="P920" s="18" t="s">
        <v>4634</v>
      </c>
      <c r="Q920" s="18" t="s">
        <v>4635</v>
      </c>
      <c r="R920" s="18" t="s">
        <v>4657</v>
      </c>
      <c r="S920" s="17" t="s">
        <v>4633</v>
      </c>
      <c r="T920" s="18" t="s">
        <v>4658</v>
      </c>
      <c r="U920" s="19"/>
      <c r="V920" s="18" t="s">
        <v>4659</v>
      </c>
      <c r="W920" s="17" t="s">
        <v>240</v>
      </c>
      <c r="X920" s="17" t="s">
        <v>4660</v>
      </c>
      <c r="Y920" s="17" t="s">
        <v>242</v>
      </c>
      <c r="Z920" s="19"/>
      <c r="AA920" s="19"/>
      <c r="AB920" s="17"/>
      <c r="AC920" s="19"/>
    </row>
    <row r="921" customFormat="false" ht="22.35" hidden="false" customHeight="false" outlineLevel="0" collapsed="false">
      <c r="A921" s="10" t="s">
        <v>4661</v>
      </c>
      <c r="B921" s="17" t="s">
        <v>106</v>
      </c>
      <c r="C921" s="18" t="s">
        <v>107</v>
      </c>
      <c r="D921" s="17" t="s">
        <v>19</v>
      </c>
      <c r="E921" s="17" t="s">
        <v>75</v>
      </c>
      <c r="F921" s="17" t="s">
        <v>3936</v>
      </c>
      <c r="G921" s="17" t="s">
        <v>4607</v>
      </c>
      <c r="H921" s="17" t="s">
        <v>32</v>
      </c>
      <c r="I921" s="17" t="s">
        <v>316</v>
      </c>
      <c r="J921" s="17" t="s">
        <v>233</v>
      </c>
      <c r="K921" s="19"/>
      <c r="L921" s="19"/>
      <c r="M921" s="19"/>
      <c r="N921" s="19"/>
      <c r="O921" s="17" t="n">
        <v>3</v>
      </c>
      <c r="P921" s="18" t="s">
        <v>4634</v>
      </c>
      <c r="Q921" s="18" t="s">
        <v>4635</v>
      </c>
      <c r="R921" s="18" t="s">
        <v>4662</v>
      </c>
      <c r="S921" s="17" t="s">
        <v>4606</v>
      </c>
      <c r="T921" s="18" t="s">
        <v>4663</v>
      </c>
      <c r="U921" s="19"/>
      <c r="V921" s="18" t="s">
        <v>4664</v>
      </c>
      <c r="W921" s="17" t="s">
        <v>240</v>
      </c>
      <c r="X921" s="17" t="s">
        <v>4665</v>
      </c>
      <c r="Y921" s="17" t="s">
        <v>242</v>
      </c>
      <c r="Z921" s="19"/>
      <c r="AA921" s="19"/>
      <c r="AB921" s="17"/>
      <c r="AC921" s="19"/>
    </row>
    <row r="922" customFormat="false" ht="22.35" hidden="false" customHeight="false" outlineLevel="0" collapsed="false">
      <c r="A922" s="10" t="s">
        <v>4666</v>
      </c>
      <c r="B922" s="17" t="s">
        <v>106</v>
      </c>
      <c r="C922" s="18" t="s">
        <v>107</v>
      </c>
      <c r="D922" s="17" t="s">
        <v>19</v>
      </c>
      <c r="E922" s="17" t="s">
        <v>75</v>
      </c>
      <c r="F922" s="17" t="s">
        <v>3936</v>
      </c>
      <c r="G922" s="17" t="s">
        <v>4607</v>
      </c>
      <c r="H922" s="17" t="s">
        <v>32</v>
      </c>
      <c r="I922" s="17" t="s">
        <v>316</v>
      </c>
      <c r="J922" s="17" t="s">
        <v>233</v>
      </c>
      <c r="K922" s="19"/>
      <c r="L922" s="19"/>
      <c r="M922" s="19"/>
      <c r="N922" s="19"/>
      <c r="O922" s="17" t="n">
        <v>3</v>
      </c>
      <c r="P922" s="18" t="s">
        <v>4634</v>
      </c>
      <c r="Q922" s="18" t="s">
        <v>4635</v>
      </c>
      <c r="R922" s="18" t="s">
        <v>4667</v>
      </c>
      <c r="S922" s="17" t="s">
        <v>4640</v>
      </c>
      <c r="T922" s="18" t="s">
        <v>4668</v>
      </c>
      <c r="U922" s="19"/>
      <c r="V922" s="18" t="s">
        <v>4669</v>
      </c>
      <c r="W922" s="17" t="s">
        <v>240</v>
      </c>
      <c r="X922" s="17" t="s">
        <v>4670</v>
      </c>
      <c r="Y922" s="17" t="s">
        <v>242</v>
      </c>
      <c r="Z922" s="19"/>
      <c r="AA922" s="19"/>
      <c r="AB922" s="17"/>
      <c r="AC922" s="19"/>
    </row>
    <row r="923" customFormat="false" ht="22.35" hidden="false" customHeight="false" outlineLevel="0" collapsed="false">
      <c r="A923" s="10" t="s">
        <v>4671</v>
      </c>
      <c r="B923" s="17" t="s">
        <v>106</v>
      </c>
      <c r="C923" s="18" t="s">
        <v>107</v>
      </c>
      <c r="D923" s="17" t="s">
        <v>19</v>
      </c>
      <c r="E923" s="17" t="s">
        <v>75</v>
      </c>
      <c r="F923" s="17" t="s">
        <v>3936</v>
      </c>
      <c r="G923" s="17" t="s">
        <v>4607</v>
      </c>
      <c r="H923" s="17" t="s">
        <v>32</v>
      </c>
      <c r="I923" s="17" t="s">
        <v>316</v>
      </c>
      <c r="J923" s="17" t="s">
        <v>233</v>
      </c>
      <c r="K923" s="19"/>
      <c r="L923" s="19"/>
      <c r="M923" s="19"/>
      <c r="N923" s="19"/>
      <c r="O923" s="17" t="n">
        <v>3</v>
      </c>
      <c r="P923" s="18" t="s">
        <v>4634</v>
      </c>
      <c r="Q923" s="18" t="s">
        <v>4635</v>
      </c>
      <c r="R923" s="18" t="s">
        <v>4672</v>
      </c>
      <c r="S923" s="17" t="s">
        <v>4666</v>
      </c>
      <c r="T923" s="18" t="s">
        <v>285</v>
      </c>
      <c r="U923" s="19"/>
      <c r="V923" s="18" t="s">
        <v>4226</v>
      </c>
      <c r="W923" s="17" t="s">
        <v>240</v>
      </c>
      <c r="X923" s="17" t="s">
        <v>3977</v>
      </c>
      <c r="Y923" s="17" t="s">
        <v>242</v>
      </c>
      <c r="Z923" s="19"/>
      <c r="AA923" s="19"/>
      <c r="AB923" s="17"/>
      <c r="AC923" s="19"/>
    </row>
    <row r="924" customFormat="false" ht="22.35" hidden="false" customHeight="false" outlineLevel="0" collapsed="false">
      <c r="A924" s="10" t="s">
        <v>4673</v>
      </c>
      <c r="B924" s="17" t="s">
        <v>106</v>
      </c>
      <c r="C924" s="18" t="s">
        <v>107</v>
      </c>
      <c r="D924" s="17" t="s">
        <v>19</v>
      </c>
      <c r="E924" s="17" t="s">
        <v>75</v>
      </c>
      <c r="F924" s="17" t="s">
        <v>3936</v>
      </c>
      <c r="G924" s="17" t="s">
        <v>4607</v>
      </c>
      <c r="H924" s="17" t="s">
        <v>32</v>
      </c>
      <c r="I924" s="17" t="s">
        <v>450</v>
      </c>
      <c r="J924" s="17" t="s">
        <v>233</v>
      </c>
      <c r="K924" s="19"/>
      <c r="L924" s="19"/>
      <c r="M924" s="19"/>
      <c r="N924" s="19"/>
      <c r="O924" s="17" t="n">
        <v>4</v>
      </c>
      <c r="P924" s="18" t="s">
        <v>4674</v>
      </c>
      <c r="Q924" s="18" t="s">
        <v>4675</v>
      </c>
      <c r="R924" s="18" t="s">
        <v>4676</v>
      </c>
      <c r="S924" s="17" t="s">
        <v>4640</v>
      </c>
      <c r="T924" s="18" t="s">
        <v>4677</v>
      </c>
      <c r="U924" s="19"/>
      <c r="V924" s="18" t="s">
        <v>4678</v>
      </c>
      <c r="W924" s="17" t="s">
        <v>240</v>
      </c>
      <c r="X924" s="17" t="s">
        <v>4679</v>
      </c>
      <c r="Y924" s="17" t="s">
        <v>242</v>
      </c>
      <c r="Z924" s="19"/>
      <c r="AA924" s="19"/>
      <c r="AB924" s="17"/>
      <c r="AC924" s="19"/>
    </row>
    <row r="925" customFormat="false" ht="32.8" hidden="false" customHeight="false" outlineLevel="0" collapsed="false">
      <c r="A925" s="10" t="s">
        <v>4680</v>
      </c>
      <c r="B925" s="17" t="s">
        <v>106</v>
      </c>
      <c r="C925" s="18" t="s">
        <v>107</v>
      </c>
      <c r="D925" s="17" t="s">
        <v>19</v>
      </c>
      <c r="E925" s="17" t="s">
        <v>75</v>
      </c>
      <c r="F925" s="17" t="s">
        <v>3936</v>
      </c>
      <c r="G925" s="17" t="s">
        <v>4607</v>
      </c>
      <c r="H925" s="17" t="s">
        <v>32</v>
      </c>
      <c r="I925" s="17" t="s">
        <v>1786</v>
      </c>
      <c r="J925" s="17" t="s">
        <v>233</v>
      </c>
      <c r="K925" s="19"/>
      <c r="L925" s="19"/>
      <c r="M925" s="19"/>
      <c r="N925" s="19"/>
      <c r="O925" s="17" t="n">
        <v>4</v>
      </c>
      <c r="P925" s="18" t="s">
        <v>4674</v>
      </c>
      <c r="Q925" s="18" t="s">
        <v>4675</v>
      </c>
      <c r="R925" s="18" t="s">
        <v>4681</v>
      </c>
      <c r="S925" s="17" t="s">
        <v>4673</v>
      </c>
      <c r="T925" s="18" t="s">
        <v>4682</v>
      </c>
      <c r="U925" s="19"/>
      <c r="V925" s="18" t="s">
        <v>4683</v>
      </c>
      <c r="W925" s="17" t="s">
        <v>240</v>
      </c>
      <c r="X925" s="17" t="s">
        <v>4684</v>
      </c>
      <c r="Y925" s="17" t="s">
        <v>242</v>
      </c>
      <c r="Z925" s="19"/>
      <c r="AA925" s="19"/>
      <c r="AB925" s="17"/>
      <c r="AC925" s="19"/>
    </row>
    <row r="926" customFormat="false" ht="22.35" hidden="false" customHeight="false" outlineLevel="0" collapsed="false">
      <c r="A926" s="10" t="s">
        <v>4685</v>
      </c>
      <c r="B926" s="17" t="s">
        <v>106</v>
      </c>
      <c r="C926" s="18" t="s">
        <v>107</v>
      </c>
      <c r="D926" s="17" t="s">
        <v>19</v>
      </c>
      <c r="E926" s="17" t="s">
        <v>75</v>
      </c>
      <c r="F926" s="17" t="s">
        <v>3936</v>
      </c>
      <c r="G926" s="17" t="s">
        <v>4607</v>
      </c>
      <c r="H926" s="17" t="s">
        <v>32</v>
      </c>
      <c r="I926" s="17" t="s">
        <v>277</v>
      </c>
      <c r="J926" s="17" t="s">
        <v>233</v>
      </c>
      <c r="K926" s="19"/>
      <c r="L926" s="19"/>
      <c r="M926" s="19"/>
      <c r="N926" s="19"/>
      <c r="O926" s="17" t="n">
        <v>4</v>
      </c>
      <c r="P926" s="18" t="s">
        <v>4674</v>
      </c>
      <c r="Q926" s="18" t="s">
        <v>4675</v>
      </c>
      <c r="R926" s="18" t="s">
        <v>4686</v>
      </c>
      <c r="S926" s="17" t="s">
        <v>4640</v>
      </c>
      <c r="T926" s="18" t="s">
        <v>4687</v>
      </c>
      <c r="U926" s="19"/>
      <c r="V926" s="18" t="s">
        <v>4688</v>
      </c>
      <c r="W926" s="17" t="s">
        <v>240</v>
      </c>
      <c r="X926" s="17" t="s">
        <v>4623</v>
      </c>
      <c r="Y926" s="17" t="s">
        <v>242</v>
      </c>
      <c r="Z926" s="19"/>
      <c r="AA926" s="19"/>
      <c r="AB926" s="17"/>
      <c r="AC926" s="19"/>
    </row>
    <row r="927" customFormat="false" ht="32.8" hidden="false" customHeight="false" outlineLevel="0" collapsed="false">
      <c r="A927" s="10" t="s">
        <v>4689</v>
      </c>
      <c r="B927" s="17" t="s">
        <v>106</v>
      </c>
      <c r="C927" s="18" t="s">
        <v>107</v>
      </c>
      <c r="D927" s="17" t="s">
        <v>19</v>
      </c>
      <c r="E927" s="17" t="s">
        <v>229</v>
      </c>
      <c r="F927" s="17" t="s">
        <v>3936</v>
      </c>
      <c r="G927" s="17" t="s">
        <v>4607</v>
      </c>
      <c r="H927" s="17" t="s">
        <v>32</v>
      </c>
      <c r="I927" s="17" t="s">
        <v>1413</v>
      </c>
      <c r="J927" s="17" t="s">
        <v>233</v>
      </c>
      <c r="K927" s="19"/>
      <c r="L927" s="19"/>
      <c r="M927" s="19"/>
      <c r="N927" s="19"/>
      <c r="O927" s="17" t="n">
        <v>4</v>
      </c>
      <c r="P927" s="18" t="s">
        <v>4674</v>
      </c>
      <c r="Q927" s="18" t="s">
        <v>4675</v>
      </c>
      <c r="R927" s="18" t="s">
        <v>4690</v>
      </c>
      <c r="S927" s="17" t="s">
        <v>4633</v>
      </c>
      <c r="T927" s="18" t="s">
        <v>4691</v>
      </c>
      <c r="U927" s="19"/>
      <c r="V927" s="18" t="s">
        <v>4692</v>
      </c>
      <c r="W927" s="17" t="s">
        <v>240</v>
      </c>
      <c r="X927" s="17" t="s">
        <v>4693</v>
      </c>
      <c r="Y927" s="17" t="s">
        <v>242</v>
      </c>
      <c r="Z927" s="19"/>
      <c r="AA927" s="19"/>
      <c r="AB927" s="17"/>
      <c r="AC927" s="19"/>
    </row>
    <row r="928" customFormat="false" ht="22.35" hidden="false" customHeight="false" outlineLevel="0" collapsed="false">
      <c r="A928" s="10" t="s">
        <v>4694</v>
      </c>
      <c r="B928" s="17" t="s">
        <v>106</v>
      </c>
      <c r="C928" s="18" t="s">
        <v>107</v>
      </c>
      <c r="D928" s="17" t="s">
        <v>19</v>
      </c>
      <c r="E928" s="17" t="s">
        <v>75</v>
      </c>
      <c r="F928" s="17" t="s">
        <v>3936</v>
      </c>
      <c r="G928" s="17" t="s">
        <v>4607</v>
      </c>
      <c r="H928" s="17" t="s">
        <v>32</v>
      </c>
      <c r="I928" s="17" t="s">
        <v>450</v>
      </c>
      <c r="J928" s="17" t="s">
        <v>233</v>
      </c>
      <c r="K928" s="19"/>
      <c r="L928" s="19"/>
      <c r="M928" s="19"/>
      <c r="N928" s="19"/>
      <c r="O928" s="17" t="n">
        <v>4</v>
      </c>
      <c r="P928" s="18" t="s">
        <v>4674</v>
      </c>
      <c r="Q928" s="18" t="s">
        <v>4675</v>
      </c>
      <c r="R928" s="18" t="s">
        <v>4695</v>
      </c>
      <c r="S928" s="17" t="s">
        <v>4673</v>
      </c>
      <c r="T928" s="18" t="s">
        <v>4696</v>
      </c>
      <c r="U928" s="19"/>
      <c r="V928" s="18" t="s">
        <v>4697</v>
      </c>
      <c r="W928" s="17" t="s">
        <v>240</v>
      </c>
      <c r="X928" s="17" t="s">
        <v>4698</v>
      </c>
      <c r="Y928" s="17" t="s">
        <v>242</v>
      </c>
      <c r="Z928" s="19"/>
      <c r="AA928" s="19"/>
      <c r="AB928" s="17"/>
      <c r="AC928" s="19"/>
    </row>
    <row r="929" customFormat="false" ht="22.35" hidden="false" customHeight="false" outlineLevel="0" collapsed="false">
      <c r="A929" s="10" t="s">
        <v>4699</v>
      </c>
      <c r="B929" s="17" t="s">
        <v>106</v>
      </c>
      <c r="C929" s="18" t="s">
        <v>107</v>
      </c>
      <c r="D929" s="17" t="s">
        <v>19</v>
      </c>
      <c r="E929" s="17" t="s">
        <v>75</v>
      </c>
      <c r="F929" s="17" t="s">
        <v>3936</v>
      </c>
      <c r="G929" s="17" t="s">
        <v>4607</v>
      </c>
      <c r="H929" s="17" t="s">
        <v>32</v>
      </c>
      <c r="I929" s="17" t="s">
        <v>450</v>
      </c>
      <c r="J929" s="17" t="s">
        <v>233</v>
      </c>
      <c r="K929" s="19"/>
      <c r="L929" s="19"/>
      <c r="M929" s="19"/>
      <c r="N929" s="19"/>
      <c r="O929" s="17" t="n">
        <v>4</v>
      </c>
      <c r="P929" s="18" t="s">
        <v>4674</v>
      </c>
      <c r="Q929" s="18" t="s">
        <v>4675</v>
      </c>
      <c r="R929" s="18" t="s">
        <v>4700</v>
      </c>
      <c r="S929" s="17" t="s">
        <v>4694</v>
      </c>
      <c r="T929" s="18" t="s">
        <v>285</v>
      </c>
      <c r="U929" s="19"/>
      <c r="V929" s="18" t="s">
        <v>4226</v>
      </c>
      <c r="W929" s="17" t="s">
        <v>240</v>
      </c>
      <c r="X929" s="17" t="s">
        <v>3977</v>
      </c>
      <c r="Y929" s="17" t="s">
        <v>242</v>
      </c>
      <c r="Z929" s="19"/>
      <c r="AA929" s="19"/>
      <c r="AB929" s="17"/>
      <c r="AC929" s="19"/>
    </row>
    <row r="930" customFormat="false" ht="22.35" hidden="false" customHeight="false" outlineLevel="0" collapsed="false">
      <c r="A930" s="10" t="s">
        <v>4701</v>
      </c>
      <c r="B930" s="17" t="s">
        <v>106</v>
      </c>
      <c r="C930" s="18" t="s">
        <v>107</v>
      </c>
      <c r="D930" s="17" t="s">
        <v>19</v>
      </c>
      <c r="E930" s="17" t="s">
        <v>229</v>
      </c>
      <c r="F930" s="17" t="s">
        <v>3936</v>
      </c>
      <c r="G930" s="17" t="s">
        <v>4607</v>
      </c>
      <c r="H930" s="17" t="s">
        <v>32</v>
      </c>
      <c r="I930" s="17" t="s">
        <v>333</v>
      </c>
      <c r="J930" s="17" t="s">
        <v>233</v>
      </c>
      <c r="K930" s="19"/>
      <c r="L930" s="19"/>
      <c r="M930" s="19"/>
      <c r="N930" s="19"/>
      <c r="O930" s="17" t="n">
        <v>3</v>
      </c>
      <c r="P930" s="18" t="s">
        <v>4702</v>
      </c>
      <c r="Q930" s="18" t="s">
        <v>4703</v>
      </c>
      <c r="R930" s="18" t="s">
        <v>4704</v>
      </c>
      <c r="S930" s="17" t="s">
        <v>4705</v>
      </c>
      <c r="T930" s="18" t="s">
        <v>4138</v>
      </c>
      <c r="U930" s="19"/>
      <c r="V930" s="18" t="s">
        <v>4573</v>
      </c>
      <c r="W930" s="17" t="s">
        <v>240</v>
      </c>
      <c r="X930" s="17" t="s">
        <v>4134</v>
      </c>
      <c r="Y930" s="17" t="s">
        <v>242</v>
      </c>
      <c r="Z930" s="19"/>
      <c r="AA930" s="19"/>
      <c r="AB930" s="17"/>
      <c r="AC930" s="19"/>
    </row>
    <row r="931" customFormat="false" ht="22.35" hidden="false" customHeight="false" outlineLevel="0" collapsed="false">
      <c r="A931" s="10" t="s">
        <v>4706</v>
      </c>
      <c r="B931" s="17" t="s">
        <v>106</v>
      </c>
      <c r="C931" s="18" t="s">
        <v>107</v>
      </c>
      <c r="D931" s="17" t="s">
        <v>19</v>
      </c>
      <c r="E931" s="17" t="s">
        <v>229</v>
      </c>
      <c r="F931" s="17" t="s">
        <v>3936</v>
      </c>
      <c r="G931" s="17" t="s">
        <v>4607</v>
      </c>
      <c r="H931" s="17" t="s">
        <v>32</v>
      </c>
      <c r="I931" s="17" t="s">
        <v>450</v>
      </c>
      <c r="J931" s="17" t="s">
        <v>233</v>
      </c>
      <c r="K931" s="19"/>
      <c r="L931" s="19"/>
      <c r="M931" s="19"/>
      <c r="N931" s="19"/>
      <c r="O931" s="17" t="n">
        <v>3</v>
      </c>
      <c r="P931" s="18" t="s">
        <v>4702</v>
      </c>
      <c r="Q931" s="18" t="s">
        <v>4703</v>
      </c>
      <c r="R931" s="18" t="s">
        <v>4707</v>
      </c>
      <c r="S931" s="17" t="s">
        <v>4708</v>
      </c>
      <c r="T931" s="18" t="s">
        <v>4709</v>
      </c>
      <c r="U931" s="19"/>
      <c r="V931" s="18" t="s">
        <v>4710</v>
      </c>
      <c r="W931" s="17" t="s">
        <v>240</v>
      </c>
      <c r="X931" s="17" t="s">
        <v>356</v>
      </c>
      <c r="Y931" s="17" t="s">
        <v>242</v>
      </c>
      <c r="Z931" s="19"/>
      <c r="AA931" s="19"/>
      <c r="AB931" s="17"/>
      <c r="AC931" s="19"/>
    </row>
    <row r="932" customFormat="false" ht="22.35" hidden="false" customHeight="false" outlineLevel="0" collapsed="false">
      <c r="A932" s="10" t="s">
        <v>4711</v>
      </c>
      <c r="B932" s="17" t="s">
        <v>106</v>
      </c>
      <c r="C932" s="18" t="s">
        <v>107</v>
      </c>
      <c r="D932" s="17" t="s">
        <v>19</v>
      </c>
      <c r="E932" s="17" t="s">
        <v>75</v>
      </c>
      <c r="F932" s="17" t="s">
        <v>3936</v>
      </c>
      <c r="G932" s="17" t="s">
        <v>4607</v>
      </c>
      <c r="H932" s="17" t="s">
        <v>32</v>
      </c>
      <c r="I932" s="17" t="s">
        <v>316</v>
      </c>
      <c r="J932" s="17" t="s">
        <v>233</v>
      </c>
      <c r="K932" s="19"/>
      <c r="L932" s="19"/>
      <c r="M932" s="19"/>
      <c r="N932" s="19"/>
      <c r="O932" s="17" t="n">
        <v>3</v>
      </c>
      <c r="P932" s="18" t="s">
        <v>4702</v>
      </c>
      <c r="Q932" s="18" t="s">
        <v>4703</v>
      </c>
      <c r="R932" s="18" t="s">
        <v>4712</v>
      </c>
      <c r="S932" s="17" t="s">
        <v>4713</v>
      </c>
      <c r="T932" s="18" t="s">
        <v>4714</v>
      </c>
      <c r="U932" s="19"/>
      <c r="V932" s="18" t="s">
        <v>4715</v>
      </c>
      <c r="W932" s="17" t="s">
        <v>240</v>
      </c>
      <c r="X932" s="17" t="s">
        <v>4172</v>
      </c>
      <c r="Y932" s="17" t="s">
        <v>242</v>
      </c>
      <c r="Z932" s="19"/>
      <c r="AA932" s="19"/>
      <c r="AB932" s="17"/>
      <c r="AC932" s="19"/>
    </row>
    <row r="933" customFormat="false" ht="22.35" hidden="false" customHeight="false" outlineLevel="0" collapsed="false">
      <c r="A933" s="10" t="s">
        <v>4716</v>
      </c>
      <c r="B933" s="17" t="s">
        <v>106</v>
      </c>
      <c r="C933" s="18" t="s">
        <v>107</v>
      </c>
      <c r="D933" s="17" t="s">
        <v>19</v>
      </c>
      <c r="E933" s="17" t="s">
        <v>75</v>
      </c>
      <c r="F933" s="17" t="s">
        <v>3936</v>
      </c>
      <c r="G933" s="17" t="s">
        <v>4607</v>
      </c>
      <c r="H933" s="17" t="s">
        <v>32</v>
      </c>
      <c r="I933" s="17" t="s">
        <v>289</v>
      </c>
      <c r="J933" s="17" t="s">
        <v>233</v>
      </c>
      <c r="K933" s="19"/>
      <c r="L933" s="19"/>
      <c r="M933" s="19"/>
      <c r="N933" s="19"/>
      <c r="O933" s="17" t="n">
        <v>3</v>
      </c>
      <c r="P933" s="18" t="s">
        <v>4702</v>
      </c>
      <c r="Q933" s="18" t="s">
        <v>4703</v>
      </c>
      <c r="R933" s="18" t="s">
        <v>4717</v>
      </c>
      <c r="S933" s="17" t="s">
        <v>4403</v>
      </c>
      <c r="T933" s="18" t="s">
        <v>4404</v>
      </c>
      <c r="U933" s="19"/>
      <c r="V933" s="18" t="s">
        <v>4718</v>
      </c>
      <c r="W933" s="17" t="s">
        <v>240</v>
      </c>
      <c r="X933" s="17" t="s">
        <v>4719</v>
      </c>
      <c r="Y933" s="17" t="s">
        <v>242</v>
      </c>
      <c r="Z933" s="19"/>
      <c r="AA933" s="19"/>
      <c r="AB933" s="17"/>
      <c r="AC933" s="19"/>
    </row>
    <row r="934" customFormat="false" ht="22.35" hidden="false" customHeight="false" outlineLevel="0" collapsed="false">
      <c r="A934" s="10" t="s">
        <v>4720</v>
      </c>
      <c r="B934" s="17" t="s">
        <v>106</v>
      </c>
      <c r="C934" s="18" t="s">
        <v>107</v>
      </c>
      <c r="D934" s="17" t="s">
        <v>19</v>
      </c>
      <c r="E934" s="17" t="s">
        <v>229</v>
      </c>
      <c r="F934" s="17" t="s">
        <v>3936</v>
      </c>
      <c r="G934" s="17" t="s">
        <v>4607</v>
      </c>
      <c r="H934" s="17" t="s">
        <v>32</v>
      </c>
      <c r="I934" s="17" t="s">
        <v>289</v>
      </c>
      <c r="J934" s="17" t="s">
        <v>233</v>
      </c>
      <c r="K934" s="19"/>
      <c r="L934" s="19"/>
      <c r="M934" s="19"/>
      <c r="N934" s="19"/>
      <c r="O934" s="17" t="n">
        <v>3</v>
      </c>
      <c r="P934" s="18" t="s">
        <v>4702</v>
      </c>
      <c r="Q934" s="18" t="s">
        <v>4703</v>
      </c>
      <c r="R934" s="18" t="s">
        <v>4721</v>
      </c>
      <c r="S934" s="17" t="s">
        <v>4173</v>
      </c>
      <c r="T934" s="18" t="s">
        <v>4722</v>
      </c>
      <c r="U934" s="19"/>
      <c r="V934" s="18" t="s">
        <v>4723</v>
      </c>
      <c r="W934" s="17" t="s">
        <v>383</v>
      </c>
      <c r="X934" s="17" t="s">
        <v>378</v>
      </c>
      <c r="Y934" s="17" t="s">
        <v>242</v>
      </c>
      <c r="Z934" s="19"/>
      <c r="AA934" s="19"/>
      <c r="AB934" s="17"/>
      <c r="AC934" s="19"/>
    </row>
    <row r="935" customFormat="false" ht="22.35" hidden="false" customHeight="false" outlineLevel="0" collapsed="false">
      <c r="A935" s="10" t="s">
        <v>4724</v>
      </c>
      <c r="B935" s="17" t="s">
        <v>106</v>
      </c>
      <c r="C935" s="18" t="s">
        <v>107</v>
      </c>
      <c r="D935" s="17" t="s">
        <v>19</v>
      </c>
      <c r="E935" s="17" t="s">
        <v>75</v>
      </c>
      <c r="F935" s="17" t="s">
        <v>3936</v>
      </c>
      <c r="G935" s="17" t="s">
        <v>4607</v>
      </c>
      <c r="H935" s="17" t="s">
        <v>32</v>
      </c>
      <c r="I935" s="17" t="s">
        <v>369</v>
      </c>
      <c r="J935" s="17" t="s">
        <v>233</v>
      </c>
      <c r="K935" s="19"/>
      <c r="L935" s="19"/>
      <c r="M935" s="19"/>
      <c r="N935" s="19"/>
      <c r="O935" s="17" t="n">
        <v>3</v>
      </c>
      <c r="P935" s="18" t="s">
        <v>4702</v>
      </c>
      <c r="Q935" s="18" t="s">
        <v>4703</v>
      </c>
      <c r="R935" s="18" t="s">
        <v>4725</v>
      </c>
      <c r="S935" s="17" t="s">
        <v>4606</v>
      </c>
      <c r="T935" s="18" t="s">
        <v>2967</v>
      </c>
      <c r="U935" s="19"/>
      <c r="V935" s="18" t="s">
        <v>4726</v>
      </c>
      <c r="W935" s="17" t="s">
        <v>240</v>
      </c>
      <c r="X935" s="17" t="s">
        <v>4415</v>
      </c>
      <c r="Y935" s="17" t="s">
        <v>242</v>
      </c>
      <c r="Z935" s="19"/>
      <c r="AA935" s="19"/>
      <c r="AB935" s="17"/>
      <c r="AC935" s="19"/>
    </row>
    <row r="936" customFormat="false" ht="22.35" hidden="false" customHeight="false" outlineLevel="0" collapsed="false">
      <c r="A936" s="10" t="s">
        <v>4727</v>
      </c>
      <c r="B936" s="17" t="s">
        <v>106</v>
      </c>
      <c r="C936" s="18" t="s">
        <v>107</v>
      </c>
      <c r="D936" s="17" t="s">
        <v>19</v>
      </c>
      <c r="E936" s="17" t="s">
        <v>75</v>
      </c>
      <c r="F936" s="17" t="s">
        <v>3936</v>
      </c>
      <c r="G936" s="17" t="s">
        <v>4607</v>
      </c>
      <c r="H936" s="17" t="s">
        <v>32</v>
      </c>
      <c r="I936" s="17" t="s">
        <v>316</v>
      </c>
      <c r="J936" s="17" t="s">
        <v>233</v>
      </c>
      <c r="K936" s="19"/>
      <c r="L936" s="19"/>
      <c r="M936" s="19"/>
      <c r="N936" s="19"/>
      <c r="O936" s="17" t="n">
        <v>3</v>
      </c>
      <c r="P936" s="18" t="s">
        <v>4702</v>
      </c>
      <c r="Q936" s="18" t="s">
        <v>4703</v>
      </c>
      <c r="R936" s="18" t="s">
        <v>4728</v>
      </c>
      <c r="S936" s="17" t="s">
        <v>4724</v>
      </c>
      <c r="T936" s="18" t="s">
        <v>285</v>
      </c>
      <c r="U936" s="19"/>
      <c r="V936" s="18" t="s">
        <v>4226</v>
      </c>
      <c r="W936" s="17" t="s">
        <v>240</v>
      </c>
      <c r="X936" s="17" t="s">
        <v>3977</v>
      </c>
      <c r="Y936" s="17" t="s">
        <v>242</v>
      </c>
      <c r="Z936" s="19"/>
      <c r="AA936" s="19"/>
      <c r="AB936" s="17"/>
      <c r="AC936" s="19"/>
    </row>
    <row r="937" customFormat="false" ht="32.8" hidden="false" customHeight="false" outlineLevel="0" collapsed="false">
      <c r="A937" s="10" t="s">
        <v>4729</v>
      </c>
      <c r="B937" s="17" t="s">
        <v>109</v>
      </c>
      <c r="C937" s="18" t="s">
        <v>110</v>
      </c>
      <c r="D937" s="17" t="s">
        <v>19</v>
      </c>
      <c r="E937" s="17" t="s">
        <v>229</v>
      </c>
      <c r="F937" s="17" t="s">
        <v>3936</v>
      </c>
      <c r="G937" s="17" t="s">
        <v>4730</v>
      </c>
      <c r="H937" s="17" t="s">
        <v>32</v>
      </c>
      <c r="I937" s="17" t="s">
        <v>1786</v>
      </c>
      <c r="J937" s="17" t="s">
        <v>233</v>
      </c>
      <c r="K937" s="19"/>
      <c r="L937" s="19"/>
      <c r="M937" s="19"/>
      <c r="N937" s="19"/>
      <c r="O937" s="17" t="n">
        <v>0</v>
      </c>
      <c r="P937" s="18" t="s">
        <v>4731</v>
      </c>
      <c r="Q937" s="18" t="s">
        <v>4732</v>
      </c>
      <c r="R937" s="18" t="s">
        <v>4733</v>
      </c>
      <c r="S937" s="17" t="s">
        <v>237</v>
      </c>
      <c r="T937" s="18" t="s">
        <v>4734</v>
      </c>
      <c r="U937" s="19"/>
      <c r="V937" s="18" t="s">
        <v>4735</v>
      </c>
      <c r="W937" s="17" t="s">
        <v>240</v>
      </c>
      <c r="X937" s="17" t="s">
        <v>4736</v>
      </c>
      <c r="Y937" s="17" t="s">
        <v>242</v>
      </c>
      <c r="Z937" s="19"/>
      <c r="AA937" s="19"/>
      <c r="AB937" s="17"/>
      <c r="AC937" s="19"/>
    </row>
    <row r="938" customFormat="false" ht="32.8" hidden="false" customHeight="false" outlineLevel="0" collapsed="false">
      <c r="A938" s="10" t="s">
        <v>4737</v>
      </c>
      <c r="B938" s="17" t="s">
        <v>109</v>
      </c>
      <c r="C938" s="18" t="s">
        <v>110</v>
      </c>
      <c r="D938" s="17" t="s">
        <v>19</v>
      </c>
      <c r="E938" s="17" t="s">
        <v>244</v>
      </c>
      <c r="F938" s="17" t="s">
        <v>3936</v>
      </c>
      <c r="G938" s="17" t="s">
        <v>4730</v>
      </c>
      <c r="H938" s="17" t="s">
        <v>32</v>
      </c>
      <c r="I938" s="17" t="s">
        <v>232</v>
      </c>
      <c r="J938" s="17" t="s">
        <v>233</v>
      </c>
      <c r="K938" s="19"/>
      <c r="L938" s="19"/>
      <c r="M938" s="19"/>
      <c r="N938" s="19"/>
      <c r="O938" s="17" t="n">
        <v>0</v>
      </c>
      <c r="P938" s="18" t="s">
        <v>4731</v>
      </c>
      <c r="Q938" s="18" t="s">
        <v>4732</v>
      </c>
      <c r="R938" s="18" t="s">
        <v>4738</v>
      </c>
      <c r="S938" s="17" t="s">
        <v>4739</v>
      </c>
      <c r="T938" s="18" t="s">
        <v>3941</v>
      </c>
      <c r="U938" s="19"/>
      <c r="V938" s="18" t="s">
        <v>4740</v>
      </c>
      <c r="W938" s="17" t="s">
        <v>240</v>
      </c>
      <c r="X938" s="17" t="s">
        <v>4741</v>
      </c>
      <c r="Y938" s="17" t="s">
        <v>242</v>
      </c>
      <c r="Z938" s="19"/>
      <c r="AA938" s="19"/>
      <c r="AB938" s="17"/>
      <c r="AC938" s="19"/>
    </row>
    <row r="939" customFormat="false" ht="32.8" hidden="false" customHeight="false" outlineLevel="0" collapsed="false">
      <c r="A939" s="10" t="s">
        <v>4742</v>
      </c>
      <c r="B939" s="17" t="s">
        <v>109</v>
      </c>
      <c r="C939" s="18" t="s">
        <v>110</v>
      </c>
      <c r="D939" s="17" t="s">
        <v>19</v>
      </c>
      <c r="E939" s="17" t="s">
        <v>229</v>
      </c>
      <c r="F939" s="17" t="s">
        <v>3936</v>
      </c>
      <c r="G939" s="17" t="s">
        <v>4730</v>
      </c>
      <c r="H939" s="17" t="s">
        <v>32</v>
      </c>
      <c r="I939" s="17" t="s">
        <v>1786</v>
      </c>
      <c r="J939" s="17" t="s">
        <v>233</v>
      </c>
      <c r="K939" s="19"/>
      <c r="L939" s="19"/>
      <c r="M939" s="19"/>
      <c r="N939" s="19"/>
      <c r="O939" s="17" t="n">
        <v>2</v>
      </c>
      <c r="P939" s="18" t="s">
        <v>4731</v>
      </c>
      <c r="Q939" s="18" t="s">
        <v>4732</v>
      </c>
      <c r="R939" s="18" t="s">
        <v>4743</v>
      </c>
      <c r="S939" s="17" t="s">
        <v>4729</v>
      </c>
      <c r="T939" s="18" t="s">
        <v>4744</v>
      </c>
      <c r="U939" s="19"/>
      <c r="V939" s="18" t="s">
        <v>4745</v>
      </c>
      <c r="W939" s="17" t="s">
        <v>240</v>
      </c>
      <c r="X939" s="17" t="s">
        <v>4746</v>
      </c>
      <c r="Y939" s="17" t="s">
        <v>242</v>
      </c>
      <c r="Z939" s="19"/>
      <c r="AA939" s="19"/>
      <c r="AB939" s="17"/>
      <c r="AC939" s="19"/>
    </row>
    <row r="940" customFormat="false" ht="22.35" hidden="false" customHeight="false" outlineLevel="0" collapsed="false">
      <c r="A940" s="10" t="s">
        <v>4747</v>
      </c>
      <c r="B940" s="17" t="s">
        <v>109</v>
      </c>
      <c r="C940" s="18" t="s">
        <v>110</v>
      </c>
      <c r="D940" s="17" t="s">
        <v>19</v>
      </c>
      <c r="E940" s="17" t="s">
        <v>229</v>
      </c>
      <c r="F940" s="17" t="s">
        <v>3936</v>
      </c>
      <c r="G940" s="17" t="s">
        <v>4730</v>
      </c>
      <c r="H940" s="17" t="s">
        <v>32</v>
      </c>
      <c r="I940" s="17" t="s">
        <v>232</v>
      </c>
      <c r="J940" s="17" t="s">
        <v>233</v>
      </c>
      <c r="K940" s="19"/>
      <c r="L940" s="19"/>
      <c r="M940" s="19"/>
      <c r="N940" s="19"/>
      <c r="O940" s="17" t="n">
        <v>2</v>
      </c>
      <c r="P940" s="18" t="s">
        <v>4731</v>
      </c>
      <c r="Q940" s="18" t="s">
        <v>4732</v>
      </c>
      <c r="R940" s="18" t="s">
        <v>4748</v>
      </c>
      <c r="S940" s="17" t="s">
        <v>4737</v>
      </c>
      <c r="T940" s="18" t="s">
        <v>4749</v>
      </c>
      <c r="U940" s="19"/>
      <c r="V940" s="18" t="s">
        <v>4750</v>
      </c>
      <c r="W940" s="17" t="s">
        <v>240</v>
      </c>
      <c r="X940" s="17" t="s">
        <v>4751</v>
      </c>
      <c r="Y940" s="17" t="s">
        <v>242</v>
      </c>
      <c r="Z940" s="19"/>
      <c r="AA940" s="19"/>
      <c r="AB940" s="17"/>
      <c r="AC940" s="19"/>
    </row>
    <row r="941" customFormat="false" ht="22.35" hidden="false" customHeight="false" outlineLevel="0" collapsed="false">
      <c r="A941" s="10" t="s">
        <v>4752</v>
      </c>
      <c r="B941" s="17" t="s">
        <v>109</v>
      </c>
      <c r="C941" s="18" t="s">
        <v>110</v>
      </c>
      <c r="D941" s="17" t="s">
        <v>19</v>
      </c>
      <c r="E941" s="17" t="s">
        <v>75</v>
      </c>
      <c r="F941" s="17" t="s">
        <v>3936</v>
      </c>
      <c r="G941" s="17" t="s">
        <v>4730</v>
      </c>
      <c r="H941" s="17" t="s">
        <v>32</v>
      </c>
      <c r="I941" s="17" t="s">
        <v>232</v>
      </c>
      <c r="J941" s="17" t="s">
        <v>233</v>
      </c>
      <c r="K941" s="19"/>
      <c r="L941" s="19"/>
      <c r="M941" s="19"/>
      <c r="N941" s="19"/>
      <c r="O941" s="17" t="n">
        <v>2</v>
      </c>
      <c r="P941" s="18" t="s">
        <v>4731</v>
      </c>
      <c r="Q941" s="18" t="s">
        <v>4732</v>
      </c>
      <c r="R941" s="18" t="s">
        <v>4753</v>
      </c>
      <c r="S941" s="17" t="s">
        <v>4737</v>
      </c>
      <c r="T941" s="18" t="s">
        <v>4754</v>
      </c>
      <c r="U941" s="19"/>
      <c r="V941" s="18" t="s">
        <v>4755</v>
      </c>
      <c r="W941" s="17" t="s">
        <v>240</v>
      </c>
      <c r="X941" s="17" t="s">
        <v>4756</v>
      </c>
      <c r="Y941" s="17" t="s">
        <v>242</v>
      </c>
      <c r="Z941" s="19"/>
      <c r="AA941" s="19"/>
      <c r="AB941" s="17"/>
      <c r="AC941" s="19"/>
    </row>
    <row r="942" customFormat="false" ht="22.35" hidden="false" customHeight="false" outlineLevel="0" collapsed="false">
      <c r="A942" s="10" t="s">
        <v>4757</v>
      </c>
      <c r="B942" s="17" t="s">
        <v>109</v>
      </c>
      <c r="C942" s="18" t="s">
        <v>110</v>
      </c>
      <c r="D942" s="17" t="s">
        <v>19</v>
      </c>
      <c r="E942" s="17" t="s">
        <v>75</v>
      </c>
      <c r="F942" s="17" t="s">
        <v>3936</v>
      </c>
      <c r="G942" s="17" t="s">
        <v>4730</v>
      </c>
      <c r="H942" s="17" t="s">
        <v>32</v>
      </c>
      <c r="I942" s="17" t="s">
        <v>277</v>
      </c>
      <c r="J942" s="17" t="s">
        <v>233</v>
      </c>
      <c r="K942" s="19"/>
      <c r="L942" s="19"/>
      <c r="M942" s="19"/>
      <c r="N942" s="19"/>
      <c r="O942" s="17" t="n">
        <v>2</v>
      </c>
      <c r="P942" s="18" t="s">
        <v>4731</v>
      </c>
      <c r="Q942" s="18" t="s">
        <v>4732</v>
      </c>
      <c r="R942" s="18" t="s">
        <v>4758</v>
      </c>
      <c r="S942" s="17" t="s">
        <v>4737</v>
      </c>
      <c r="T942" s="18" t="s">
        <v>3971</v>
      </c>
      <c r="U942" s="19"/>
      <c r="V942" s="18" t="s">
        <v>4451</v>
      </c>
      <c r="W942" s="17" t="s">
        <v>240</v>
      </c>
      <c r="X942" s="17" t="s">
        <v>4223</v>
      </c>
      <c r="Y942" s="17" t="s">
        <v>242</v>
      </c>
      <c r="Z942" s="19"/>
      <c r="AA942" s="19"/>
      <c r="AB942" s="17"/>
      <c r="AC942" s="19"/>
    </row>
    <row r="943" customFormat="false" ht="22.35" hidden="false" customHeight="false" outlineLevel="0" collapsed="false">
      <c r="A943" s="10" t="s">
        <v>4759</v>
      </c>
      <c r="B943" s="17" t="s">
        <v>109</v>
      </c>
      <c r="C943" s="18" t="s">
        <v>110</v>
      </c>
      <c r="D943" s="17" t="s">
        <v>19</v>
      </c>
      <c r="E943" s="17" t="s">
        <v>75</v>
      </c>
      <c r="F943" s="17" t="s">
        <v>3936</v>
      </c>
      <c r="G943" s="17" t="s">
        <v>4730</v>
      </c>
      <c r="H943" s="17" t="s">
        <v>32</v>
      </c>
      <c r="I943" s="17" t="s">
        <v>232</v>
      </c>
      <c r="J943" s="17" t="s">
        <v>233</v>
      </c>
      <c r="K943" s="19"/>
      <c r="L943" s="19"/>
      <c r="M943" s="19"/>
      <c r="N943" s="19"/>
      <c r="O943" s="17" t="n">
        <v>2</v>
      </c>
      <c r="P943" s="18" t="s">
        <v>4731</v>
      </c>
      <c r="Q943" s="18" t="s">
        <v>4732</v>
      </c>
      <c r="R943" s="18" t="s">
        <v>4760</v>
      </c>
      <c r="S943" s="17" t="s">
        <v>4757</v>
      </c>
      <c r="T943" s="18" t="s">
        <v>285</v>
      </c>
      <c r="U943" s="19"/>
      <c r="V943" s="18" t="s">
        <v>4226</v>
      </c>
      <c r="W943" s="17" t="s">
        <v>240</v>
      </c>
      <c r="X943" s="17" t="s">
        <v>3977</v>
      </c>
      <c r="Y943" s="17" t="s">
        <v>242</v>
      </c>
      <c r="Z943" s="19"/>
      <c r="AA943" s="19"/>
      <c r="AB943" s="17"/>
      <c r="AC943" s="19"/>
    </row>
    <row r="944" customFormat="false" ht="22.35" hidden="false" customHeight="false" outlineLevel="0" collapsed="false">
      <c r="A944" s="10" t="s">
        <v>4761</v>
      </c>
      <c r="B944" s="17" t="s">
        <v>109</v>
      </c>
      <c r="C944" s="18" t="s">
        <v>110</v>
      </c>
      <c r="D944" s="17" t="s">
        <v>19</v>
      </c>
      <c r="E944" s="17" t="s">
        <v>244</v>
      </c>
      <c r="F944" s="17" t="s">
        <v>3936</v>
      </c>
      <c r="G944" s="17" t="s">
        <v>4730</v>
      </c>
      <c r="H944" s="17" t="s">
        <v>32</v>
      </c>
      <c r="I944" s="17" t="s">
        <v>316</v>
      </c>
      <c r="J944" s="17" t="s">
        <v>233</v>
      </c>
      <c r="K944" s="19"/>
      <c r="L944" s="19"/>
      <c r="M944" s="19"/>
      <c r="N944" s="19"/>
      <c r="O944" s="17" t="n">
        <v>2</v>
      </c>
      <c r="P944" s="18" t="s">
        <v>4762</v>
      </c>
      <c r="Q944" s="18" t="s">
        <v>4763</v>
      </c>
      <c r="R944" s="18" t="s">
        <v>4764</v>
      </c>
      <c r="S944" s="17" t="s">
        <v>4765</v>
      </c>
      <c r="T944" s="18" t="s">
        <v>4766</v>
      </c>
      <c r="U944" s="19"/>
      <c r="V944" s="18" t="s">
        <v>4767</v>
      </c>
      <c r="W944" s="17" t="s">
        <v>240</v>
      </c>
      <c r="X944" s="17" t="s">
        <v>4768</v>
      </c>
      <c r="Y944" s="17" t="s">
        <v>242</v>
      </c>
      <c r="Z944" s="19"/>
      <c r="AA944" s="19"/>
      <c r="AB944" s="17"/>
      <c r="AC944" s="19"/>
    </row>
    <row r="945" customFormat="false" ht="32.8" hidden="false" customHeight="false" outlineLevel="0" collapsed="false">
      <c r="A945" s="10" t="s">
        <v>4769</v>
      </c>
      <c r="B945" s="17" t="s">
        <v>109</v>
      </c>
      <c r="C945" s="18" t="s">
        <v>110</v>
      </c>
      <c r="D945" s="17" t="s">
        <v>19</v>
      </c>
      <c r="E945" s="17" t="s">
        <v>244</v>
      </c>
      <c r="F945" s="17" t="s">
        <v>3936</v>
      </c>
      <c r="G945" s="17" t="s">
        <v>4730</v>
      </c>
      <c r="H945" s="17" t="s">
        <v>32</v>
      </c>
      <c r="I945" s="17" t="s">
        <v>316</v>
      </c>
      <c r="J945" s="17" t="s">
        <v>233</v>
      </c>
      <c r="K945" s="19"/>
      <c r="L945" s="19"/>
      <c r="M945" s="19"/>
      <c r="N945" s="19"/>
      <c r="O945" s="17" t="n">
        <v>2</v>
      </c>
      <c r="P945" s="18" t="s">
        <v>4762</v>
      </c>
      <c r="Q945" s="18" t="s">
        <v>4763</v>
      </c>
      <c r="R945" s="18" t="s">
        <v>4770</v>
      </c>
      <c r="S945" s="17" t="s">
        <v>4771</v>
      </c>
      <c r="T945" s="18" t="s">
        <v>4772</v>
      </c>
      <c r="U945" s="19"/>
      <c r="V945" s="18" t="s">
        <v>4773</v>
      </c>
      <c r="W945" s="17" t="s">
        <v>240</v>
      </c>
      <c r="X945" s="17" t="s">
        <v>4774</v>
      </c>
      <c r="Y945" s="17" t="s">
        <v>242</v>
      </c>
      <c r="Z945" s="19"/>
      <c r="AA945" s="19"/>
      <c r="AB945" s="17"/>
      <c r="AC945" s="19"/>
    </row>
    <row r="946" customFormat="false" ht="32.8" hidden="false" customHeight="false" outlineLevel="0" collapsed="false">
      <c r="A946" s="10" t="s">
        <v>4775</v>
      </c>
      <c r="B946" s="17" t="s">
        <v>109</v>
      </c>
      <c r="C946" s="18" t="s">
        <v>110</v>
      </c>
      <c r="D946" s="17" t="s">
        <v>19</v>
      </c>
      <c r="E946" s="17" t="s">
        <v>75</v>
      </c>
      <c r="F946" s="17" t="s">
        <v>3936</v>
      </c>
      <c r="G946" s="17" t="s">
        <v>4730</v>
      </c>
      <c r="H946" s="17" t="s">
        <v>32</v>
      </c>
      <c r="I946" s="17" t="s">
        <v>316</v>
      </c>
      <c r="J946" s="17" t="s">
        <v>233</v>
      </c>
      <c r="K946" s="19"/>
      <c r="L946" s="19"/>
      <c r="M946" s="19"/>
      <c r="N946" s="19"/>
      <c r="O946" s="17" t="n">
        <v>2</v>
      </c>
      <c r="P946" s="18" t="s">
        <v>4762</v>
      </c>
      <c r="Q946" s="18" t="s">
        <v>4763</v>
      </c>
      <c r="R946" s="18" t="s">
        <v>4776</v>
      </c>
      <c r="S946" s="17" t="s">
        <v>4777</v>
      </c>
      <c r="T946" s="18" t="s">
        <v>4778</v>
      </c>
      <c r="U946" s="19"/>
      <c r="V946" s="18" t="s">
        <v>4779</v>
      </c>
      <c r="W946" s="17" t="s">
        <v>240</v>
      </c>
      <c r="X946" s="17" t="s">
        <v>4780</v>
      </c>
      <c r="Y946" s="17" t="s">
        <v>242</v>
      </c>
      <c r="Z946" s="19"/>
      <c r="AA946" s="19"/>
      <c r="AB946" s="17"/>
      <c r="AC946" s="19"/>
    </row>
    <row r="947" customFormat="false" ht="22.35" hidden="false" customHeight="false" outlineLevel="0" collapsed="false">
      <c r="A947" s="10" t="s">
        <v>4781</v>
      </c>
      <c r="B947" s="17" t="s">
        <v>109</v>
      </c>
      <c r="C947" s="18" t="s">
        <v>110</v>
      </c>
      <c r="D947" s="17" t="s">
        <v>19</v>
      </c>
      <c r="E947" s="17" t="s">
        <v>229</v>
      </c>
      <c r="F947" s="17" t="s">
        <v>3936</v>
      </c>
      <c r="G947" s="17" t="s">
        <v>4730</v>
      </c>
      <c r="H947" s="17" t="s">
        <v>32</v>
      </c>
      <c r="I947" s="17" t="s">
        <v>316</v>
      </c>
      <c r="J947" s="17" t="s">
        <v>233</v>
      </c>
      <c r="K947" s="19"/>
      <c r="L947" s="19"/>
      <c r="M947" s="19"/>
      <c r="N947" s="19"/>
      <c r="O947" s="17" t="n">
        <v>3</v>
      </c>
      <c r="P947" s="18" t="s">
        <v>4762</v>
      </c>
      <c r="Q947" s="18" t="s">
        <v>4763</v>
      </c>
      <c r="R947" s="18" t="s">
        <v>4782</v>
      </c>
      <c r="S947" s="17" t="s">
        <v>4747</v>
      </c>
      <c r="T947" s="18" t="s">
        <v>4783</v>
      </c>
      <c r="U947" s="19"/>
      <c r="V947" s="18" t="s">
        <v>4784</v>
      </c>
      <c r="W947" s="17" t="s">
        <v>240</v>
      </c>
      <c r="X947" s="17" t="s">
        <v>4785</v>
      </c>
      <c r="Y947" s="17" t="s">
        <v>242</v>
      </c>
      <c r="Z947" s="19"/>
      <c r="AA947" s="19"/>
      <c r="AB947" s="17"/>
      <c r="AC947" s="19"/>
    </row>
    <row r="948" customFormat="false" ht="22.35" hidden="false" customHeight="false" outlineLevel="0" collapsed="false">
      <c r="A948" s="10" t="s">
        <v>4786</v>
      </c>
      <c r="B948" s="17" t="s">
        <v>109</v>
      </c>
      <c r="C948" s="18" t="s">
        <v>110</v>
      </c>
      <c r="D948" s="17" t="s">
        <v>19</v>
      </c>
      <c r="E948" s="17" t="s">
        <v>229</v>
      </c>
      <c r="F948" s="17" t="s">
        <v>3936</v>
      </c>
      <c r="G948" s="17" t="s">
        <v>4730</v>
      </c>
      <c r="H948" s="17" t="s">
        <v>32</v>
      </c>
      <c r="I948" s="17" t="s">
        <v>316</v>
      </c>
      <c r="J948" s="17" t="s">
        <v>233</v>
      </c>
      <c r="K948" s="19"/>
      <c r="L948" s="19"/>
      <c r="M948" s="19"/>
      <c r="N948" s="19"/>
      <c r="O948" s="17" t="n">
        <v>2</v>
      </c>
      <c r="P948" s="18" t="s">
        <v>4762</v>
      </c>
      <c r="Q948" s="18" t="s">
        <v>4763</v>
      </c>
      <c r="R948" s="18" t="s">
        <v>4787</v>
      </c>
      <c r="S948" s="17" t="s">
        <v>4788</v>
      </c>
      <c r="T948" s="18" t="s">
        <v>4789</v>
      </c>
      <c r="U948" s="19"/>
      <c r="V948" s="18" t="s">
        <v>4790</v>
      </c>
      <c r="W948" s="17" t="s">
        <v>240</v>
      </c>
      <c r="X948" s="17" t="s">
        <v>4791</v>
      </c>
      <c r="Y948" s="17" t="s">
        <v>242</v>
      </c>
      <c r="Z948" s="19"/>
      <c r="AA948" s="19"/>
      <c r="AB948" s="17"/>
      <c r="AC948" s="19"/>
    </row>
    <row r="949" customFormat="false" ht="22.35" hidden="false" customHeight="false" outlineLevel="0" collapsed="false">
      <c r="A949" s="10" t="s">
        <v>4792</v>
      </c>
      <c r="B949" s="17" t="s">
        <v>109</v>
      </c>
      <c r="C949" s="18" t="s">
        <v>110</v>
      </c>
      <c r="D949" s="17" t="s">
        <v>19</v>
      </c>
      <c r="E949" s="17" t="s">
        <v>75</v>
      </c>
      <c r="F949" s="17" t="s">
        <v>3936</v>
      </c>
      <c r="G949" s="17" t="s">
        <v>4730</v>
      </c>
      <c r="H949" s="17" t="s">
        <v>32</v>
      </c>
      <c r="I949" s="17" t="s">
        <v>316</v>
      </c>
      <c r="J949" s="17" t="s">
        <v>233</v>
      </c>
      <c r="K949" s="19"/>
      <c r="L949" s="19"/>
      <c r="M949" s="19"/>
      <c r="N949" s="19"/>
      <c r="O949" s="17" t="n">
        <v>2</v>
      </c>
      <c r="P949" s="18" t="s">
        <v>4762</v>
      </c>
      <c r="Q949" s="18" t="s">
        <v>4763</v>
      </c>
      <c r="R949" s="18" t="s">
        <v>4793</v>
      </c>
      <c r="S949" s="17" t="s">
        <v>4761</v>
      </c>
      <c r="T949" s="18" t="s">
        <v>4794</v>
      </c>
      <c r="U949" s="19"/>
      <c r="V949" s="18" t="s">
        <v>4795</v>
      </c>
      <c r="W949" s="17" t="s">
        <v>240</v>
      </c>
      <c r="X949" s="17" t="s">
        <v>4796</v>
      </c>
      <c r="Y949" s="17" t="s">
        <v>242</v>
      </c>
      <c r="Z949" s="19"/>
      <c r="AA949" s="19"/>
      <c r="AB949" s="17"/>
      <c r="AC949" s="19"/>
    </row>
    <row r="950" customFormat="false" ht="22.35" hidden="false" customHeight="false" outlineLevel="0" collapsed="false">
      <c r="A950" s="10" t="s">
        <v>4797</v>
      </c>
      <c r="B950" s="17" t="s">
        <v>109</v>
      </c>
      <c r="C950" s="18" t="s">
        <v>110</v>
      </c>
      <c r="D950" s="17" t="s">
        <v>19</v>
      </c>
      <c r="E950" s="17" t="s">
        <v>75</v>
      </c>
      <c r="F950" s="17" t="s">
        <v>3936</v>
      </c>
      <c r="G950" s="17" t="s">
        <v>4730</v>
      </c>
      <c r="H950" s="17" t="s">
        <v>32</v>
      </c>
      <c r="I950" s="17" t="s">
        <v>316</v>
      </c>
      <c r="J950" s="17" t="s">
        <v>233</v>
      </c>
      <c r="K950" s="19"/>
      <c r="L950" s="19"/>
      <c r="M950" s="19"/>
      <c r="N950" s="19"/>
      <c r="O950" s="17" t="n">
        <v>2</v>
      </c>
      <c r="P950" s="18" t="s">
        <v>4762</v>
      </c>
      <c r="Q950" s="18" t="s">
        <v>4763</v>
      </c>
      <c r="R950" s="18" t="s">
        <v>4798</v>
      </c>
      <c r="S950" s="17" t="s">
        <v>4792</v>
      </c>
      <c r="T950" s="18" t="s">
        <v>285</v>
      </c>
      <c r="U950" s="19"/>
      <c r="V950" s="18" t="s">
        <v>4226</v>
      </c>
      <c r="W950" s="17" t="s">
        <v>240</v>
      </c>
      <c r="X950" s="17" t="s">
        <v>3977</v>
      </c>
      <c r="Y950" s="17" t="s">
        <v>242</v>
      </c>
      <c r="Z950" s="19"/>
      <c r="AA950" s="19"/>
      <c r="AB950" s="17"/>
      <c r="AC950" s="19"/>
    </row>
    <row r="951" customFormat="false" ht="32.8" hidden="false" customHeight="false" outlineLevel="0" collapsed="false">
      <c r="A951" s="10" t="s">
        <v>4799</v>
      </c>
      <c r="B951" s="17" t="s">
        <v>109</v>
      </c>
      <c r="C951" s="18" t="s">
        <v>110</v>
      </c>
      <c r="D951" s="17" t="s">
        <v>19</v>
      </c>
      <c r="E951" s="17" t="s">
        <v>229</v>
      </c>
      <c r="F951" s="17" t="s">
        <v>3936</v>
      </c>
      <c r="G951" s="17" t="s">
        <v>4730</v>
      </c>
      <c r="H951" s="17" t="s">
        <v>32</v>
      </c>
      <c r="I951" s="17" t="s">
        <v>283</v>
      </c>
      <c r="J951" s="17" t="s">
        <v>233</v>
      </c>
      <c r="K951" s="19"/>
      <c r="L951" s="19"/>
      <c r="M951" s="19"/>
      <c r="N951" s="19"/>
      <c r="O951" s="17" t="n">
        <v>2</v>
      </c>
      <c r="P951" s="18" t="s">
        <v>4800</v>
      </c>
      <c r="Q951" s="18" t="s">
        <v>4801</v>
      </c>
      <c r="R951" s="18" t="s">
        <v>4802</v>
      </c>
      <c r="S951" s="17" t="s">
        <v>4786</v>
      </c>
      <c r="T951" s="18" t="s">
        <v>4803</v>
      </c>
      <c r="U951" s="19"/>
      <c r="V951" s="18" t="s">
        <v>4804</v>
      </c>
      <c r="W951" s="17" t="s">
        <v>240</v>
      </c>
      <c r="X951" s="17" t="s">
        <v>4805</v>
      </c>
      <c r="Y951" s="17" t="s">
        <v>242</v>
      </c>
      <c r="Z951" s="19"/>
      <c r="AA951" s="19"/>
      <c r="AB951" s="17"/>
      <c r="AC951" s="19"/>
    </row>
    <row r="952" customFormat="false" ht="22.35" hidden="false" customHeight="false" outlineLevel="0" collapsed="false">
      <c r="A952" s="10" t="s">
        <v>4806</v>
      </c>
      <c r="B952" s="17" t="s">
        <v>109</v>
      </c>
      <c r="C952" s="18" t="s">
        <v>110</v>
      </c>
      <c r="D952" s="17" t="s">
        <v>19</v>
      </c>
      <c r="E952" s="17" t="s">
        <v>244</v>
      </c>
      <c r="F952" s="17" t="s">
        <v>3936</v>
      </c>
      <c r="G952" s="17" t="s">
        <v>4730</v>
      </c>
      <c r="H952" s="17" t="s">
        <v>32</v>
      </c>
      <c r="I952" s="17" t="s">
        <v>283</v>
      </c>
      <c r="J952" s="17" t="s">
        <v>233</v>
      </c>
      <c r="K952" s="19"/>
      <c r="L952" s="19"/>
      <c r="M952" s="19"/>
      <c r="N952" s="19"/>
      <c r="O952" s="17" t="n">
        <v>2</v>
      </c>
      <c r="P952" s="18" t="s">
        <v>4800</v>
      </c>
      <c r="Q952" s="18" t="s">
        <v>4801</v>
      </c>
      <c r="R952" s="18" t="s">
        <v>4807</v>
      </c>
      <c r="S952" s="17" t="s">
        <v>4799</v>
      </c>
      <c r="T952" s="18" t="s">
        <v>4808</v>
      </c>
      <c r="U952" s="19"/>
      <c r="V952" s="18" t="s">
        <v>4809</v>
      </c>
      <c r="W952" s="17" t="s">
        <v>240</v>
      </c>
      <c r="X952" s="17" t="s">
        <v>4810</v>
      </c>
      <c r="Y952" s="17" t="s">
        <v>242</v>
      </c>
      <c r="Z952" s="19"/>
      <c r="AA952" s="19"/>
      <c r="AB952" s="17"/>
      <c r="AC952" s="19"/>
    </row>
    <row r="953" customFormat="false" ht="32.8" hidden="false" customHeight="false" outlineLevel="0" collapsed="false">
      <c r="A953" s="10" t="s">
        <v>4811</v>
      </c>
      <c r="B953" s="17" t="s">
        <v>109</v>
      </c>
      <c r="C953" s="18" t="s">
        <v>110</v>
      </c>
      <c r="D953" s="17" t="s">
        <v>19</v>
      </c>
      <c r="E953" s="17" t="s">
        <v>229</v>
      </c>
      <c r="F953" s="17" t="s">
        <v>3936</v>
      </c>
      <c r="G953" s="17" t="s">
        <v>4730</v>
      </c>
      <c r="H953" s="17" t="s">
        <v>32</v>
      </c>
      <c r="I953" s="17" t="s">
        <v>277</v>
      </c>
      <c r="J953" s="17" t="s">
        <v>233</v>
      </c>
      <c r="K953" s="19"/>
      <c r="L953" s="19"/>
      <c r="M953" s="19"/>
      <c r="N953" s="19"/>
      <c r="O953" s="17" t="n">
        <v>3</v>
      </c>
      <c r="P953" s="18" t="s">
        <v>4800</v>
      </c>
      <c r="Q953" s="18" t="s">
        <v>4801</v>
      </c>
      <c r="R953" s="18" t="s">
        <v>4812</v>
      </c>
      <c r="S953" s="17" t="s">
        <v>4781</v>
      </c>
      <c r="T953" s="18" t="s">
        <v>4813</v>
      </c>
      <c r="U953" s="19"/>
      <c r="V953" s="18" t="s">
        <v>4814</v>
      </c>
      <c r="W953" s="17" t="s">
        <v>383</v>
      </c>
      <c r="X953" s="17" t="s">
        <v>4815</v>
      </c>
      <c r="Y953" s="17" t="s">
        <v>242</v>
      </c>
      <c r="Z953" s="19"/>
      <c r="AA953" s="19"/>
      <c r="AB953" s="17"/>
      <c r="AC953" s="19"/>
    </row>
    <row r="954" customFormat="false" ht="22.35" hidden="false" customHeight="false" outlineLevel="0" collapsed="false">
      <c r="A954" s="10" t="s">
        <v>4816</v>
      </c>
      <c r="B954" s="17" t="s">
        <v>109</v>
      </c>
      <c r="C954" s="18" t="s">
        <v>110</v>
      </c>
      <c r="D954" s="17" t="s">
        <v>19</v>
      </c>
      <c r="E954" s="17" t="s">
        <v>75</v>
      </c>
      <c r="F954" s="17" t="s">
        <v>3936</v>
      </c>
      <c r="G954" s="17" t="s">
        <v>4730</v>
      </c>
      <c r="H954" s="17" t="s">
        <v>32</v>
      </c>
      <c r="I954" s="17" t="s">
        <v>277</v>
      </c>
      <c r="J954" s="17" t="s">
        <v>233</v>
      </c>
      <c r="K954" s="19"/>
      <c r="L954" s="19"/>
      <c r="M954" s="19"/>
      <c r="N954" s="19"/>
      <c r="O954" s="17" t="n">
        <v>2</v>
      </c>
      <c r="P954" s="18" t="s">
        <v>4800</v>
      </c>
      <c r="Q954" s="18" t="s">
        <v>4801</v>
      </c>
      <c r="R954" s="18" t="s">
        <v>4817</v>
      </c>
      <c r="S954" s="17" t="s">
        <v>4752</v>
      </c>
      <c r="T954" s="18" t="s">
        <v>1016</v>
      </c>
      <c r="U954" s="19"/>
      <c r="V954" s="18" t="s">
        <v>4818</v>
      </c>
      <c r="W954" s="17" t="s">
        <v>240</v>
      </c>
      <c r="X954" s="17" t="s">
        <v>4756</v>
      </c>
      <c r="Y954" s="17" t="s">
        <v>242</v>
      </c>
      <c r="Z954" s="19"/>
      <c r="AA954" s="19"/>
      <c r="AB954" s="17"/>
      <c r="AC954" s="19"/>
    </row>
    <row r="955" customFormat="false" ht="15" hidden="false" customHeight="false" outlineLevel="0" collapsed="false">
      <c r="A955" s="10" t="s">
        <v>4819</v>
      </c>
      <c r="B955" s="17" t="s">
        <v>109</v>
      </c>
      <c r="C955" s="18" t="s">
        <v>110</v>
      </c>
      <c r="D955" s="17" t="s">
        <v>19</v>
      </c>
      <c r="E955" s="17" t="s">
        <v>75</v>
      </c>
      <c r="F955" s="17" t="s">
        <v>3936</v>
      </c>
      <c r="G955" s="17" t="s">
        <v>4730</v>
      </c>
      <c r="H955" s="17" t="s">
        <v>32</v>
      </c>
      <c r="I955" s="17" t="s">
        <v>283</v>
      </c>
      <c r="J955" s="17" t="s">
        <v>233</v>
      </c>
      <c r="K955" s="19"/>
      <c r="L955" s="19"/>
      <c r="M955" s="19"/>
      <c r="N955" s="19"/>
      <c r="O955" s="17" t="n">
        <v>2</v>
      </c>
      <c r="P955" s="18" t="s">
        <v>4800</v>
      </c>
      <c r="Q955" s="18" t="s">
        <v>4801</v>
      </c>
      <c r="R955" s="18" t="s">
        <v>4820</v>
      </c>
      <c r="S955" s="17" t="s">
        <v>4816</v>
      </c>
      <c r="T955" s="18" t="s">
        <v>285</v>
      </c>
      <c r="U955" s="19"/>
      <c r="V955" s="18" t="s">
        <v>4226</v>
      </c>
      <c r="W955" s="17" t="s">
        <v>240</v>
      </c>
      <c r="X955" s="17" t="s">
        <v>3977</v>
      </c>
      <c r="Y955" s="17" t="s">
        <v>242</v>
      </c>
      <c r="Z955" s="19"/>
      <c r="AA955" s="19"/>
      <c r="AB955" s="17"/>
      <c r="AC955" s="19"/>
    </row>
    <row r="956" customFormat="false" ht="22.35" hidden="false" customHeight="false" outlineLevel="0" collapsed="false">
      <c r="A956" s="10" t="s">
        <v>4821</v>
      </c>
      <c r="B956" s="17" t="s">
        <v>109</v>
      </c>
      <c r="C956" s="18" t="s">
        <v>110</v>
      </c>
      <c r="D956" s="17" t="s">
        <v>19</v>
      </c>
      <c r="E956" s="17" t="s">
        <v>229</v>
      </c>
      <c r="F956" s="17" t="s">
        <v>3936</v>
      </c>
      <c r="G956" s="17" t="s">
        <v>4730</v>
      </c>
      <c r="H956" s="17" t="s">
        <v>32</v>
      </c>
      <c r="I956" s="17" t="s">
        <v>333</v>
      </c>
      <c r="J956" s="17" t="s">
        <v>233</v>
      </c>
      <c r="K956" s="19"/>
      <c r="L956" s="19"/>
      <c r="M956" s="19"/>
      <c r="N956" s="19"/>
      <c r="O956" s="17" t="n">
        <v>2</v>
      </c>
      <c r="P956" s="18" t="s">
        <v>4822</v>
      </c>
      <c r="Q956" s="18" t="s">
        <v>4823</v>
      </c>
      <c r="R956" s="18" t="s">
        <v>4824</v>
      </c>
      <c r="S956" s="17" t="s">
        <v>4825</v>
      </c>
      <c r="T956" s="18" t="s">
        <v>4138</v>
      </c>
      <c r="U956" s="19"/>
      <c r="V956" s="18" t="s">
        <v>4573</v>
      </c>
      <c r="W956" s="17" t="s">
        <v>240</v>
      </c>
      <c r="X956" s="17" t="s">
        <v>4134</v>
      </c>
      <c r="Y956" s="17" t="s">
        <v>242</v>
      </c>
      <c r="Z956" s="19"/>
      <c r="AA956" s="19"/>
      <c r="AB956" s="17"/>
      <c r="AC956" s="19"/>
    </row>
    <row r="957" customFormat="false" ht="32.8" hidden="false" customHeight="false" outlineLevel="0" collapsed="false">
      <c r="A957" s="10" t="s">
        <v>4826</v>
      </c>
      <c r="B957" s="17" t="s">
        <v>109</v>
      </c>
      <c r="C957" s="18" t="s">
        <v>110</v>
      </c>
      <c r="D957" s="17" t="s">
        <v>19</v>
      </c>
      <c r="E957" s="17" t="s">
        <v>229</v>
      </c>
      <c r="F957" s="17" t="s">
        <v>3936</v>
      </c>
      <c r="G957" s="17" t="s">
        <v>4730</v>
      </c>
      <c r="H957" s="17" t="s">
        <v>32</v>
      </c>
      <c r="I957" s="17" t="s">
        <v>450</v>
      </c>
      <c r="J957" s="17" t="s">
        <v>233</v>
      </c>
      <c r="K957" s="19"/>
      <c r="L957" s="19"/>
      <c r="M957" s="19"/>
      <c r="N957" s="19"/>
      <c r="O957" s="17" t="n">
        <v>2</v>
      </c>
      <c r="P957" s="18" t="s">
        <v>4822</v>
      </c>
      <c r="Q957" s="18" t="s">
        <v>4823</v>
      </c>
      <c r="R957" s="18" t="s">
        <v>4827</v>
      </c>
      <c r="S957" s="17" t="s">
        <v>4828</v>
      </c>
      <c r="T957" s="18" t="s">
        <v>4829</v>
      </c>
      <c r="U957" s="19"/>
      <c r="V957" s="18" t="s">
        <v>4830</v>
      </c>
      <c r="W957" s="17" t="s">
        <v>240</v>
      </c>
      <c r="X957" s="17" t="s">
        <v>4831</v>
      </c>
      <c r="Y957" s="17" t="s">
        <v>242</v>
      </c>
      <c r="Z957" s="19"/>
      <c r="AA957" s="19"/>
      <c r="AB957" s="17" t="s">
        <v>1681</v>
      </c>
      <c r="AC957" s="19"/>
    </row>
    <row r="958" customFormat="false" ht="22.35" hidden="false" customHeight="false" outlineLevel="0" collapsed="false">
      <c r="A958" s="10" t="s">
        <v>4832</v>
      </c>
      <c r="B958" s="17" t="s">
        <v>109</v>
      </c>
      <c r="C958" s="18" t="s">
        <v>110</v>
      </c>
      <c r="D958" s="17" t="s">
        <v>19</v>
      </c>
      <c r="E958" s="17" t="s">
        <v>75</v>
      </c>
      <c r="F958" s="17" t="s">
        <v>3936</v>
      </c>
      <c r="G958" s="17" t="s">
        <v>4730</v>
      </c>
      <c r="H958" s="17" t="s">
        <v>32</v>
      </c>
      <c r="I958" s="17" t="s">
        <v>316</v>
      </c>
      <c r="J958" s="17" t="s">
        <v>233</v>
      </c>
      <c r="K958" s="19"/>
      <c r="L958" s="19"/>
      <c r="M958" s="19"/>
      <c r="N958" s="19"/>
      <c r="O958" s="17" t="n">
        <v>2</v>
      </c>
      <c r="P958" s="18" t="s">
        <v>4822</v>
      </c>
      <c r="Q958" s="18" t="s">
        <v>4823</v>
      </c>
      <c r="R958" s="18" t="s">
        <v>4833</v>
      </c>
      <c r="S958" s="17" t="s">
        <v>4713</v>
      </c>
      <c r="T958" s="18" t="s">
        <v>4714</v>
      </c>
      <c r="U958" s="19"/>
      <c r="V958" s="18" t="s">
        <v>4715</v>
      </c>
      <c r="W958" s="17" t="s">
        <v>240</v>
      </c>
      <c r="X958" s="17" t="s">
        <v>4172</v>
      </c>
      <c r="Y958" s="17" t="s">
        <v>242</v>
      </c>
      <c r="Z958" s="19"/>
      <c r="AA958" s="19"/>
      <c r="AB958" s="17"/>
      <c r="AC958" s="19"/>
    </row>
    <row r="959" customFormat="false" ht="22.35" hidden="false" customHeight="false" outlineLevel="0" collapsed="false">
      <c r="A959" s="10" t="s">
        <v>4834</v>
      </c>
      <c r="B959" s="17" t="s">
        <v>109</v>
      </c>
      <c r="C959" s="18" t="s">
        <v>110</v>
      </c>
      <c r="D959" s="17" t="s">
        <v>19</v>
      </c>
      <c r="E959" s="17" t="s">
        <v>229</v>
      </c>
      <c r="F959" s="17" t="s">
        <v>3936</v>
      </c>
      <c r="G959" s="17" t="s">
        <v>4730</v>
      </c>
      <c r="H959" s="17" t="s">
        <v>32</v>
      </c>
      <c r="I959" s="17" t="s">
        <v>289</v>
      </c>
      <c r="J959" s="17" t="s">
        <v>233</v>
      </c>
      <c r="K959" s="19"/>
      <c r="L959" s="19"/>
      <c r="M959" s="19"/>
      <c r="N959" s="19"/>
      <c r="O959" s="17" t="n">
        <v>2</v>
      </c>
      <c r="P959" s="18" t="s">
        <v>4822</v>
      </c>
      <c r="Q959" s="18" t="s">
        <v>4823</v>
      </c>
      <c r="R959" s="18" t="s">
        <v>4835</v>
      </c>
      <c r="S959" s="17" t="s">
        <v>4173</v>
      </c>
      <c r="T959" s="18" t="s">
        <v>4836</v>
      </c>
      <c r="U959" s="19"/>
      <c r="V959" s="18" t="s">
        <v>4837</v>
      </c>
      <c r="W959" s="17" t="s">
        <v>383</v>
      </c>
      <c r="X959" s="17" t="s">
        <v>4838</v>
      </c>
      <c r="Y959" s="17" t="s">
        <v>242</v>
      </c>
      <c r="Z959" s="19"/>
      <c r="AA959" s="19"/>
      <c r="AB959" s="17"/>
      <c r="AC959" s="19"/>
    </row>
    <row r="960" customFormat="false" ht="22.35" hidden="false" customHeight="false" outlineLevel="0" collapsed="false">
      <c r="A960" s="10" t="s">
        <v>4839</v>
      </c>
      <c r="B960" s="17" t="s">
        <v>109</v>
      </c>
      <c r="C960" s="18" t="s">
        <v>110</v>
      </c>
      <c r="D960" s="17" t="s">
        <v>19</v>
      </c>
      <c r="E960" s="17" t="s">
        <v>75</v>
      </c>
      <c r="F960" s="17" t="s">
        <v>3936</v>
      </c>
      <c r="G960" s="17" t="s">
        <v>4730</v>
      </c>
      <c r="H960" s="17" t="s">
        <v>32</v>
      </c>
      <c r="I960" s="17" t="s">
        <v>369</v>
      </c>
      <c r="J960" s="17" t="s">
        <v>233</v>
      </c>
      <c r="K960" s="19"/>
      <c r="L960" s="19"/>
      <c r="M960" s="19"/>
      <c r="N960" s="19"/>
      <c r="O960" s="17" t="n">
        <v>2</v>
      </c>
      <c r="P960" s="18" t="s">
        <v>4822</v>
      </c>
      <c r="Q960" s="18" t="s">
        <v>4823</v>
      </c>
      <c r="R960" s="18" t="s">
        <v>4840</v>
      </c>
      <c r="S960" s="17" t="s">
        <v>4729</v>
      </c>
      <c r="T960" s="18" t="s">
        <v>2967</v>
      </c>
      <c r="U960" s="19"/>
      <c r="V960" s="18" t="s">
        <v>4841</v>
      </c>
      <c r="W960" s="17" t="s">
        <v>240</v>
      </c>
      <c r="X960" s="17" t="s">
        <v>4415</v>
      </c>
      <c r="Y960" s="17" t="s">
        <v>242</v>
      </c>
      <c r="Z960" s="19"/>
      <c r="AA960" s="19"/>
      <c r="AB960" s="17"/>
      <c r="AC960" s="19"/>
    </row>
    <row r="961" customFormat="false" ht="22.35" hidden="false" customHeight="false" outlineLevel="0" collapsed="false">
      <c r="A961" s="10" t="s">
        <v>4842</v>
      </c>
      <c r="B961" s="17" t="s">
        <v>109</v>
      </c>
      <c r="C961" s="18" t="s">
        <v>110</v>
      </c>
      <c r="D961" s="17" t="s">
        <v>19</v>
      </c>
      <c r="E961" s="17" t="s">
        <v>75</v>
      </c>
      <c r="F961" s="17" t="s">
        <v>3936</v>
      </c>
      <c r="G961" s="17" t="s">
        <v>4730</v>
      </c>
      <c r="H961" s="17" t="s">
        <v>32</v>
      </c>
      <c r="I961" s="17" t="s">
        <v>316</v>
      </c>
      <c r="J961" s="17" t="s">
        <v>233</v>
      </c>
      <c r="K961" s="19"/>
      <c r="L961" s="19"/>
      <c r="M961" s="19"/>
      <c r="N961" s="19"/>
      <c r="O961" s="17" t="n">
        <v>2</v>
      </c>
      <c r="P961" s="18" t="s">
        <v>4822</v>
      </c>
      <c r="Q961" s="18" t="s">
        <v>4823</v>
      </c>
      <c r="R961" s="18" t="s">
        <v>4843</v>
      </c>
      <c r="S961" s="17" t="s">
        <v>4839</v>
      </c>
      <c r="T961" s="18" t="s">
        <v>285</v>
      </c>
      <c r="U961" s="19"/>
      <c r="V961" s="18" t="s">
        <v>4226</v>
      </c>
      <c r="W961" s="17" t="s">
        <v>240</v>
      </c>
      <c r="X961" s="17" t="s">
        <v>3977</v>
      </c>
      <c r="Y961" s="17" t="s">
        <v>242</v>
      </c>
      <c r="Z961" s="19"/>
      <c r="AA961" s="19"/>
      <c r="AB961" s="17"/>
      <c r="AC961" s="19"/>
    </row>
    <row r="962" customFormat="false" ht="22.35" hidden="false" customHeight="false" outlineLevel="0" collapsed="false">
      <c r="A962" s="10" t="s">
        <v>4844</v>
      </c>
      <c r="B962" s="17" t="s">
        <v>121</v>
      </c>
      <c r="C962" s="18" t="s">
        <v>122</v>
      </c>
      <c r="D962" s="17" t="s">
        <v>19</v>
      </c>
      <c r="E962" s="17" t="s">
        <v>75</v>
      </c>
      <c r="F962" s="17" t="s">
        <v>4845</v>
      </c>
      <c r="G962" s="17" t="s">
        <v>973</v>
      </c>
      <c r="H962" s="17" t="s">
        <v>30</v>
      </c>
      <c r="I962" s="17" t="s">
        <v>289</v>
      </c>
      <c r="J962" s="17" t="s">
        <v>233</v>
      </c>
      <c r="K962" s="19"/>
      <c r="L962" s="19"/>
      <c r="M962" s="19"/>
      <c r="N962" s="19"/>
      <c r="O962" s="17" t="n">
        <v>1</v>
      </c>
      <c r="P962" s="18" t="s">
        <v>4846</v>
      </c>
      <c r="Q962" s="18" t="s">
        <v>4847</v>
      </c>
      <c r="R962" s="18" t="s">
        <v>4848</v>
      </c>
      <c r="S962" s="17" t="s">
        <v>237</v>
      </c>
      <c r="T962" s="18" t="s">
        <v>4849</v>
      </c>
      <c r="U962" s="19"/>
      <c r="V962" s="18" t="s">
        <v>4850</v>
      </c>
      <c r="W962" s="17" t="s">
        <v>240</v>
      </c>
      <c r="X962" s="17" t="s">
        <v>4851</v>
      </c>
      <c r="Y962" s="17" t="s">
        <v>242</v>
      </c>
      <c r="Z962" s="19"/>
      <c r="AA962" s="19"/>
      <c r="AB962" s="17"/>
      <c r="AC962" s="19"/>
    </row>
    <row r="963" customFormat="false" ht="22.35" hidden="false" customHeight="false" outlineLevel="0" collapsed="false">
      <c r="A963" s="10" t="s">
        <v>4852</v>
      </c>
      <c r="B963" s="17" t="s">
        <v>121</v>
      </c>
      <c r="C963" s="18" t="s">
        <v>122</v>
      </c>
      <c r="D963" s="17" t="s">
        <v>19</v>
      </c>
      <c r="E963" s="17" t="s">
        <v>75</v>
      </c>
      <c r="F963" s="17" t="s">
        <v>4845</v>
      </c>
      <c r="G963" s="17" t="s">
        <v>973</v>
      </c>
      <c r="H963" s="17" t="s">
        <v>30</v>
      </c>
      <c r="I963" s="17" t="s">
        <v>289</v>
      </c>
      <c r="J963" s="17" t="s">
        <v>233</v>
      </c>
      <c r="K963" s="19"/>
      <c r="L963" s="19"/>
      <c r="M963" s="19"/>
      <c r="N963" s="19"/>
      <c r="O963" s="17" t="n">
        <v>1</v>
      </c>
      <c r="P963" s="18" t="s">
        <v>4846</v>
      </c>
      <c r="Q963" s="18" t="s">
        <v>4847</v>
      </c>
      <c r="R963" s="18" t="s">
        <v>4853</v>
      </c>
      <c r="S963" s="17" t="s">
        <v>4844</v>
      </c>
      <c r="T963" s="18" t="s">
        <v>4854</v>
      </c>
      <c r="U963" s="19"/>
      <c r="V963" s="18" t="s">
        <v>4855</v>
      </c>
      <c r="W963" s="17" t="s">
        <v>240</v>
      </c>
      <c r="X963" s="17" t="s">
        <v>4856</v>
      </c>
      <c r="Y963" s="17" t="s">
        <v>242</v>
      </c>
      <c r="Z963" s="19"/>
      <c r="AA963" s="19"/>
      <c r="AB963" s="17"/>
      <c r="AC963" s="19"/>
    </row>
    <row r="964" customFormat="false" ht="22.35" hidden="false" customHeight="false" outlineLevel="0" collapsed="false">
      <c r="A964" s="10" t="s">
        <v>4857</v>
      </c>
      <c r="B964" s="17" t="s">
        <v>121</v>
      </c>
      <c r="C964" s="18" t="s">
        <v>122</v>
      </c>
      <c r="D964" s="17" t="s">
        <v>19</v>
      </c>
      <c r="E964" s="17" t="s">
        <v>75</v>
      </c>
      <c r="F964" s="17" t="s">
        <v>4845</v>
      </c>
      <c r="G964" s="17" t="s">
        <v>973</v>
      </c>
      <c r="H964" s="17" t="s">
        <v>30</v>
      </c>
      <c r="I964" s="17" t="s">
        <v>289</v>
      </c>
      <c r="J964" s="17" t="s">
        <v>233</v>
      </c>
      <c r="K964" s="19"/>
      <c r="L964" s="19"/>
      <c r="M964" s="19"/>
      <c r="N964" s="19"/>
      <c r="O964" s="17" t="n">
        <v>1</v>
      </c>
      <c r="P964" s="18" t="s">
        <v>4846</v>
      </c>
      <c r="Q964" s="18" t="s">
        <v>4847</v>
      </c>
      <c r="R964" s="18" t="s">
        <v>4858</v>
      </c>
      <c r="S964" s="17" t="s">
        <v>396</v>
      </c>
      <c r="T964" s="18" t="s">
        <v>4859</v>
      </c>
      <c r="U964" s="19"/>
      <c r="V964" s="18" t="s">
        <v>4860</v>
      </c>
      <c r="W964" s="17" t="s">
        <v>240</v>
      </c>
      <c r="X964" s="17" t="s">
        <v>4861</v>
      </c>
      <c r="Y964" s="17" t="s">
        <v>242</v>
      </c>
      <c r="Z964" s="19"/>
      <c r="AA964" s="19"/>
      <c r="AB964" s="17"/>
      <c r="AC964" s="19"/>
    </row>
    <row r="965" customFormat="false" ht="22.35" hidden="false" customHeight="false" outlineLevel="0" collapsed="false">
      <c r="A965" s="10" t="s">
        <v>4862</v>
      </c>
      <c r="B965" s="17" t="s">
        <v>121</v>
      </c>
      <c r="C965" s="18" t="s">
        <v>122</v>
      </c>
      <c r="D965" s="17" t="s">
        <v>19</v>
      </c>
      <c r="E965" s="17" t="s">
        <v>75</v>
      </c>
      <c r="F965" s="17" t="s">
        <v>4845</v>
      </c>
      <c r="G965" s="17" t="s">
        <v>973</v>
      </c>
      <c r="H965" s="17" t="s">
        <v>30</v>
      </c>
      <c r="I965" s="17" t="s">
        <v>289</v>
      </c>
      <c r="J965" s="17" t="s">
        <v>233</v>
      </c>
      <c r="K965" s="19"/>
      <c r="L965" s="19"/>
      <c r="M965" s="19"/>
      <c r="N965" s="19"/>
      <c r="O965" s="17" t="n">
        <v>1</v>
      </c>
      <c r="P965" s="18" t="s">
        <v>4846</v>
      </c>
      <c r="Q965" s="18" t="s">
        <v>4847</v>
      </c>
      <c r="R965" s="18" t="s">
        <v>4863</v>
      </c>
      <c r="S965" s="17" t="s">
        <v>4852</v>
      </c>
      <c r="T965" s="18" t="s">
        <v>4864</v>
      </c>
      <c r="U965" s="19"/>
      <c r="V965" s="18" t="s">
        <v>4865</v>
      </c>
      <c r="W965" s="17" t="s">
        <v>240</v>
      </c>
      <c r="X965" s="17" t="s">
        <v>4856</v>
      </c>
      <c r="Y965" s="17" t="s">
        <v>242</v>
      </c>
      <c r="Z965" s="19"/>
      <c r="AA965" s="19"/>
      <c r="AB965" s="17"/>
      <c r="AC965" s="19"/>
    </row>
    <row r="966" customFormat="false" ht="22.35" hidden="false" customHeight="false" outlineLevel="0" collapsed="false">
      <c r="A966" s="10" t="s">
        <v>4866</v>
      </c>
      <c r="B966" s="17" t="s">
        <v>121</v>
      </c>
      <c r="C966" s="18" t="s">
        <v>122</v>
      </c>
      <c r="D966" s="17" t="s">
        <v>19</v>
      </c>
      <c r="E966" s="17" t="s">
        <v>75</v>
      </c>
      <c r="F966" s="17" t="s">
        <v>4845</v>
      </c>
      <c r="G966" s="17" t="s">
        <v>973</v>
      </c>
      <c r="H966" s="17" t="s">
        <v>30</v>
      </c>
      <c r="I966" s="17" t="s">
        <v>289</v>
      </c>
      <c r="J966" s="17" t="s">
        <v>233</v>
      </c>
      <c r="K966" s="19"/>
      <c r="L966" s="19"/>
      <c r="M966" s="19"/>
      <c r="N966" s="19"/>
      <c r="O966" s="17" t="n">
        <v>1</v>
      </c>
      <c r="P966" s="18" t="s">
        <v>4846</v>
      </c>
      <c r="Q966" s="18" t="s">
        <v>4847</v>
      </c>
      <c r="R966" s="18" t="s">
        <v>4867</v>
      </c>
      <c r="S966" s="17" t="s">
        <v>4862</v>
      </c>
      <c r="T966" s="18" t="s">
        <v>4868</v>
      </c>
      <c r="U966" s="19"/>
      <c r="V966" s="18" t="s">
        <v>4869</v>
      </c>
      <c r="W966" s="17" t="s">
        <v>240</v>
      </c>
      <c r="X966" s="17" t="s">
        <v>4870</v>
      </c>
      <c r="Y966" s="17" t="s">
        <v>242</v>
      </c>
      <c r="Z966" s="19"/>
      <c r="AA966" s="19"/>
      <c r="AB966" s="17"/>
      <c r="AC966" s="19"/>
    </row>
    <row r="967" customFormat="false" ht="22.35" hidden="false" customHeight="false" outlineLevel="0" collapsed="false">
      <c r="A967" s="10" t="s">
        <v>4871</v>
      </c>
      <c r="B967" s="17" t="s">
        <v>121</v>
      </c>
      <c r="C967" s="18" t="s">
        <v>122</v>
      </c>
      <c r="D967" s="17" t="s">
        <v>19</v>
      </c>
      <c r="E967" s="17" t="s">
        <v>75</v>
      </c>
      <c r="F967" s="17" t="s">
        <v>4845</v>
      </c>
      <c r="G967" s="17" t="s">
        <v>973</v>
      </c>
      <c r="H967" s="17" t="s">
        <v>30</v>
      </c>
      <c r="I967" s="17" t="s">
        <v>974</v>
      </c>
      <c r="J967" s="17" t="s">
        <v>233</v>
      </c>
      <c r="K967" s="19"/>
      <c r="L967" s="19"/>
      <c r="M967" s="19"/>
      <c r="N967" s="19"/>
      <c r="O967" s="17" t="n">
        <v>1</v>
      </c>
      <c r="P967" s="18" t="s">
        <v>4846</v>
      </c>
      <c r="Q967" s="18" t="s">
        <v>4847</v>
      </c>
      <c r="R967" s="18" t="s">
        <v>4872</v>
      </c>
      <c r="S967" s="17" t="s">
        <v>4852</v>
      </c>
      <c r="T967" s="18" t="s">
        <v>4873</v>
      </c>
      <c r="U967" s="19"/>
      <c r="V967" s="18" t="s">
        <v>4874</v>
      </c>
      <c r="W967" s="17" t="s">
        <v>240</v>
      </c>
      <c r="X967" s="17" t="s">
        <v>4856</v>
      </c>
      <c r="Y967" s="17" t="s">
        <v>242</v>
      </c>
      <c r="Z967" s="19"/>
      <c r="AA967" s="19"/>
      <c r="AB967" s="17"/>
      <c r="AC967" s="19"/>
    </row>
    <row r="968" customFormat="false" ht="22.35" hidden="false" customHeight="false" outlineLevel="0" collapsed="false">
      <c r="A968" s="10" t="s">
        <v>4875</v>
      </c>
      <c r="B968" s="17" t="s">
        <v>121</v>
      </c>
      <c r="C968" s="18" t="s">
        <v>122</v>
      </c>
      <c r="D968" s="17" t="s">
        <v>19</v>
      </c>
      <c r="E968" s="17" t="s">
        <v>75</v>
      </c>
      <c r="F968" s="17" t="s">
        <v>4845</v>
      </c>
      <c r="G968" s="17" t="s">
        <v>973</v>
      </c>
      <c r="H968" s="17" t="s">
        <v>30</v>
      </c>
      <c r="I968" s="17" t="s">
        <v>289</v>
      </c>
      <c r="J968" s="17" t="s">
        <v>233</v>
      </c>
      <c r="K968" s="19"/>
      <c r="L968" s="19"/>
      <c r="M968" s="19"/>
      <c r="N968" s="19"/>
      <c r="O968" s="17" t="n">
        <v>1</v>
      </c>
      <c r="P968" s="18" t="s">
        <v>4846</v>
      </c>
      <c r="Q968" s="18" t="s">
        <v>4876</v>
      </c>
      <c r="R968" s="18" t="s">
        <v>4877</v>
      </c>
      <c r="S968" s="17" t="s">
        <v>228</v>
      </c>
      <c r="T968" s="18" t="s">
        <v>4878</v>
      </c>
      <c r="U968" s="19"/>
      <c r="V968" s="18" t="s">
        <v>4879</v>
      </c>
      <c r="W968" s="17" t="s">
        <v>240</v>
      </c>
      <c r="X968" s="17" t="s">
        <v>4880</v>
      </c>
      <c r="Y968" s="17" t="s">
        <v>242</v>
      </c>
      <c r="Z968" s="19"/>
      <c r="AA968" s="19"/>
      <c r="AB968" s="17"/>
      <c r="AC968" s="19"/>
    </row>
    <row r="969" customFormat="false" ht="22.35" hidden="false" customHeight="false" outlineLevel="0" collapsed="false">
      <c r="A969" s="10" t="s">
        <v>4881</v>
      </c>
      <c r="B969" s="17" t="s">
        <v>121</v>
      </c>
      <c r="C969" s="18" t="s">
        <v>122</v>
      </c>
      <c r="D969" s="17" t="s">
        <v>19</v>
      </c>
      <c r="E969" s="17" t="s">
        <v>229</v>
      </c>
      <c r="F969" s="17" t="s">
        <v>4845</v>
      </c>
      <c r="G969" s="17" t="s">
        <v>973</v>
      </c>
      <c r="H969" s="17" t="s">
        <v>30</v>
      </c>
      <c r="I969" s="17" t="s">
        <v>232</v>
      </c>
      <c r="J969" s="17" t="s">
        <v>233</v>
      </c>
      <c r="K969" s="19"/>
      <c r="L969" s="19"/>
      <c r="M969" s="19"/>
      <c r="N969" s="19"/>
      <c r="O969" s="17" t="n">
        <v>0</v>
      </c>
      <c r="P969" s="18" t="s">
        <v>4846</v>
      </c>
      <c r="Q969" s="18" t="s">
        <v>4876</v>
      </c>
      <c r="R969" s="18" t="s">
        <v>4882</v>
      </c>
      <c r="S969" s="17" t="s">
        <v>4875</v>
      </c>
      <c r="T969" s="18" t="s">
        <v>4883</v>
      </c>
      <c r="U969" s="19"/>
      <c r="V969" s="18" t="s">
        <v>4884</v>
      </c>
      <c r="W969" s="17" t="s">
        <v>240</v>
      </c>
      <c r="X969" s="17" t="s">
        <v>4885</v>
      </c>
      <c r="Y969" s="17" t="s">
        <v>242</v>
      </c>
      <c r="Z969" s="19"/>
      <c r="AA969" s="19"/>
      <c r="AB969" s="17" t="s">
        <v>1681</v>
      </c>
      <c r="AC969" s="19"/>
    </row>
    <row r="970" customFormat="false" ht="22.35" hidden="false" customHeight="false" outlineLevel="0" collapsed="false">
      <c r="A970" s="10" t="s">
        <v>4886</v>
      </c>
      <c r="B970" s="17" t="s">
        <v>121</v>
      </c>
      <c r="C970" s="18" t="s">
        <v>122</v>
      </c>
      <c r="D970" s="17" t="s">
        <v>19</v>
      </c>
      <c r="E970" s="17" t="s">
        <v>75</v>
      </c>
      <c r="F970" s="17" t="s">
        <v>4845</v>
      </c>
      <c r="G970" s="17" t="s">
        <v>973</v>
      </c>
      <c r="H970" s="17" t="s">
        <v>30</v>
      </c>
      <c r="I970" s="17" t="s">
        <v>974</v>
      </c>
      <c r="J970" s="17" t="s">
        <v>233</v>
      </c>
      <c r="K970" s="19"/>
      <c r="L970" s="19"/>
      <c r="M970" s="19"/>
      <c r="N970" s="19"/>
      <c r="O970" s="17" t="n">
        <v>1</v>
      </c>
      <c r="P970" s="18" t="s">
        <v>4846</v>
      </c>
      <c r="Q970" s="18" t="s">
        <v>4876</v>
      </c>
      <c r="R970" s="18" t="s">
        <v>4887</v>
      </c>
      <c r="S970" s="17" t="s">
        <v>4881</v>
      </c>
      <c r="T970" s="18" t="s">
        <v>4888</v>
      </c>
      <c r="U970" s="19"/>
      <c r="V970" s="18" t="s">
        <v>4889</v>
      </c>
      <c r="W970" s="17" t="s">
        <v>240</v>
      </c>
      <c r="X970" s="17" t="s">
        <v>4856</v>
      </c>
      <c r="Y970" s="17" t="s">
        <v>242</v>
      </c>
      <c r="Z970" s="19"/>
      <c r="AA970" s="19"/>
      <c r="AB970" s="17"/>
      <c r="AC970" s="19"/>
    </row>
    <row r="971" customFormat="false" ht="22.35" hidden="false" customHeight="false" outlineLevel="0" collapsed="false">
      <c r="A971" s="10" t="s">
        <v>4890</v>
      </c>
      <c r="B971" s="17" t="s">
        <v>121</v>
      </c>
      <c r="C971" s="18" t="s">
        <v>122</v>
      </c>
      <c r="D971" s="17" t="s">
        <v>19</v>
      </c>
      <c r="E971" s="17" t="s">
        <v>75</v>
      </c>
      <c r="F971" s="17" t="s">
        <v>4845</v>
      </c>
      <c r="G971" s="17" t="s">
        <v>973</v>
      </c>
      <c r="H971" s="17" t="s">
        <v>30</v>
      </c>
      <c r="I971" s="17" t="s">
        <v>333</v>
      </c>
      <c r="J971" s="17" t="s">
        <v>233</v>
      </c>
      <c r="K971" s="19"/>
      <c r="L971" s="19"/>
      <c r="M971" s="19"/>
      <c r="N971" s="19"/>
      <c r="O971" s="17" t="n">
        <v>1</v>
      </c>
      <c r="P971" s="18" t="s">
        <v>4846</v>
      </c>
      <c r="Q971" s="18" t="s">
        <v>4876</v>
      </c>
      <c r="R971" s="18" t="s">
        <v>4891</v>
      </c>
      <c r="S971" s="17" t="s">
        <v>4875</v>
      </c>
      <c r="T971" s="18" t="s">
        <v>4892</v>
      </c>
      <c r="U971" s="19"/>
      <c r="V971" s="18" t="s">
        <v>4893</v>
      </c>
      <c r="W971" s="17" t="s">
        <v>240</v>
      </c>
      <c r="X971" s="17" t="s">
        <v>4894</v>
      </c>
      <c r="Y971" s="17" t="s">
        <v>242</v>
      </c>
      <c r="Z971" s="19"/>
      <c r="AA971" s="19"/>
      <c r="AB971" s="17"/>
      <c r="AC971" s="19"/>
    </row>
    <row r="972" customFormat="false" ht="22.35" hidden="false" customHeight="false" outlineLevel="0" collapsed="false">
      <c r="A972" s="10" t="s">
        <v>4895</v>
      </c>
      <c r="B972" s="17" t="s">
        <v>121</v>
      </c>
      <c r="C972" s="18" t="s">
        <v>122</v>
      </c>
      <c r="D972" s="17" t="s">
        <v>19</v>
      </c>
      <c r="E972" s="17" t="s">
        <v>229</v>
      </c>
      <c r="F972" s="17" t="s">
        <v>4845</v>
      </c>
      <c r="G972" s="17" t="s">
        <v>973</v>
      </c>
      <c r="H972" s="17" t="s">
        <v>30</v>
      </c>
      <c r="I972" s="17" t="s">
        <v>277</v>
      </c>
      <c r="J972" s="17" t="s">
        <v>233</v>
      </c>
      <c r="K972" s="19"/>
      <c r="L972" s="19"/>
      <c r="M972" s="19"/>
      <c r="N972" s="19"/>
      <c r="O972" s="17" t="n">
        <v>1</v>
      </c>
      <c r="P972" s="18" t="s">
        <v>4846</v>
      </c>
      <c r="Q972" s="18" t="s">
        <v>4876</v>
      </c>
      <c r="R972" s="18" t="s">
        <v>4896</v>
      </c>
      <c r="S972" s="17" t="s">
        <v>4886</v>
      </c>
      <c r="T972" s="18" t="s">
        <v>4897</v>
      </c>
      <c r="U972" s="19"/>
      <c r="V972" s="18" t="s">
        <v>4898</v>
      </c>
      <c r="W972" s="17" t="s">
        <v>240</v>
      </c>
      <c r="X972" s="17" t="s">
        <v>1477</v>
      </c>
      <c r="Y972" s="17" t="s">
        <v>242</v>
      </c>
      <c r="Z972" s="19"/>
      <c r="AA972" s="19"/>
      <c r="AB972" s="17"/>
      <c r="AC972" s="19"/>
    </row>
    <row r="973" customFormat="false" ht="22.35" hidden="false" customHeight="false" outlineLevel="0" collapsed="false">
      <c r="A973" s="10" t="s">
        <v>4899</v>
      </c>
      <c r="B973" s="17" t="s">
        <v>121</v>
      </c>
      <c r="C973" s="18" t="s">
        <v>122</v>
      </c>
      <c r="D973" s="17" t="s">
        <v>19</v>
      </c>
      <c r="E973" s="17" t="s">
        <v>75</v>
      </c>
      <c r="F973" s="17" t="s">
        <v>4845</v>
      </c>
      <c r="G973" s="17" t="s">
        <v>973</v>
      </c>
      <c r="H973" s="17" t="s">
        <v>30</v>
      </c>
      <c r="I973" s="17" t="s">
        <v>289</v>
      </c>
      <c r="J973" s="17" t="s">
        <v>233</v>
      </c>
      <c r="K973" s="19"/>
      <c r="L973" s="19"/>
      <c r="M973" s="19"/>
      <c r="N973" s="19"/>
      <c r="O973" s="17" t="n">
        <v>1</v>
      </c>
      <c r="P973" s="18" t="s">
        <v>4846</v>
      </c>
      <c r="Q973" s="18" t="s">
        <v>4900</v>
      </c>
      <c r="R973" s="18" t="s">
        <v>4901</v>
      </c>
      <c r="S973" s="17" t="s">
        <v>4852</v>
      </c>
      <c r="T973" s="18" t="s">
        <v>4902</v>
      </c>
      <c r="U973" s="19"/>
      <c r="V973" s="18" t="s">
        <v>4903</v>
      </c>
      <c r="W973" s="17" t="s">
        <v>240</v>
      </c>
      <c r="X973" s="17" t="s">
        <v>4856</v>
      </c>
      <c r="Y973" s="17" t="s">
        <v>242</v>
      </c>
      <c r="Z973" s="19"/>
      <c r="AA973" s="19"/>
      <c r="AB973" s="17"/>
      <c r="AC973" s="19"/>
    </row>
    <row r="974" customFormat="false" ht="22.35" hidden="false" customHeight="false" outlineLevel="0" collapsed="false">
      <c r="A974" s="10" t="s">
        <v>4904</v>
      </c>
      <c r="B974" s="17" t="s">
        <v>121</v>
      </c>
      <c r="C974" s="18" t="s">
        <v>122</v>
      </c>
      <c r="D974" s="17" t="s">
        <v>19</v>
      </c>
      <c r="E974" s="17" t="s">
        <v>75</v>
      </c>
      <c r="F974" s="17" t="s">
        <v>4845</v>
      </c>
      <c r="G974" s="17" t="s">
        <v>973</v>
      </c>
      <c r="H974" s="17" t="s">
        <v>30</v>
      </c>
      <c r="I974" s="17" t="s">
        <v>289</v>
      </c>
      <c r="J974" s="17" t="s">
        <v>233</v>
      </c>
      <c r="K974" s="19"/>
      <c r="L974" s="19"/>
      <c r="M974" s="19"/>
      <c r="N974" s="19"/>
      <c r="O974" s="17" t="n">
        <v>1</v>
      </c>
      <c r="P974" s="18" t="s">
        <v>4846</v>
      </c>
      <c r="Q974" s="18" t="s">
        <v>4900</v>
      </c>
      <c r="R974" s="18" t="s">
        <v>4905</v>
      </c>
      <c r="S974" s="17" t="s">
        <v>4899</v>
      </c>
      <c r="T974" s="18" t="s">
        <v>4803</v>
      </c>
      <c r="U974" s="19"/>
      <c r="V974" s="18" t="s">
        <v>4906</v>
      </c>
      <c r="W974" s="17" t="s">
        <v>240</v>
      </c>
      <c r="X974" s="17" t="s">
        <v>4856</v>
      </c>
      <c r="Y974" s="17" t="s">
        <v>242</v>
      </c>
      <c r="Z974" s="19"/>
      <c r="AA974" s="19"/>
      <c r="AB974" s="17"/>
      <c r="AC974" s="19"/>
    </row>
    <row r="975" customFormat="false" ht="22.35" hidden="false" customHeight="false" outlineLevel="0" collapsed="false">
      <c r="A975" s="10" t="s">
        <v>4907</v>
      </c>
      <c r="B975" s="17" t="s">
        <v>121</v>
      </c>
      <c r="C975" s="18" t="s">
        <v>122</v>
      </c>
      <c r="D975" s="17" t="s">
        <v>19</v>
      </c>
      <c r="E975" s="17" t="s">
        <v>75</v>
      </c>
      <c r="F975" s="17" t="s">
        <v>4845</v>
      </c>
      <c r="G975" s="17" t="s">
        <v>973</v>
      </c>
      <c r="H975" s="17" t="s">
        <v>30</v>
      </c>
      <c r="I975" s="17" t="s">
        <v>974</v>
      </c>
      <c r="J975" s="17" t="s">
        <v>233</v>
      </c>
      <c r="K975" s="19"/>
      <c r="L975" s="19"/>
      <c r="M975" s="19"/>
      <c r="N975" s="19"/>
      <c r="O975" s="17" t="n">
        <v>1</v>
      </c>
      <c r="P975" s="18" t="s">
        <v>4846</v>
      </c>
      <c r="Q975" s="18" t="s">
        <v>4900</v>
      </c>
      <c r="R975" s="18" t="s">
        <v>4908</v>
      </c>
      <c r="S975" s="17" t="s">
        <v>4862</v>
      </c>
      <c r="T975" s="18" t="s">
        <v>4909</v>
      </c>
      <c r="U975" s="19"/>
      <c r="V975" s="18" t="s">
        <v>4910</v>
      </c>
      <c r="W975" s="17" t="s">
        <v>240</v>
      </c>
      <c r="X975" s="17" t="s">
        <v>4856</v>
      </c>
      <c r="Y975" s="17" t="s">
        <v>242</v>
      </c>
      <c r="Z975" s="19"/>
      <c r="AA975" s="19"/>
      <c r="AB975" s="17"/>
      <c r="AC975" s="19"/>
    </row>
    <row r="976" customFormat="false" ht="22.35" hidden="false" customHeight="false" outlineLevel="0" collapsed="false">
      <c r="A976" s="10" t="s">
        <v>4911</v>
      </c>
      <c r="B976" s="17" t="s">
        <v>121</v>
      </c>
      <c r="C976" s="18" t="s">
        <v>122</v>
      </c>
      <c r="D976" s="17" t="s">
        <v>19</v>
      </c>
      <c r="E976" s="17" t="s">
        <v>75</v>
      </c>
      <c r="F976" s="17" t="s">
        <v>4845</v>
      </c>
      <c r="G976" s="17" t="s">
        <v>973</v>
      </c>
      <c r="H976" s="17" t="s">
        <v>30</v>
      </c>
      <c r="I976" s="17" t="s">
        <v>277</v>
      </c>
      <c r="J976" s="17" t="s">
        <v>233</v>
      </c>
      <c r="K976" s="19"/>
      <c r="L976" s="19"/>
      <c r="M976" s="19"/>
      <c r="N976" s="19"/>
      <c r="O976" s="17" t="n">
        <v>1</v>
      </c>
      <c r="P976" s="18" t="s">
        <v>4846</v>
      </c>
      <c r="Q976" s="18" t="s">
        <v>4900</v>
      </c>
      <c r="R976" s="18" t="s">
        <v>4912</v>
      </c>
      <c r="S976" s="17" t="s">
        <v>4907</v>
      </c>
      <c r="T976" s="18" t="s">
        <v>4913</v>
      </c>
      <c r="U976" s="19"/>
      <c r="V976" s="18" t="s">
        <v>4914</v>
      </c>
      <c r="W976" s="17" t="s">
        <v>240</v>
      </c>
      <c r="X976" s="17" t="s">
        <v>4856</v>
      </c>
      <c r="Y976" s="17" t="s">
        <v>242</v>
      </c>
      <c r="Z976" s="19"/>
      <c r="AA976" s="19"/>
      <c r="AB976" s="17"/>
      <c r="AC976" s="19"/>
    </row>
    <row r="977" customFormat="false" ht="22.35" hidden="false" customHeight="false" outlineLevel="0" collapsed="false">
      <c r="A977" s="10" t="s">
        <v>4915</v>
      </c>
      <c r="B977" s="17" t="s">
        <v>121</v>
      </c>
      <c r="C977" s="18" t="s">
        <v>122</v>
      </c>
      <c r="D977" s="17" t="s">
        <v>19</v>
      </c>
      <c r="E977" s="17" t="s">
        <v>75</v>
      </c>
      <c r="F977" s="17" t="s">
        <v>4845</v>
      </c>
      <c r="G977" s="17" t="s">
        <v>973</v>
      </c>
      <c r="H977" s="17" t="s">
        <v>30</v>
      </c>
      <c r="I977" s="17" t="s">
        <v>369</v>
      </c>
      <c r="J977" s="17" t="s">
        <v>233</v>
      </c>
      <c r="K977" s="19"/>
      <c r="L977" s="19"/>
      <c r="M977" s="19"/>
      <c r="N977" s="19"/>
      <c r="O977" s="17" t="n">
        <v>1</v>
      </c>
      <c r="P977" s="18" t="s">
        <v>4846</v>
      </c>
      <c r="Q977" s="18" t="s">
        <v>4916</v>
      </c>
      <c r="R977" s="18" t="s">
        <v>4917</v>
      </c>
      <c r="S977" s="17" t="s">
        <v>4899</v>
      </c>
      <c r="T977" s="18" t="s">
        <v>4918</v>
      </c>
      <c r="U977" s="19"/>
      <c r="V977" s="18" t="s">
        <v>4919</v>
      </c>
      <c r="W977" s="17" t="s">
        <v>240</v>
      </c>
      <c r="X977" s="17" t="s">
        <v>4856</v>
      </c>
      <c r="Y977" s="17" t="s">
        <v>242</v>
      </c>
      <c r="Z977" s="19"/>
      <c r="AA977" s="19"/>
      <c r="AB977" s="17"/>
      <c r="AC977" s="19"/>
    </row>
    <row r="978" customFormat="false" ht="22.35" hidden="false" customHeight="false" outlineLevel="0" collapsed="false">
      <c r="A978" s="10" t="s">
        <v>4920</v>
      </c>
      <c r="B978" s="17" t="s">
        <v>121</v>
      </c>
      <c r="C978" s="18" t="s">
        <v>122</v>
      </c>
      <c r="D978" s="17" t="s">
        <v>19</v>
      </c>
      <c r="E978" s="17" t="s">
        <v>75</v>
      </c>
      <c r="F978" s="17" t="s">
        <v>4845</v>
      </c>
      <c r="G978" s="17" t="s">
        <v>973</v>
      </c>
      <c r="H978" s="17" t="s">
        <v>30</v>
      </c>
      <c r="I978" s="17" t="s">
        <v>289</v>
      </c>
      <c r="J978" s="17" t="s">
        <v>233</v>
      </c>
      <c r="K978" s="19"/>
      <c r="L978" s="19"/>
      <c r="M978" s="19"/>
      <c r="N978" s="19"/>
      <c r="O978" s="17" t="n">
        <v>2</v>
      </c>
      <c r="P978" s="18" t="s">
        <v>4846</v>
      </c>
      <c r="Q978" s="18" t="s">
        <v>4916</v>
      </c>
      <c r="R978" s="18" t="s">
        <v>4921</v>
      </c>
      <c r="S978" s="17" t="s">
        <v>4915</v>
      </c>
      <c r="T978" s="18" t="s">
        <v>4922</v>
      </c>
      <c r="U978" s="19"/>
      <c r="V978" s="18" t="s">
        <v>4923</v>
      </c>
      <c r="W978" s="17" t="s">
        <v>240</v>
      </c>
      <c r="X978" s="17" t="s">
        <v>4856</v>
      </c>
      <c r="Y978" s="17" t="s">
        <v>242</v>
      </c>
      <c r="Z978" s="19"/>
      <c r="AA978" s="19"/>
      <c r="AB978" s="17"/>
      <c r="AC978" s="19"/>
    </row>
    <row r="979" customFormat="false" ht="22.35" hidden="false" customHeight="false" outlineLevel="0" collapsed="false">
      <c r="A979" s="10" t="s">
        <v>4924</v>
      </c>
      <c r="B979" s="17" t="s">
        <v>121</v>
      </c>
      <c r="C979" s="18" t="s">
        <v>122</v>
      </c>
      <c r="D979" s="17" t="s">
        <v>19</v>
      </c>
      <c r="E979" s="17" t="s">
        <v>75</v>
      </c>
      <c r="F979" s="17" t="s">
        <v>4845</v>
      </c>
      <c r="G979" s="17" t="s">
        <v>973</v>
      </c>
      <c r="H979" s="17" t="s">
        <v>30</v>
      </c>
      <c r="I979" s="17" t="s">
        <v>289</v>
      </c>
      <c r="J979" s="17" t="s">
        <v>233</v>
      </c>
      <c r="K979" s="19"/>
      <c r="L979" s="19"/>
      <c r="M979" s="19"/>
      <c r="N979" s="19"/>
      <c r="O979" s="17" t="n">
        <v>2</v>
      </c>
      <c r="P979" s="18" t="s">
        <v>4846</v>
      </c>
      <c r="Q979" s="18" t="s">
        <v>4916</v>
      </c>
      <c r="R979" s="18" t="s">
        <v>4925</v>
      </c>
      <c r="S979" s="17" t="s">
        <v>4920</v>
      </c>
      <c r="T979" s="18" t="s">
        <v>387</v>
      </c>
      <c r="U979" s="19"/>
      <c r="V979" s="18" t="s">
        <v>4926</v>
      </c>
      <c r="W979" s="17" t="s">
        <v>240</v>
      </c>
      <c r="X979" s="17" t="s">
        <v>4856</v>
      </c>
      <c r="Y979" s="17" t="s">
        <v>242</v>
      </c>
      <c r="Z979" s="19"/>
      <c r="AA979" s="19"/>
      <c r="AB979" s="17"/>
      <c r="AC979" s="19"/>
    </row>
    <row r="980" customFormat="false" ht="22.35" hidden="false" customHeight="false" outlineLevel="0" collapsed="false">
      <c r="A980" s="10" t="s">
        <v>4927</v>
      </c>
      <c r="B980" s="17" t="s">
        <v>121</v>
      </c>
      <c r="C980" s="18" t="s">
        <v>122</v>
      </c>
      <c r="D980" s="17" t="s">
        <v>19</v>
      </c>
      <c r="E980" s="17" t="s">
        <v>229</v>
      </c>
      <c r="F980" s="17" t="s">
        <v>4845</v>
      </c>
      <c r="G980" s="17" t="s">
        <v>973</v>
      </c>
      <c r="H980" s="17" t="s">
        <v>30</v>
      </c>
      <c r="I980" s="17" t="s">
        <v>289</v>
      </c>
      <c r="J980" s="17" t="s">
        <v>233</v>
      </c>
      <c r="K980" s="19"/>
      <c r="L980" s="19"/>
      <c r="M980" s="19"/>
      <c r="N980" s="19"/>
      <c r="O980" s="17" t="n">
        <v>1</v>
      </c>
      <c r="P980" s="18" t="s">
        <v>4846</v>
      </c>
      <c r="Q980" s="18" t="s">
        <v>4928</v>
      </c>
      <c r="R980" s="18" t="s">
        <v>4929</v>
      </c>
      <c r="S980" s="17" t="s">
        <v>4844</v>
      </c>
      <c r="T980" s="18" t="s">
        <v>4930</v>
      </c>
      <c r="U980" s="19"/>
      <c r="V980" s="18" t="s">
        <v>4931</v>
      </c>
      <c r="W980" s="17" t="s">
        <v>383</v>
      </c>
      <c r="X980" s="17" t="s">
        <v>384</v>
      </c>
      <c r="Y980" s="17" t="s">
        <v>242</v>
      </c>
      <c r="Z980" s="19"/>
      <c r="AA980" s="19"/>
      <c r="AB980" s="17"/>
      <c r="AC980" s="19"/>
    </row>
    <row r="981" customFormat="false" ht="22.35" hidden="false" customHeight="false" outlineLevel="0" collapsed="false">
      <c r="A981" s="10" t="s">
        <v>4932</v>
      </c>
      <c r="B981" s="17" t="s">
        <v>121</v>
      </c>
      <c r="C981" s="18" t="s">
        <v>122</v>
      </c>
      <c r="D981" s="17" t="s">
        <v>19</v>
      </c>
      <c r="E981" s="17" t="s">
        <v>75</v>
      </c>
      <c r="F981" s="17" t="s">
        <v>4845</v>
      </c>
      <c r="G981" s="17" t="s">
        <v>973</v>
      </c>
      <c r="H981" s="17" t="s">
        <v>30</v>
      </c>
      <c r="I981" s="17" t="s">
        <v>289</v>
      </c>
      <c r="J981" s="17" t="s">
        <v>233</v>
      </c>
      <c r="K981" s="19"/>
      <c r="L981" s="19"/>
      <c r="M981" s="19"/>
      <c r="N981" s="19"/>
      <c r="O981" s="17" t="n">
        <v>1</v>
      </c>
      <c r="P981" s="18" t="s">
        <v>4846</v>
      </c>
      <c r="Q981" s="18" t="s">
        <v>4928</v>
      </c>
      <c r="R981" s="18" t="s">
        <v>4933</v>
      </c>
      <c r="S981" s="17" t="s">
        <v>4927</v>
      </c>
      <c r="T981" s="18" t="s">
        <v>4934</v>
      </c>
      <c r="U981" s="19"/>
      <c r="V981" s="18" t="s">
        <v>4935</v>
      </c>
      <c r="W981" s="17" t="s">
        <v>383</v>
      </c>
      <c r="X981" s="17" t="s">
        <v>4936</v>
      </c>
      <c r="Y981" s="17" t="s">
        <v>242</v>
      </c>
      <c r="Z981" s="19"/>
      <c r="AA981" s="19"/>
      <c r="AB981" s="17"/>
      <c r="AC981" s="19"/>
    </row>
    <row r="982" customFormat="false" ht="22.35" hidden="false" customHeight="false" outlineLevel="0" collapsed="false">
      <c r="A982" s="10" t="s">
        <v>4937</v>
      </c>
      <c r="B982" s="17" t="s">
        <v>121</v>
      </c>
      <c r="C982" s="18" t="s">
        <v>122</v>
      </c>
      <c r="D982" s="17" t="s">
        <v>19</v>
      </c>
      <c r="E982" s="17" t="s">
        <v>229</v>
      </c>
      <c r="F982" s="17" t="s">
        <v>4845</v>
      </c>
      <c r="G982" s="17" t="s">
        <v>973</v>
      </c>
      <c r="H982" s="17" t="s">
        <v>30</v>
      </c>
      <c r="I982" s="17" t="s">
        <v>277</v>
      </c>
      <c r="J982" s="17" t="s">
        <v>233</v>
      </c>
      <c r="K982" s="19"/>
      <c r="L982" s="19"/>
      <c r="M982" s="19"/>
      <c r="N982" s="19"/>
      <c r="O982" s="17" t="n">
        <v>1</v>
      </c>
      <c r="P982" s="18" t="s">
        <v>4846</v>
      </c>
      <c r="Q982" s="18" t="s">
        <v>4928</v>
      </c>
      <c r="R982" s="18" t="s">
        <v>4938</v>
      </c>
      <c r="S982" s="17" t="s">
        <v>4932</v>
      </c>
      <c r="T982" s="18" t="s">
        <v>4939</v>
      </c>
      <c r="U982" s="19"/>
      <c r="V982" s="18" t="s">
        <v>4940</v>
      </c>
      <c r="W982" s="17" t="s">
        <v>383</v>
      </c>
      <c r="X982" s="17" t="s">
        <v>4941</v>
      </c>
      <c r="Y982" s="17" t="s">
        <v>242</v>
      </c>
      <c r="Z982" s="19"/>
      <c r="AA982" s="19"/>
      <c r="AB982" s="17"/>
      <c r="AC982" s="19"/>
    </row>
    <row r="983" customFormat="false" ht="22.35" hidden="false" customHeight="false" outlineLevel="0" collapsed="false">
      <c r="A983" s="10" t="s">
        <v>4942</v>
      </c>
      <c r="B983" s="17" t="s">
        <v>121</v>
      </c>
      <c r="C983" s="18" t="s">
        <v>122</v>
      </c>
      <c r="D983" s="17" t="s">
        <v>19</v>
      </c>
      <c r="E983" s="17" t="s">
        <v>75</v>
      </c>
      <c r="F983" s="17" t="s">
        <v>4845</v>
      </c>
      <c r="G983" s="17" t="s">
        <v>973</v>
      </c>
      <c r="H983" s="17" t="s">
        <v>30</v>
      </c>
      <c r="I983" s="17" t="s">
        <v>277</v>
      </c>
      <c r="J983" s="17" t="s">
        <v>233</v>
      </c>
      <c r="K983" s="19"/>
      <c r="L983" s="19"/>
      <c r="M983" s="19"/>
      <c r="N983" s="19"/>
      <c r="O983" s="17" t="n">
        <v>2</v>
      </c>
      <c r="P983" s="18" t="s">
        <v>4846</v>
      </c>
      <c r="Q983" s="18" t="s">
        <v>4928</v>
      </c>
      <c r="R983" s="18" t="s">
        <v>4943</v>
      </c>
      <c r="S983" s="17" t="s">
        <v>4937</v>
      </c>
      <c r="T983" s="18" t="s">
        <v>4944</v>
      </c>
      <c r="U983" s="19"/>
      <c r="V983" s="18" t="s">
        <v>4945</v>
      </c>
      <c r="W983" s="17" t="s">
        <v>240</v>
      </c>
      <c r="X983" s="17" t="s">
        <v>4946</v>
      </c>
      <c r="Y983" s="17" t="s">
        <v>242</v>
      </c>
      <c r="Z983" s="19"/>
      <c r="AA983" s="19"/>
      <c r="AB983" s="17"/>
      <c r="AC983" s="19"/>
    </row>
    <row r="984" customFormat="false" ht="22.35" hidden="false" customHeight="false" outlineLevel="0" collapsed="false">
      <c r="A984" s="10" t="s">
        <v>4947</v>
      </c>
      <c r="B984" s="17" t="s">
        <v>121</v>
      </c>
      <c r="C984" s="18" t="s">
        <v>122</v>
      </c>
      <c r="D984" s="17" t="s">
        <v>19</v>
      </c>
      <c r="E984" s="17" t="s">
        <v>75</v>
      </c>
      <c r="F984" s="17" t="s">
        <v>4845</v>
      </c>
      <c r="G984" s="17" t="s">
        <v>973</v>
      </c>
      <c r="H984" s="17" t="s">
        <v>30</v>
      </c>
      <c r="I984" s="17" t="s">
        <v>283</v>
      </c>
      <c r="J984" s="17" t="s">
        <v>233</v>
      </c>
      <c r="K984" s="19"/>
      <c r="L984" s="19"/>
      <c r="M984" s="19"/>
      <c r="N984" s="19"/>
      <c r="O984" s="17" t="n">
        <v>2</v>
      </c>
      <c r="P984" s="18" t="s">
        <v>4846</v>
      </c>
      <c r="Q984" s="18" t="s">
        <v>4948</v>
      </c>
      <c r="R984" s="18" t="s">
        <v>4949</v>
      </c>
      <c r="S984" s="17" t="s">
        <v>4950</v>
      </c>
      <c r="T984" s="18" t="s">
        <v>4951</v>
      </c>
      <c r="U984" s="19"/>
      <c r="V984" s="18" t="s">
        <v>4952</v>
      </c>
      <c r="W984" s="17" t="s">
        <v>240</v>
      </c>
      <c r="X984" s="17" t="s">
        <v>4953</v>
      </c>
      <c r="Y984" s="17" t="s">
        <v>242</v>
      </c>
      <c r="Z984" s="19"/>
      <c r="AA984" s="19"/>
      <c r="AB984" s="17"/>
      <c r="AC984" s="19"/>
    </row>
    <row r="985" customFormat="false" ht="22.35" hidden="false" customHeight="false" outlineLevel="0" collapsed="false">
      <c r="A985" s="10" t="s">
        <v>4954</v>
      </c>
      <c r="B985" s="17" t="s">
        <v>121</v>
      </c>
      <c r="C985" s="18" t="s">
        <v>122</v>
      </c>
      <c r="D985" s="17" t="s">
        <v>19</v>
      </c>
      <c r="E985" s="17" t="s">
        <v>75</v>
      </c>
      <c r="F985" s="17" t="s">
        <v>4845</v>
      </c>
      <c r="G985" s="17" t="s">
        <v>973</v>
      </c>
      <c r="H985" s="17" t="s">
        <v>30</v>
      </c>
      <c r="I985" s="17" t="s">
        <v>450</v>
      </c>
      <c r="J985" s="17" t="s">
        <v>233</v>
      </c>
      <c r="K985" s="19"/>
      <c r="L985" s="19"/>
      <c r="M985" s="19"/>
      <c r="N985" s="19"/>
      <c r="O985" s="17" t="n">
        <v>1</v>
      </c>
      <c r="P985" s="18" t="s">
        <v>4955</v>
      </c>
      <c r="Q985" s="18" t="s">
        <v>4956</v>
      </c>
      <c r="R985" s="18" t="s">
        <v>4957</v>
      </c>
      <c r="S985" s="17" t="s">
        <v>4852</v>
      </c>
      <c r="T985" s="18" t="s">
        <v>4958</v>
      </c>
      <c r="U985" s="19"/>
      <c r="V985" s="18" t="s">
        <v>4959</v>
      </c>
      <c r="W985" s="17" t="s">
        <v>240</v>
      </c>
      <c r="X985" s="17" t="s">
        <v>4960</v>
      </c>
      <c r="Y985" s="17" t="s">
        <v>242</v>
      </c>
      <c r="Z985" s="19"/>
      <c r="AA985" s="19"/>
      <c r="AB985" s="17"/>
      <c r="AC985" s="19"/>
    </row>
    <row r="986" customFormat="false" ht="22.35" hidden="false" customHeight="false" outlineLevel="0" collapsed="false">
      <c r="A986" s="10" t="s">
        <v>4961</v>
      </c>
      <c r="B986" s="17" t="s">
        <v>121</v>
      </c>
      <c r="C986" s="18" t="s">
        <v>122</v>
      </c>
      <c r="D986" s="17" t="s">
        <v>19</v>
      </c>
      <c r="E986" s="17" t="s">
        <v>229</v>
      </c>
      <c r="F986" s="17" t="s">
        <v>4845</v>
      </c>
      <c r="G986" s="17" t="s">
        <v>973</v>
      </c>
      <c r="H986" s="17" t="s">
        <v>30</v>
      </c>
      <c r="I986" s="17" t="s">
        <v>450</v>
      </c>
      <c r="J986" s="17" t="s">
        <v>233</v>
      </c>
      <c r="K986" s="19"/>
      <c r="L986" s="19"/>
      <c r="M986" s="19"/>
      <c r="N986" s="19"/>
      <c r="O986" s="17" t="n">
        <v>1</v>
      </c>
      <c r="P986" s="18" t="s">
        <v>4955</v>
      </c>
      <c r="Q986" s="18" t="s">
        <v>4956</v>
      </c>
      <c r="R986" s="18" t="s">
        <v>4962</v>
      </c>
      <c r="S986" s="17" t="s">
        <v>4954</v>
      </c>
      <c r="T986" s="18" t="s">
        <v>4963</v>
      </c>
      <c r="U986" s="19"/>
      <c r="V986" s="18" t="s">
        <v>4964</v>
      </c>
      <c r="W986" s="17" t="s">
        <v>240</v>
      </c>
      <c r="X986" s="17" t="s">
        <v>4965</v>
      </c>
      <c r="Y986" s="17" t="s">
        <v>242</v>
      </c>
      <c r="Z986" s="19"/>
      <c r="AA986" s="19"/>
      <c r="AB986" s="17"/>
      <c r="AC986" s="19"/>
    </row>
    <row r="987" customFormat="false" ht="22.35" hidden="false" customHeight="false" outlineLevel="0" collapsed="false">
      <c r="A987" s="10" t="s">
        <v>4966</v>
      </c>
      <c r="B987" s="17" t="s">
        <v>121</v>
      </c>
      <c r="C987" s="18" t="s">
        <v>122</v>
      </c>
      <c r="D987" s="17" t="s">
        <v>19</v>
      </c>
      <c r="E987" s="17" t="s">
        <v>229</v>
      </c>
      <c r="F987" s="17" t="s">
        <v>4845</v>
      </c>
      <c r="G987" s="17" t="s">
        <v>973</v>
      </c>
      <c r="H987" s="17" t="s">
        <v>30</v>
      </c>
      <c r="I987" s="17" t="s">
        <v>277</v>
      </c>
      <c r="J987" s="17" t="s">
        <v>233</v>
      </c>
      <c r="K987" s="19"/>
      <c r="L987" s="19"/>
      <c r="M987" s="19"/>
      <c r="N987" s="19"/>
      <c r="O987" s="17" t="n">
        <v>1</v>
      </c>
      <c r="P987" s="18" t="s">
        <v>4955</v>
      </c>
      <c r="Q987" s="18" t="s">
        <v>4956</v>
      </c>
      <c r="R987" s="18" t="s">
        <v>4967</v>
      </c>
      <c r="S987" s="17" t="s">
        <v>4961</v>
      </c>
      <c r="T987" s="18" t="s">
        <v>4968</v>
      </c>
      <c r="U987" s="19"/>
      <c r="V987" s="18" t="s">
        <v>4969</v>
      </c>
      <c r="W987" s="17" t="s">
        <v>240</v>
      </c>
      <c r="X987" s="17" t="s">
        <v>4970</v>
      </c>
      <c r="Y987" s="17" t="s">
        <v>242</v>
      </c>
      <c r="Z987" s="19"/>
      <c r="AA987" s="19"/>
      <c r="AB987" s="17"/>
      <c r="AC987" s="19"/>
    </row>
    <row r="988" customFormat="false" ht="22.35" hidden="false" customHeight="false" outlineLevel="0" collapsed="false">
      <c r="A988" s="10" t="s">
        <v>4971</v>
      </c>
      <c r="B988" s="17" t="s">
        <v>121</v>
      </c>
      <c r="C988" s="18" t="s">
        <v>122</v>
      </c>
      <c r="D988" s="17" t="s">
        <v>19</v>
      </c>
      <c r="E988" s="17" t="s">
        <v>75</v>
      </c>
      <c r="F988" s="17" t="s">
        <v>4845</v>
      </c>
      <c r="G988" s="17" t="s">
        <v>973</v>
      </c>
      <c r="H988" s="17" t="s">
        <v>30</v>
      </c>
      <c r="I988" s="17" t="s">
        <v>232</v>
      </c>
      <c r="J988" s="17" t="s">
        <v>233</v>
      </c>
      <c r="K988" s="19"/>
      <c r="L988" s="19"/>
      <c r="M988" s="19"/>
      <c r="N988" s="19"/>
      <c r="O988" s="17" t="n">
        <v>1</v>
      </c>
      <c r="P988" s="18" t="s">
        <v>4955</v>
      </c>
      <c r="Q988" s="18" t="s">
        <v>4956</v>
      </c>
      <c r="R988" s="18" t="s">
        <v>4972</v>
      </c>
      <c r="S988" s="17" t="s">
        <v>4927</v>
      </c>
      <c r="T988" s="18" t="s">
        <v>4973</v>
      </c>
      <c r="U988" s="19"/>
      <c r="V988" s="18" t="s">
        <v>4974</v>
      </c>
      <c r="W988" s="17" t="s">
        <v>383</v>
      </c>
      <c r="X988" s="17" t="s">
        <v>4975</v>
      </c>
      <c r="Y988" s="17" t="s">
        <v>242</v>
      </c>
      <c r="Z988" s="19"/>
      <c r="AA988" s="19"/>
      <c r="AB988" s="17"/>
      <c r="AC988" s="19"/>
    </row>
    <row r="989" customFormat="false" ht="22.35" hidden="false" customHeight="false" outlineLevel="0" collapsed="false">
      <c r="A989" s="10" t="s">
        <v>4976</v>
      </c>
      <c r="B989" s="17" t="s">
        <v>121</v>
      </c>
      <c r="C989" s="18" t="s">
        <v>122</v>
      </c>
      <c r="D989" s="17" t="s">
        <v>19</v>
      </c>
      <c r="E989" s="17" t="s">
        <v>229</v>
      </c>
      <c r="F989" s="17" t="s">
        <v>4845</v>
      </c>
      <c r="G989" s="17" t="s">
        <v>973</v>
      </c>
      <c r="H989" s="17" t="s">
        <v>30</v>
      </c>
      <c r="I989" s="17" t="s">
        <v>450</v>
      </c>
      <c r="J989" s="17" t="s">
        <v>233</v>
      </c>
      <c r="K989" s="19"/>
      <c r="L989" s="19"/>
      <c r="M989" s="19"/>
      <c r="N989" s="19"/>
      <c r="O989" s="17" t="n">
        <v>1</v>
      </c>
      <c r="P989" s="18" t="s">
        <v>4955</v>
      </c>
      <c r="Q989" s="18" t="s">
        <v>4977</v>
      </c>
      <c r="R989" s="18" t="s">
        <v>4978</v>
      </c>
      <c r="S989" s="17" t="s">
        <v>340</v>
      </c>
      <c r="T989" s="18" t="s">
        <v>4979</v>
      </c>
      <c r="U989" s="19"/>
      <c r="V989" s="18" t="s">
        <v>4980</v>
      </c>
      <c r="W989" s="17" t="s">
        <v>240</v>
      </c>
      <c r="X989" s="17" t="s">
        <v>4981</v>
      </c>
      <c r="Y989" s="17" t="s">
        <v>242</v>
      </c>
      <c r="Z989" s="19"/>
      <c r="AA989" s="19"/>
      <c r="AB989" s="17"/>
      <c r="AC989" s="19"/>
    </row>
    <row r="990" customFormat="false" ht="22.35" hidden="false" customHeight="false" outlineLevel="0" collapsed="false">
      <c r="A990" s="10" t="s">
        <v>4982</v>
      </c>
      <c r="B990" s="17" t="s">
        <v>121</v>
      </c>
      <c r="C990" s="18" t="s">
        <v>122</v>
      </c>
      <c r="D990" s="17" t="s">
        <v>19</v>
      </c>
      <c r="E990" s="17" t="s">
        <v>75</v>
      </c>
      <c r="F990" s="17" t="s">
        <v>4845</v>
      </c>
      <c r="G990" s="17" t="s">
        <v>973</v>
      </c>
      <c r="H990" s="17" t="s">
        <v>30</v>
      </c>
      <c r="I990" s="17" t="s">
        <v>450</v>
      </c>
      <c r="J990" s="17" t="s">
        <v>233</v>
      </c>
      <c r="K990" s="19"/>
      <c r="L990" s="19"/>
      <c r="M990" s="19"/>
      <c r="N990" s="19"/>
      <c r="O990" s="17" t="n">
        <v>1</v>
      </c>
      <c r="P990" s="18" t="s">
        <v>4955</v>
      </c>
      <c r="Q990" s="18" t="s">
        <v>4977</v>
      </c>
      <c r="R990" s="18" t="s">
        <v>4983</v>
      </c>
      <c r="S990" s="17" t="s">
        <v>4976</v>
      </c>
      <c r="T990" s="18" t="s">
        <v>4979</v>
      </c>
      <c r="U990" s="19"/>
      <c r="V990" s="18" t="s">
        <v>4984</v>
      </c>
      <c r="W990" s="17" t="s">
        <v>240</v>
      </c>
      <c r="X990" s="17" t="s">
        <v>4985</v>
      </c>
      <c r="Y990" s="17" t="s">
        <v>242</v>
      </c>
      <c r="Z990" s="19"/>
      <c r="AA990" s="19"/>
      <c r="AB990" s="17"/>
      <c r="AC990" s="19"/>
    </row>
    <row r="991" customFormat="false" ht="22.35" hidden="false" customHeight="false" outlineLevel="0" collapsed="false">
      <c r="A991" s="10" t="s">
        <v>4986</v>
      </c>
      <c r="B991" s="17" t="s">
        <v>121</v>
      </c>
      <c r="C991" s="18" t="s">
        <v>122</v>
      </c>
      <c r="D991" s="17" t="s">
        <v>19</v>
      </c>
      <c r="E991" s="17" t="s">
        <v>229</v>
      </c>
      <c r="F991" s="17" t="s">
        <v>4845</v>
      </c>
      <c r="G991" s="17" t="s">
        <v>973</v>
      </c>
      <c r="H991" s="17" t="s">
        <v>30</v>
      </c>
      <c r="I991" s="17" t="s">
        <v>450</v>
      </c>
      <c r="J991" s="17" t="s">
        <v>233</v>
      </c>
      <c r="K991" s="19"/>
      <c r="L991" s="19"/>
      <c r="M991" s="19"/>
      <c r="N991" s="19"/>
      <c r="O991" s="17" t="n">
        <v>1</v>
      </c>
      <c r="P991" s="18" t="s">
        <v>4955</v>
      </c>
      <c r="Q991" s="18" t="s">
        <v>4977</v>
      </c>
      <c r="R991" s="18" t="s">
        <v>4987</v>
      </c>
      <c r="S991" s="17" t="s">
        <v>4976</v>
      </c>
      <c r="T991" s="18" t="s">
        <v>4979</v>
      </c>
      <c r="U991" s="19"/>
      <c r="V991" s="18" t="s">
        <v>4984</v>
      </c>
      <c r="W991" s="17" t="s">
        <v>240</v>
      </c>
      <c r="X991" s="17" t="s">
        <v>4988</v>
      </c>
      <c r="Y991" s="17" t="s">
        <v>242</v>
      </c>
      <c r="Z991" s="19"/>
      <c r="AA991" s="19"/>
      <c r="AB991" s="17"/>
      <c r="AC991" s="19"/>
    </row>
    <row r="992" customFormat="false" ht="22.35" hidden="false" customHeight="false" outlineLevel="0" collapsed="false">
      <c r="A992" s="10" t="s">
        <v>4989</v>
      </c>
      <c r="B992" s="17" t="s">
        <v>121</v>
      </c>
      <c r="C992" s="18" t="s">
        <v>122</v>
      </c>
      <c r="D992" s="17" t="s">
        <v>19</v>
      </c>
      <c r="E992" s="17" t="s">
        <v>75</v>
      </c>
      <c r="F992" s="17" t="s">
        <v>4845</v>
      </c>
      <c r="G992" s="17" t="s">
        <v>973</v>
      </c>
      <c r="H992" s="17" t="s">
        <v>30</v>
      </c>
      <c r="I992" s="17" t="s">
        <v>450</v>
      </c>
      <c r="J992" s="17" t="s">
        <v>233</v>
      </c>
      <c r="K992" s="19"/>
      <c r="L992" s="19"/>
      <c r="M992" s="19"/>
      <c r="N992" s="19"/>
      <c r="O992" s="17" t="n">
        <v>2</v>
      </c>
      <c r="P992" s="18" t="s">
        <v>4955</v>
      </c>
      <c r="Q992" s="18" t="s">
        <v>4977</v>
      </c>
      <c r="R992" s="18" t="s">
        <v>4990</v>
      </c>
      <c r="S992" s="17" t="s">
        <v>1751</v>
      </c>
      <c r="T992" s="18" t="s">
        <v>4979</v>
      </c>
      <c r="U992" s="19"/>
      <c r="V992" s="18" t="s">
        <v>4991</v>
      </c>
      <c r="W992" s="17" t="s">
        <v>240</v>
      </c>
      <c r="X992" s="17" t="s">
        <v>4992</v>
      </c>
      <c r="Y992" s="17" t="s">
        <v>242</v>
      </c>
      <c r="Z992" s="19"/>
      <c r="AA992" s="19"/>
      <c r="AB992" s="17"/>
      <c r="AC992" s="19"/>
    </row>
    <row r="993" customFormat="false" ht="22.35" hidden="false" customHeight="false" outlineLevel="0" collapsed="false">
      <c r="A993" s="10" t="s">
        <v>4993</v>
      </c>
      <c r="B993" s="17" t="s">
        <v>121</v>
      </c>
      <c r="C993" s="18" t="s">
        <v>122</v>
      </c>
      <c r="D993" s="17" t="s">
        <v>19</v>
      </c>
      <c r="E993" s="17" t="s">
        <v>229</v>
      </c>
      <c r="F993" s="17" t="s">
        <v>4845</v>
      </c>
      <c r="G993" s="17" t="s">
        <v>973</v>
      </c>
      <c r="H993" s="17" t="s">
        <v>30</v>
      </c>
      <c r="I993" s="17" t="s">
        <v>450</v>
      </c>
      <c r="J993" s="17" t="s">
        <v>233</v>
      </c>
      <c r="K993" s="19"/>
      <c r="L993" s="19"/>
      <c r="M993" s="19"/>
      <c r="N993" s="19"/>
      <c r="O993" s="17" t="n">
        <v>2</v>
      </c>
      <c r="P993" s="18" t="s">
        <v>4955</v>
      </c>
      <c r="Q993" s="18" t="s">
        <v>4977</v>
      </c>
      <c r="R993" s="18" t="s">
        <v>4994</v>
      </c>
      <c r="S993" s="17" t="s">
        <v>4976</v>
      </c>
      <c r="T993" s="18" t="s">
        <v>4979</v>
      </c>
      <c r="U993" s="19"/>
      <c r="V993" s="18" t="s">
        <v>4995</v>
      </c>
      <c r="W993" s="17" t="s">
        <v>240</v>
      </c>
      <c r="X993" s="17" t="s">
        <v>4996</v>
      </c>
      <c r="Y993" s="17" t="s">
        <v>242</v>
      </c>
      <c r="Z993" s="19"/>
      <c r="AA993" s="19"/>
      <c r="AB993" s="17"/>
      <c r="AC993" s="19"/>
    </row>
    <row r="994" customFormat="false" ht="22.35" hidden="false" customHeight="false" outlineLevel="0" collapsed="false">
      <c r="A994" s="10" t="s">
        <v>4997</v>
      </c>
      <c r="B994" s="17" t="s">
        <v>121</v>
      </c>
      <c r="C994" s="18" t="s">
        <v>122</v>
      </c>
      <c r="D994" s="17" t="s">
        <v>19</v>
      </c>
      <c r="E994" s="17" t="s">
        <v>75</v>
      </c>
      <c r="F994" s="17" t="s">
        <v>4845</v>
      </c>
      <c r="G994" s="17" t="s">
        <v>973</v>
      </c>
      <c r="H994" s="17" t="s">
        <v>30</v>
      </c>
      <c r="I994" s="17" t="s">
        <v>450</v>
      </c>
      <c r="J994" s="17" t="s">
        <v>233</v>
      </c>
      <c r="K994" s="19"/>
      <c r="L994" s="19"/>
      <c r="M994" s="19"/>
      <c r="N994" s="19"/>
      <c r="O994" s="17" t="n">
        <v>2</v>
      </c>
      <c r="P994" s="18" t="s">
        <v>4955</v>
      </c>
      <c r="Q994" s="18" t="s">
        <v>4977</v>
      </c>
      <c r="R994" s="18" t="s">
        <v>4998</v>
      </c>
      <c r="S994" s="17" t="s">
        <v>4976</v>
      </c>
      <c r="T994" s="18" t="s">
        <v>4979</v>
      </c>
      <c r="U994" s="19"/>
      <c r="V994" s="18" t="s">
        <v>4999</v>
      </c>
      <c r="W994" s="17" t="s">
        <v>240</v>
      </c>
      <c r="X994" s="17" t="s">
        <v>5000</v>
      </c>
      <c r="Y994" s="17" t="s">
        <v>242</v>
      </c>
      <c r="Z994" s="19"/>
      <c r="AA994" s="19"/>
      <c r="AB994" s="17"/>
      <c r="AC994" s="19"/>
    </row>
    <row r="995" customFormat="false" ht="22.35" hidden="false" customHeight="false" outlineLevel="0" collapsed="false">
      <c r="A995" s="10" t="s">
        <v>5001</v>
      </c>
      <c r="B995" s="17" t="s">
        <v>121</v>
      </c>
      <c r="C995" s="18" t="s">
        <v>122</v>
      </c>
      <c r="D995" s="17" t="s">
        <v>19</v>
      </c>
      <c r="E995" s="17" t="s">
        <v>75</v>
      </c>
      <c r="F995" s="17" t="s">
        <v>4845</v>
      </c>
      <c r="G995" s="17" t="s">
        <v>973</v>
      </c>
      <c r="H995" s="17" t="s">
        <v>30</v>
      </c>
      <c r="I995" s="17" t="s">
        <v>450</v>
      </c>
      <c r="J995" s="17" t="s">
        <v>233</v>
      </c>
      <c r="K995" s="19"/>
      <c r="L995" s="19"/>
      <c r="M995" s="19"/>
      <c r="N995" s="19"/>
      <c r="O995" s="17" t="n">
        <v>3</v>
      </c>
      <c r="P995" s="18" t="s">
        <v>4955</v>
      </c>
      <c r="Q995" s="18" t="s">
        <v>4977</v>
      </c>
      <c r="R995" s="18" t="s">
        <v>5002</v>
      </c>
      <c r="S995" s="17" t="s">
        <v>4976</v>
      </c>
      <c r="T995" s="18" t="s">
        <v>4979</v>
      </c>
      <c r="U995" s="19"/>
      <c r="V995" s="18" t="s">
        <v>5003</v>
      </c>
      <c r="W995" s="17" t="s">
        <v>240</v>
      </c>
      <c r="X995" s="17" t="s">
        <v>5004</v>
      </c>
      <c r="Y995" s="17" t="s">
        <v>242</v>
      </c>
      <c r="Z995" s="19"/>
      <c r="AA995" s="19"/>
      <c r="AB995" s="17"/>
      <c r="AC995" s="19"/>
    </row>
    <row r="996" customFormat="false" ht="22.35" hidden="false" customHeight="false" outlineLevel="0" collapsed="false">
      <c r="A996" s="10" t="s">
        <v>5005</v>
      </c>
      <c r="B996" s="17" t="s">
        <v>121</v>
      </c>
      <c r="C996" s="18" t="s">
        <v>122</v>
      </c>
      <c r="D996" s="17" t="s">
        <v>19</v>
      </c>
      <c r="E996" s="17" t="s">
        <v>75</v>
      </c>
      <c r="F996" s="17" t="s">
        <v>4845</v>
      </c>
      <c r="G996" s="17" t="s">
        <v>973</v>
      </c>
      <c r="H996" s="17" t="s">
        <v>30</v>
      </c>
      <c r="I996" s="17" t="s">
        <v>450</v>
      </c>
      <c r="J996" s="17" t="s">
        <v>233</v>
      </c>
      <c r="K996" s="19"/>
      <c r="L996" s="19"/>
      <c r="M996" s="19"/>
      <c r="N996" s="19"/>
      <c r="O996" s="17" t="n">
        <v>3</v>
      </c>
      <c r="P996" s="18" t="s">
        <v>4955</v>
      </c>
      <c r="Q996" s="18" t="s">
        <v>4977</v>
      </c>
      <c r="R996" s="18" t="s">
        <v>5006</v>
      </c>
      <c r="S996" s="17" t="s">
        <v>4976</v>
      </c>
      <c r="T996" s="18" t="s">
        <v>4979</v>
      </c>
      <c r="U996" s="19"/>
      <c r="V996" s="18" t="s">
        <v>5007</v>
      </c>
      <c r="W996" s="17" t="s">
        <v>240</v>
      </c>
      <c r="X996" s="17" t="s">
        <v>5008</v>
      </c>
      <c r="Y996" s="17" t="s">
        <v>242</v>
      </c>
      <c r="Z996" s="19"/>
      <c r="AA996" s="19"/>
      <c r="AB996" s="17"/>
      <c r="AC996" s="19"/>
    </row>
    <row r="997" customFormat="false" ht="22.35" hidden="false" customHeight="false" outlineLevel="0" collapsed="false">
      <c r="A997" s="10" t="s">
        <v>5009</v>
      </c>
      <c r="B997" s="17" t="s">
        <v>121</v>
      </c>
      <c r="C997" s="18" t="s">
        <v>122</v>
      </c>
      <c r="D997" s="17" t="s">
        <v>19</v>
      </c>
      <c r="E997" s="17" t="s">
        <v>75</v>
      </c>
      <c r="F997" s="17" t="s">
        <v>4845</v>
      </c>
      <c r="G997" s="17" t="s">
        <v>973</v>
      </c>
      <c r="H997" s="17" t="s">
        <v>30</v>
      </c>
      <c r="I997" s="17" t="s">
        <v>450</v>
      </c>
      <c r="J997" s="17" t="s">
        <v>233</v>
      </c>
      <c r="K997" s="19"/>
      <c r="L997" s="19"/>
      <c r="M997" s="19"/>
      <c r="N997" s="19"/>
      <c r="O997" s="17" t="n">
        <v>3</v>
      </c>
      <c r="P997" s="18" t="s">
        <v>4955</v>
      </c>
      <c r="Q997" s="18" t="s">
        <v>4977</v>
      </c>
      <c r="R997" s="18" t="s">
        <v>5010</v>
      </c>
      <c r="S997" s="17" t="s">
        <v>5011</v>
      </c>
      <c r="T997" s="18" t="s">
        <v>4979</v>
      </c>
      <c r="U997" s="19"/>
      <c r="V997" s="18" t="s">
        <v>5012</v>
      </c>
      <c r="W997" s="17" t="s">
        <v>240</v>
      </c>
      <c r="X997" s="17" t="s">
        <v>5013</v>
      </c>
      <c r="Y997" s="17" t="s">
        <v>242</v>
      </c>
      <c r="Z997" s="19"/>
      <c r="AA997" s="19"/>
      <c r="AB997" s="17"/>
      <c r="AC997" s="19"/>
    </row>
    <row r="998" customFormat="false" ht="22.35" hidden="false" customHeight="false" outlineLevel="0" collapsed="false">
      <c r="A998" s="10" t="s">
        <v>5014</v>
      </c>
      <c r="B998" s="17" t="s">
        <v>121</v>
      </c>
      <c r="C998" s="18" t="s">
        <v>122</v>
      </c>
      <c r="D998" s="17" t="s">
        <v>19</v>
      </c>
      <c r="E998" s="17" t="s">
        <v>229</v>
      </c>
      <c r="F998" s="17" t="s">
        <v>4845</v>
      </c>
      <c r="G998" s="17" t="s">
        <v>973</v>
      </c>
      <c r="H998" s="17" t="s">
        <v>30</v>
      </c>
      <c r="I998" s="17" t="s">
        <v>450</v>
      </c>
      <c r="J998" s="17" t="s">
        <v>233</v>
      </c>
      <c r="K998" s="19"/>
      <c r="L998" s="19"/>
      <c r="M998" s="19"/>
      <c r="N998" s="19"/>
      <c r="O998" s="17" t="n">
        <v>1</v>
      </c>
      <c r="P998" s="18" t="s">
        <v>4955</v>
      </c>
      <c r="Q998" s="18" t="s">
        <v>5015</v>
      </c>
      <c r="R998" s="18" t="s">
        <v>5016</v>
      </c>
      <c r="S998" s="17" t="s">
        <v>4976</v>
      </c>
      <c r="T998" s="18" t="s">
        <v>5017</v>
      </c>
      <c r="U998" s="19"/>
      <c r="V998" s="18" t="s">
        <v>5018</v>
      </c>
      <c r="W998" s="17" t="s">
        <v>240</v>
      </c>
      <c r="X998" s="17" t="s">
        <v>5019</v>
      </c>
      <c r="Y998" s="17" t="s">
        <v>242</v>
      </c>
      <c r="Z998" s="19"/>
      <c r="AA998" s="19"/>
      <c r="AB998" s="17"/>
      <c r="AC998" s="19"/>
    </row>
    <row r="999" customFormat="false" ht="22.35" hidden="false" customHeight="false" outlineLevel="0" collapsed="false">
      <c r="A999" s="10" t="s">
        <v>5020</v>
      </c>
      <c r="B999" s="17" t="s">
        <v>121</v>
      </c>
      <c r="C999" s="18" t="s">
        <v>122</v>
      </c>
      <c r="D999" s="17" t="s">
        <v>19</v>
      </c>
      <c r="E999" s="17" t="s">
        <v>75</v>
      </c>
      <c r="F999" s="17" t="s">
        <v>4845</v>
      </c>
      <c r="G999" s="17" t="s">
        <v>973</v>
      </c>
      <c r="H999" s="17" t="s">
        <v>30</v>
      </c>
      <c r="I999" s="17" t="s">
        <v>450</v>
      </c>
      <c r="J999" s="17" t="s">
        <v>233</v>
      </c>
      <c r="K999" s="19"/>
      <c r="L999" s="19"/>
      <c r="M999" s="19"/>
      <c r="N999" s="19"/>
      <c r="O999" s="17" t="n">
        <v>1</v>
      </c>
      <c r="P999" s="18" t="s">
        <v>4955</v>
      </c>
      <c r="Q999" s="18" t="s">
        <v>5015</v>
      </c>
      <c r="R999" s="18" t="s">
        <v>5021</v>
      </c>
      <c r="S999" s="17" t="s">
        <v>5014</v>
      </c>
      <c r="T999" s="18" t="s">
        <v>5022</v>
      </c>
      <c r="U999" s="19"/>
      <c r="V999" s="18" t="s">
        <v>5023</v>
      </c>
      <c r="W999" s="17" t="s">
        <v>240</v>
      </c>
      <c r="X999" s="17" t="s">
        <v>5024</v>
      </c>
      <c r="Y999" s="17" t="s">
        <v>242</v>
      </c>
      <c r="Z999" s="19"/>
      <c r="AA999" s="19"/>
      <c r="AB999" s="17"/>
      <c r="AC999" s="19"/>
    </row>
    <row r="1000" customFormat="false" ht="22.35" hidden="false" customHeight="false" outlineLevel="0" collapsed="false">
      <c r="A1000" s="10" t="s">
        <v>5025</v>
      </c>
      <c r="B1000" s="17" t="s">
        <v>121</v>
      </c>
      <c r="C1000" s="18" t="s">
        <v>122</v>
      </c>
      <c r="D1000" s="17" t="s">
        <v>19</v>
      </c>
      <c r="E1000" s="17" t="s">
        <v>229</v>
      </c>
      <c r="F1000" s="17" t="s">
        <v>4845</v>
      </c>
      <c r="G1000" s="17" t="s">
        <v>973</v>
      </c>
      <c r="H1000" s="17" t="s">
        <v>30</v>
      </c>
      <c r="I1000" s="17" t="s">
        <v>277</v>
      </c>
      <c r="J1000" s="17" t="s">
        <v>233</v>
      </c>
      <c r="K1000" s="19"/>
      <c r="L1000" s="19"/>
      <c r="M1000" s="19"/>
      <c r="N1000" s="19"/>
      <c r="O1000" s="17" t="n">
        <v>2</v>
      </c>
      <c r="P1000" s="18" t="s">
        <v>4955</v>
      </c>
      <c r="Q1000" s="18" t="s">
        <v>5015</v>
      </c>
      <c r="R1000" s="18" t="s">
        <v>5026</v>
      </c>
      <c r="S1000" s="17" t="s">
        <v>5020</v>
      </c>
      <c r="T1000" s="18" t="s">
        <v>5027</v>
      </c>
      <c r="U1000" s="19"/>
      <c r="V1000" s="18" t="s">
        <v>5028</v>
      </c>
      <c r="W1000" s="17" t="s">
        <v>240</v>
      </c>
      <c r="X1000" s="17" t="s">
        <v>5029</v>
      </c>
      <c r="Y1000" s="17" t="s">
        <v>242</v>
      </c>
      <c r="Z1000" s="19"/>
      <c r="AA1000" s="19"/>
      <c r="AB1000" s="17"/>
      <c r="AC1000" s="19"/>
    </row>
    <row r="1001" customFormat="false" ht="22.35" hidden="false" customHeight="false" outlineLevel="0" collapsed="false">
      <c r="A1001" s="10" t="s">
        <v>5030</v>
      </c>
      <c r="B1001" s="17" t="s">
        <v>121</v>
      </c>
      <c r="C1001" s="18" t="s">
        <v>122</v>
      </c>
      <c r="D1001" s="17" t="s">
        <v>19</v>
      </c>
      <c r="E1001" s="17" t="s">
        <v>75</v>
      </c>
      <c r="F1001" s="17" t="s">
        <v>4845</v>
      </c>
      <c r="G1001" s="17" t="s">
        <v>973</v>
      </c>
      <c r="H1001" s="17" t="s">
        <v>30</v>
      </c>
      <c r="I1001" s="17" t="s">
        <v>450</v>
      </c>
      <c r="J1001" s="17" t="s">
        <v>233</v>
      </c>
      <c r="K1001" s="19"/>
      <c r="L1001" s="19"/>
      <c r="M1001" s="19"/>
      <c r="N1001" s="19"/>
      <c r="O1001" s="17" t="n">
        <v>1</v>
      </c>
      <c r="P1001" s="18" t="s">
        <v>4955</v>
      </c>
      <c r="Q1001" s="18" t="s">
        <v>5015</v>
      </c>
      <c r="R1001" s="18" t="s">
        <v>5031</v>
      </c>
      <c r="S1001" s="17" t="s">
        <v>5014</v>
      </c>
      <c r="T1001" s="18" t="s">
        <v>5032</v>
      </c>
      <c r="U1001" s="19"/>
      <c r="V1001" s="18" t="s">
        <v>5033</v>
      </c>
      <c r="W1001" s="17" t="s">
        <v>240</v>
      </c>
      <c r="X1001" s="17" t="s">
        <v>5024</v>
      </c>
      <c r="Y1001" s="17" t="s">
        <v>242</v>
      </c>
      <c r="Z1001" s="19"/>
      <c r="AA1001" s="19"/>
      <c r="AB1001" s="17"/>
      <c r="AC1001" s="19"/>
    </row>
    <row r="1002" customFormat="false" ht="22.35" hidden="false" customHeight="false" outlineLevel="0" collapsed="false">
      <c r="A1002" s="10" t="s">
        <v>5034</v>
      </c>
      <c r="B1002" s="17" t="s">
        <v>121</v>
      </c>
      <c r="C1002" s="18" t="s">
        <v>122</v>
      </c>
      <c r="D1002" s="17" t="s">
        <v>19</v>
      </c>
      <c r="E1002" s="17" t="s">
        <v>75</v>
      </c>
      <c r="F1002" s="17" t="s">
        <v>4845</v>
      </c>
      <c r="G1002" s="17" t="s">
        <v>973</v>
      </c>
      <c r="H1002" s="17" t="s">
        <v>30</v>
      </c>
      <c r="I1002" s="17" t="s">
        <v>450</v>
      </c>
      <c r="J1002" s="17" t="s">
        <v>233</v>
      </c>
      <c r="K1002" s="19"/>
      <c r="L1002" s="19"/>
      <c r="M1002" s="19"/>
      <c r="N1002" s="19"/>
      <c r="O1002" s="17" t="n">
        <v>2</v>
      </c>
      <c r="P1002" s="18" t="s">
        <v>4955</v>
      </c>
      <c r="Q1002" s="18" t="s">
        <v>5015</v>
      </c>
      <c r="R1002" s="18" t="s">
        <v>5035</v>
      </c>
      <c r="S1002" s="17" t="s">
        <v>5030</v>
      </c>
      <c r="T1002" s="18" t="s">
        <v>5036</v>
      </c>
      <c r="U1002" s="19"/>
      <c r="V1002" s="18" t="s">
        <v>5037</v>
      </c>
      <c r="W1002" s="17" t="s">
        <v>240</v>
      </c>
      <c r="X1002" s="17" t="s">
        <v>5024</v>
      </c>
      <c r="Y1002" s="17" t="s">
        <v>242</v>
      </c>
      <c r="Z1002" s="19"/>
      <c r="AA1002" s="19"/>
      <c r="AB1002" s="17"/>
      <c r="AC1002" s="19"/>
    </row>
    <row r="1003" customFormat="false" ht="22.35" hidden="false" customHeight="false" outlineLevel="0" collapsed="false">
      <c r="A1003" s="10" t="s">
        <v>5038</v>
      </c>
      <c r="B1003" s="17" t="s">
        <v>121</v>
      </c>
      <c r="C1003" s="18" t="s">
        <v>122</v>
      </c>
      <c r="D1003" s="17" t="s">
        <v>19</v>
      </c>
      <c r="E1003" s="17" t="s">
        <v>75</v>
      </c>
      <c r="F1003" s="17" t="s">
        <v>4845</v>
      </c>
      <c r="G1003" s="17" t="s">
        <v>973</v>
      </c>
      <c r="H1003" s="17" t="s">
        <v>30</v>
      </c>
      <c r="I1003" s="17" t="s">
        <v>450</v>
      </c>
      <c r="J1003" s="17" t="s">
        <v>233</v>
      </c>
      <c r="K1003" s="19"/>
      <c r="L1003" s="19"/>
      <c r="M1003" s="19"/>
      <c r="N1003" s="19"/>
      <c r="O1003" s="17" t="n">
        <v>2</v>
      </c>
      <c r="P1003" s="18" t="s">
        <v>4955</v>
      </c>
      <c r="Q1003" s="18" t="s">
        <v>5039</v>
      </c>
      <c r="R1003" s="18" t="s">
        <v>5040</v>
      </c>
      <c r="S1003" s="17" t="s">
        <v>5041</v>
      </c>
      <c r="T1003" s="18" t="s">
        <v>5042</v>
      </c>
      <c r="U1003" s="19"/>
      <c r="V1003" s="18" t="s">
        <v>5043</v>
      </c>
      <c r="W1003" s="17" t="s">
        <v>240</v>
      </c>
      <c r="X1003" s="17" t="s">
        <v>5024</v>
      </c>
      <c r="Y1003" s="17" t="s">
        <v>242</v>
      </c>
      <c r="Z1003" s="19"/>
      <c r="AA1003" s="19"/>
      <c r="AB1003" s="17" t="s">
        <v>1681</v>
      </c>
      <c r="AC1003" s="19"/>
    </row>
    <row r="1004" customFormat="false" ht="22.35" hidden="false" customHeight="false" outlineLevel="0" collapsed="false">
      <c r="A1004" s="10" t="s">
        <v>5044</v>
      </c>
      <c r="B1004" s="17" t="s">
        <v>121</v>
      </c>
      <c r="C1004" s="18" t="s">
        <v>122</v>
      </c>
      <c r="D1004" s="17" t="s">
        <v>19</v>
      </c>
      <c r="E1004" s="17" t="s">
        <v>75</v>
      </c>
      <c r="F1004" s="17" t="s">
        <v>4845</v>
      </c>
      <c r="G1004" s="17" t="s">
        <v>973</v>
      </c>
      <c r="H1004" s="17" t="s">
        <v>30</v>
      </c>
      <c r="I1004" s="17" t="s">
        <v>974</v>
      </c>
      <c r="J1004" s="17" t="s">
        <v>233</v>
      </c>
      <c r="K1004" s="19"/>
      <c r="L1004" s="19"/>
      <c r="M1004" s="19"/>
      <c r="N1004" s="19"/>
      <c r="O1004" s="17" t="n">
        <v>2</v>
      </c>
      <c r="P1004" s="18" t="s">
        <v>4955</v>
      </c>
      <c r="Q1004" s="18" t="s">
        <v>5039</v>
      </c>
      <c r="R1004" s="18" t="s">
        <v>5045</v>
      </c>
      <c r="S1004" s="17" t="s">
        <v>5030</v>
      </c>
      <c r="T1004" s="18" t="s">
        <v>5046</v>
      </c>
      <c r="U1004" s="19"/>
      <c r="V1004" s="18" t="s">
        <v>5047</v>
      </c>
      <c r="W1004" s="17" t="s">
        <v>240</v>
      </c>
      <c r="X1004" s="17" t="s">
        <v>5024</v>
      </c>
      <c r="Y1004" s="17" t="s">
        <v>242</v>
      </c>
      <c r="Z1004" s="19"/>
      <c r="AA1004" s="19"/>
      <c r="AB1004" s="17"/>
      <c r="AC1004" s="19"/>
    </row>
    <row r="1005" customFormat="false" ht="22.35" hidden="false" customHeight="false" outlineLevel="0" collapsed="false">
      <c r="A1005" s="10" t="s">
        <v>5048</v>
      </c>
      <c r="B1005" s="17" t="s">
        <v>121</v>
      </c>
      <c r="C1005" s="18" t="s">
        <v>122</v>
      </c>
      <c r="D1005" s="17" t="s">
        <v>19</v>
      </c>
      <c r="E1005" s="17" t="s">
        <v>75</v>
      </c>
      <c r="F1005" s="17" t="s">
        <v>4845</v>
      </c>
      <c r="G1005" s="17" t="s">
        <v>973</v>
      </c>
      <c r="H1005" s="17" t="s">
        <v>30</v>
      </c>
      <c r="I1005" s="17" t="s">
        <v>974</v>
      </c>
      <c r="J1005" s="17" t="s">
        <v>233</v>
      </c>
      <c r="K1005" s="19"/>
      <c r="L1005" s="19"/>
      <c r="M1005" s="19"/>
      <c r="N1005" s="19"/>
      <c r="O1005" s="17" t="n">
        <v>3</v>
      </c>
      <c r="P1005" s="18" t="s">
        <v>4955</v>
      </c>
      <c r="Q1005" s="18" t="s">
        <v>5039</v>
      </c>
      <c r="R1005" s="18" t="s">
        <v>5049</v>
      </c>
      <c r="S1005" s="17" t="s">
        <v>5009</v>
      </c>
      <c r="T1005" s="18" t="s">
        <v>5050</v>
      </c>
      <c r="U1005" s="19"/>
      <c r="V1005" s="18" t="s">
        <v>5051</v>
      </c>
      <c r="W1005" s="17" t="s">
        <v>240</v>
      </c>
      <c r="X1005" s="17" t="s">
        <v>5052</v>
      </c>
      <c r="Y1005" s="17" t="s">
        <v>242</v>
      </c>
      <c r="Z1005" s="19"/>
      <c r="AA1005" s="19"/>
      <c r="AB1005" s="17"/>
      <c r="AC1005" s="19"/>
    </row>
    <row r="1006" customFormat="false" ht="22.35" hidden="false" customHeight="false" outlineLevel="0" collapsed="false">
      <c r="A1006" s="10" t="s">
        <v>5053</v>
      </c>
      <c r="B1006" s="17" t="s">
        <v>121</v>
      </c>
      <c r="C1006" s="18" t="s">
        <v>122</v>
      </c>
      <c r="D1006" s="17" t="s">
        <v>19</v>
      </c>
      <c r="E1006" s="17" t="s">
        <v>75</v>
      </c>
      <c r="F1006" s="17" t="s">
        <v>4845</v>
      </c>
      <c r="G1006" s="17" t="s">
        <v>973</v>
      </c>
      <c r="H1006" s="17" t="s">
        <v>30</v>
      </c>
      <c r="I1006" s="17" t="s">
        <v>283</v>
      </c>
      <c r="J1006" s="17" t="s">
        <v>233</v>
      </c>
      <c r="K1006" s="19"/>
      <c r="L1006" s="19"/>
      <c r="M1006" s="19"/>
      <c r="N1006" s="19"/>
      <c r="O1006" s="17" t="n">
        <v>3</v>
      </c>
      <c r="P1006" s="18" t="s">
        <v>4955</v>
      </c>
      <c r="Q1006" s="18" t="s">
        <v>4948</v>
      </c>
      <c r="R1006" s="18" t="s">
        <v>5054</v>
      </c>
      <c r="S1006" s="17" t="s">
        <v>5055</v>
      </c>
      <c r="T1006" s="18" t="s">
        <v>4951</v>
      </c>
      <c r="U1006" s="19"/>
      <c r="V1006" s="18" t="s">
        <v>5056</v>
      </c>
      <c r="W1006" s="17" t="s">
        <v>240</v>
      </c>
      <c r="X1006" s="17" t="s">
        <v>4953</v>
      </c>
      <c r="Y1006" s="17" t="s">
        <v>242</v>
      </c>
      <c r="Z1006" s="19"/>
      <c r="AA1006" s="19"/>
      <c r="AB1006" s="17"/>
      <c r="AC1006" s="19"/>
    </row>
    <row r="1007" customFormat="false" ht="22.35" hidden="false" customHeight="false" outlineLevel="0" collapsed="false">
      <c r="A1007" s="10" t="s">
        <v>5057</v>
      </c>
      <c r="B1007" s="17" t="s">
        <v>121</v>
      </c>
      <c r="C1007" s="18" t="s">
        <v>122</v>
      </c>
      <c r="D1007" s="17" t="s">
        <v>19</v>
      </c>
      <c r="E1007" s="17" t="s">
        <v>229</v>
      </c>
      <c r="F1007" s="17" t="s">
        <v>4845</v>
      </c>
      <c r="G1007" s="17" t="s">
        <v>973</v>
      </c>
      <c r="H1007" s="17" t="s">
        <v>30</v>
      </c>
      <c r="I1007" s="17" t="s">
        <v>232</v>
      </c>
      <c r="J1007" s="17" t="s">
        <v>233</v>
      </c>
      <c r="K1007" s="19"/>
      <c r="L1007" s="19"/>
      <c r="M1007" s="19"/>
      <c r="N1007" s="19"/>
      <c r="O1007" s="17" t="n">
        <v>0</v>
      </c>
      <c r="P1007" s="18" t="s">
        <v>5058</v>
      </c>
      <c r="Q1007" s="18" t="s">
        <v>5059</v>
      </c>
      <c r="R1007" s="18" t="s">
        <v>5060</v>
      </c>
      <c r="S1007" s="17" t="s">
        <v>4976</v>
      </c>
      <c r="T1007" s="18" t="s">
        <v>788</v>
      </c>
      <c r="U1007" s="19"/>
      <c r="V1007" s="18" t="s">
        <v>5061</v>
      </c>
      <c r="W1007" s="17" t="s">
        <v>240</v>
      </c>
      <c r="X1007" s="17" t="s">
        <v>5062</v>
      </c>
      <c r="Y1007" s="17" t="s">
        <v>242</v>
      </c>
      <c r="Z1007" s="19"/>
      <c r="AA1007" s="19"/>
      <c r="AB1007" s="17" t="s">
        <v>1681</v>
      </c>
      <c r="AC1007" s="19"/>
    </row>
    <row r="1008" customFormat="false" ht="22.35" hidden="false" customHeight="false" outlineLevel="0" collapsed="false">
      <c r="A1008" s="10" t="s">
        <v>5063</v>
      </c>
      <c r="B1008" s="17" t="s">
        <v>121</v>
      </c>
      <c r="C1008" s="18" t="s">
        <v>122</v>
      </c>
      <c r="D1008" s="17" t="s">
        <v>19</v>
      </c>
      <c r="E1008" s="17" t="s">
        <v>229</v>
      </c>
      <c r="F1008" s="17" t="s">
        <v>4845</v>
      </c>
      <c r="G1008" s="17" t="s">
        <v>973</v>
      </c>
      <c r="H1008" s="17" t="s">
        <v>30</v>
      </c>
      <c r="I1008" s="17" t="s">
        <v>450</v>
      </c>
      <c r="J1008" s="17" t="s">
        <v>233</v>
      </c>
      <c r="K1008" s="19"/>
      <c r="L1008" s="19"/>
      <c r="M1008" s="19"/>
      <c r="N1008" s="19"/>
      <c r="O1008" s="17" t="n">
        <v>1</v>
      </c>
      <c r="P1008" s="18" t="s">
        <v>5058</v>
      </c>
      <c r="Q1008" s="18" t="s">
        <v>5059</v>
      </c>
      <c r="R1008" s="18" t="s">
        <v>5064</v>
      </c>
      <c r="S1008" s="17" t="s">
        <v>5065</v>
      </c>
      <c r="T1008" s="18" t="s">
        <v>5066</v>
      </c>
      <c r="U1008" s="19"/>
      <c r="V1008" s="18" t="s">
        <v>5067</v>
      </c>
      <c r="W1008" s="17" t="s">
        <v>240</v>
      </c>
      <c r="X1008" s="17" t="s">
        <v>4134</v>
      </c>
      <c r="Y1008" s="17" t="s">
        <v>242</v>
      </c>
      <c r="Z1008" s="19"/>
      <c r="AA1008" s="19"/>
      <c r="AB1008" s="17"/>
      <c r="AC1008" s="19"/>
    </row>
    <row r="1009" customFormat="false" ht="22.35" hidden="false" customHeight="false" outlineLevel="0" collapsed="false">
      <c r="A1009" s="10" t="s">
        <v>5068</v>
      </c>
      <c r="B1009" s="17" t="s">
        <v>121</v>
      </c>
      <c r="C1009" s="18" t="s">
        <v>122</v>
      </c>
      <c r="D1009" s="17" t="s">
        <v>19</v>
      </c>
      <c r="E1009" s="17" t="s">
        <v>229</v>
      </c>
      <c r="F1009" s="17" t="s">
        <v>4845</v>
      </c>
      <c r="G1009" s="17" t="s">
        <v>973</v>
      </c>
      <c r="H1009" s="17" t="s">
        <v>30</v>
      </c>
      <c r="I1009" s="17" t="s">
        <v>450</v>
      </c>
      <c r="J1009" s="17" t="s">
        <v>233</v>
      </c>
      <c r="K1009" s="19"/>
      <c r="L1009" s="19"/>
      <c r="M1009" s="19"/>
      <c r="N1009" s="19"/>
      <c r="O1009" s="17" t="n">
        <v>1</v>
      </c>
      <c r="P1009" s="18" t="s">
        <v>5058</v>
      </c>
      <c r="Q1009" s="18" t="s">
        <v>5059</v>
      </c>
      <c r="R1009" s="18" t="s">
        <v>5069</v>
      </c>
      <c r="S1009" s="17" t="s">
        <v>5063</v>
      </c>
      <c r="T1009" s="18" t="s">
        <v>5070</v>
      </c>
      <c r="U1009" s="19"/>
      <c r="V1009" s="18" t="s">
        <v>5071</v>
      </c>
      <c r="W1009" s="17" t="s">
        <v>240</v>
      </c>
      <c r="X1009" s="17" t="s">
        <v>263</v>
      </c>
      <c r="Y1009" s="17" t="s">
        <v>242</v>
      </c>
      <c r="Z1009" s="19"/>
      <c r="AA1009" s="19"/>
      <c r="AB1009" s="17"/>
      <c r="AC1009" s="19"/>
    </row>
    <row r="1010" customFormat="false" ht="22.35" hidden="false" customHeight="false" outlineLevel="0" collapsed="false">
      <c r="A1010" s="10" t="s">
        <v>5072</v>
      </c>
      <c r="B1010" s="17" t="s">
        <v>121</v>
      </c>
      <c r="C1010" s="18" t="s">
        <v>122</v>
      </c>
      <c r="D1010" s="17" t="s">
        <v>19</v>
      </c>
      <c r="E1010" s="17" t="s">
        <v>229</v>
      </c>
      <c r="F1010" s="17" t="s">
        <v>4845</v>
      </c>
      <c r="G1010" s="17" t="s">
        <v>973</v>
      </c>
      <c r="H1010" s="17" t="s">
        <v>30</v>
      </c>
      <c r="I1010" s="17" t="s">
        <v>277</v>
      </c>
      <c r="J1010" s="17" t="s">
        <v>233</v>
      </c>
      <c r="K1010" s="19"/>
      <c r="L1010" s="19"/>
      <c r="M1010" s="19"/>
      <c r="N1010" s="19"/>
      <c r="O1010" s="17" t="n">
        <v>1</v>
      </c>
      <c r="P1010" s="18" t="s">
        <v>5058</v>
      </c>
      <c r="Q1010" s="18" t="s">
        <v>5059</v>
      </c>
      <c r="R1010" s="18" t="s">
        <v>5073</v>
      </c>
      <c r="S1010" s="17" t="s">
        <v>4976</v>
      </c>
      <c r="T1010" s="18" t="s">
        <v>5074</v>
      </c>
      <c r="U1010" s="19"/>
      <c r="V1010" s="18" t="s">
        <v>5075</v>
      </c>
      <c r="W1010" s="17" t="s">
        <v>240</v>
      </c>
      <c r="X1010" s="17" t="s">
        <v>5076</v>
      </c>
      <c r="Y1010" s="17" t="s">
        <v>242</v>
      </c>
      <c r="Z1010" s="19"/>
      <c r="AA1010" s="19"/>
      <c r="AB1010" s="17"/>
      <c r="AC1010" s="19"/>
    </row>
    <row r="1011" customFormat="false" ht="22.35" hidden="false" customHeight="false" outlineLevel="0" collapsed="false">
      <c r="A1011" s="10" t="s">
        <v>5077</v>
      </c>
      <c r="B1011" s="17" t="s">
        <v>121</v>
      </c>
      <c r="C1011" s="18" t="s">
        <v>122</v>
      </c>
      <c r="D1011" s="17" t="s">
        <v>19</v>
      </c>
      <c r="E1011" s="17" t="s">
        <v>229</v>
      </c>
      <c r="F1011" s="17" t="s">
        <v>4845</v>
      </c>
      <c r="G1011" s="17" t="s">
        <v>973</v>
      </c>
      <c r="H1011" s="17" t="s">
        <v>30</v>
      </c>
      <c r="I1011" s="17" t="s">
        <v>333</v>
      </c>
      <c r="J1011" s="17" t="s">
        <v>233</v>
      </c>
      <c r="K1011" s="19"/>
      <c r="L1011" s="19"/>
      <c r="M1011" s="19"/>
      <c r="N1011" s="19"/>
      <c r="O1011" s="17" t="n">
        <v>2</v>
      </c>
      <c r="P1011" s="18" t="s">
        <v>5058</v>
      </c>
      <c r="Q1011" s="18" t="s">
        <v>5059</v>
      </c>
      <c r="R1011" s="18" t="s">
        <v>5078</v>
      </c>
      <c r="S1011" s="17" t="s">
        <v>5063</v>
      </c>
      <c r="T1011" s="18" t="s">
        <v>5079</v>
      </c>
      <c r="U1011" s="19"/>
      <c r="V1011" s="18" t="s">
        <v>5080</v>
      </c>
      <c r="W1011" s="17" t="s">
        <v>240</v>
      </c>
      <c r="X1011" s="17" t="s">
        <v>5081</v>
      </c>
      <c r="Y1011" s="17" t="s">
        <v>242</v>
      </c>
      <c r="Z1011" s="19"/>
      <c r="AA1011" s="19"/>
      <c r="AB1011" s="17"/>
      <c r="AC1011" s="19"/>
    </row>
    <row r="1012" customFormat="false" ht="22.35" hidden="false" customHeight="false" outlineLevel="0" collapsed="false">
      <c r="A1012" s="10" t="s">
        <v>5082</v>
      </c>
      <c r="B1012" s="17" t="s">
        <v>121</v>
      </c>
      <c r="C1012" s="18" t="s">
        <v>122</v>
      </c>
      <c r="D1012" s="17" t="s">
        <v>19</v>
      </c>
      <c r="E1012" s="17" t="s">
        <v>229</v>
      </c>
      <c r="F1012" s="17" t="s">
        <v>4845</v>
      </c>
      <c r="G1012" s="17" t="s">
        <v>973</v>
      </c>
      <c r="H1012" s="17" t="s">
        <v>30</v>
      </c>
      <c r="I1012" s="17" t="s">
        <v>277</v>
      </c>
      <c r="J1012" s="17" t="s">
        <v>233</v>
      </c>
      <c r="K1012" s="19"/>
      <c r="L1012" s="19"/>
      <c r="M1012" s="19"/>
      <c r="N1012" s="19"/>
      <c r="O1012" s="17" t="n">
        <v>1</v>
      </c>
      <c r="P1012" s="18" t="s">
        <v>5058</v>
      </c>
      <c r="Q1012" s="18" t="s">
        <v>5083</v>
      </c>
      <c r="R1012" s="18" t="s">
        <v>5084</v>
      </c>
      <c r="S1012" s="17" t="s">
        <v>5063</v>
      </c>
      <c r="T1012" s="18" t="s">
        <v>5085</v>
      </c>
      <c r="U1012" s="19"/>
      <c r="V1012" s="18" t="s">
        <v>5086</v>
      </c>
      <c r="W1012" s="17" t="s">
        <v>240</v>
      </c>
      <c r="X1012" s="17" t="s">
        <v>5087</v>
      </c>
      <c r="Y1012" s="17" t="s">
        <v>242</v>
      </c>
      <c r="Z1012" s="19"/>
      <c r="AA1012" s="19"/>
      <c r="AB1012" s="17"/>
      <c r="AC1012" s="19"/>
    </row>
    <row r="1013" customFormat="false" ht="22.35" hidden="false" customHeight="false" outlineLevel="0" collapsed="false">
      <c r="A1013" s="10" t="s">
        <v>5088</v>
      </c>
      <c r="B1013" s="17" t="s">
        <v>121</v>
      </c>
      <c r="C1013" s="18" t="s">
        <v>122</v>
      </c>
      <c r="D1013" s="17" t="s">
        <v>19</v>
      </c>
      <c r="E1013" s="17" t="s">
        <v>229</v>
      </c>
      <c r="F1013" s="17" t="s">
        <v>4845</v>
      </c>
      <c r="G1013" s="17" t="s">
        <v>973</v>
      </c>
      <c r="H1013" s="17" t="s">
        <v>30</v>
      </c>
      <c r="I1013" s="17" t="s">
        <v>277</v>
      </c>
      <c r="J1013" s="17" t="s">
        <v>233</v>
      </c>
      <c r="K1013" s="19"/>
      <c r="L1013" s="19"/>
      <c r="M1013" s="19"/>
      <c r="N1013" s="19"/>
      <c r="O1013" s="17" t="n">
        <v>1</v>
      </c>
      <c r="P1013" s="18" t="s">
        <v>5058</v>
      </c>
      <c r="Q1013" s="18" t="s">
        <v>5083</v>
      </c>
      <c r="R1013" s="18" t="s">
        <v>5089</v>
      </c>
      <c r="S1013" s="17" t="s">
        <v>5063</v>
      </c>
      <c r="T1013" s="18" t="s">
        <v>5085</v>
      </c>
      <c r="U1013" s="19"/>
      <c r="V1013" s="18" t="s">
        <v>5090</v>
      </c>
      <c r="W1013" s="17" t="s">
        <v>240</v>
      </c>
      <c r="X1013" s="17" t="s">
        <v>5091</v>
      </c>
      <c r="Y1013" s="17" t="s">
        <v>242</v>
      </c>
      <c r="Z1013" s="19"/>
      <c r="AA1013" s="19"/>
      <c r="AB1013" s="17"/>
      <c r="AC1013" s="19"/>
    </row>
    <row r="1014" customFormat="false" ht="22.35" hidden="false" customHeight="false" outlineLevel="0" collapsed="false">
      <c r="A1014" s="10" t="s">
        <v>5092</v>
      </c>
      <c r="B1014" s="17" t="s">
        <v>121</v>
      </c>
      <c r="C1014" s="18" t="s">
        <v>122</v>
      </c>
      <c r="D1014" s="17" t="s">
        <v>19</v>
      </c>
      <c r="E1014" s="17" t="s">
        <v>229</v>
      </c>
      <c r="F1014" s="17" t="s">
        <v>4845</v>
      </c>
      <c r="G1014" s="17" t="s">
        <v>973</v>
      </c>
      <c r="H1014" s="17" t="s">
        <v>30</v>
      </c>
      <c r="I1014" s="17" t="s">
        <v>277</v>
      </c>
      <c r="J1014" s="17" t="s">
        <v>233</v>
      </c>
      <c r="K1014" s="19"/>
      <c r="L1014" s="19"/>
      <c r="M1014" s="19"/>
      <c r="N1014" s="19"/>
      <c r="O1014" s="17" t="n">
        <v>1</v>
      </c>
      <c r="P1014" s="18" t="s">
        <v>5058</v>
      </c>
      <c r="Q1014" s="18" t="s">
        <v>5083</v>
      </c>
      <c r="R1014" s="18" t="s">
        <v>5093</v>
      </c>
      <c r="S1014" s="17" t="s">
        <v>5068</v>
      </c>
      <c r="T1014" s="18" t="s">
        <v>5085</v>
      </c>
      <c r="U1014" s="19"/>
      <c r="V1014" s="18" t="s">
        <v>5094</v>
      </c>
      <c r="W1014" s="17" t="s">
        <v>240</v>
      </c>
      <c r="X1014" s="17" t="s">
        <v>5087</v>
      </c>
      <c r="Y1014" s="17" t="s">
        <v>242</v>
      </c>
      <c r="Z1014" s="19"/>
      <c r="AA1014" s="19"/>
      <c r="AB1014" s="17"/>
      <c r="AC1014" s="19"/>
    </row>
    <row r="1015" customFormat="false" ht="22.35" hidden="false" customHeight="false" outlineLevel="0" collapsed="false">
      <c r="A1015" s="10" t="s">
        <v>5095</v>
      </c>
      <c r="B1015" s="17" t="s">
        <v>121</v>
      </c>
      <c r="C1015" s="18" t="s">
        <v>122</v>
      </c>
      <c r="D1015" s="17" t="s">
        <v>19</v>
      </c>
      <c r="E1015" s="17" t="s">
        <v>75</v>
      </c>
      <c r="F1015" s="17" t="s">
        <v>4845</v>
      </c>
      <c r="G1015" s="17" t="s">
        <v>973</v>
      </c>
      <c r="H1015" s="17" t="s">
        <v>30</v>
      </c>
      <c r="I1015" s="17" t="s">
        <v>283</v>
      </c>
      <c r="J1015" s="17" t="s">
        <v>233</v>
      </c>
      <c r="K1015" s="19"/>
      <c r="L1015" s="19"/>
      <c r="M1015" s="19"/>
      <c r="N1015" s="19"/>
      <c r="O1015" s="17" t="n">
        <v>1</v>
      </c>
      <c r="P1015" s="18" t="s">
        <v>5058</v>
      </c>
      <c r="Q1015" s="18" t="s">
        <v>5083</v>
      </c>
      <c r="R1015" s="18" t="s">
        <v>5096</v>
      </c>
      <c r="S1015" s="17" t="s">
        <v>5097</v>
      </c>
      <c r="T1015" s="18" t="s">
        <v>5098</v>
      </c>
      <c r="U1015" s="19"/>
      <c r="V1015" s="18" t="s">
        <v>5099</v>
      </c>
      <c r="W1015" s="17" t="s">
        <v>240</v>
      </c>
      <c r="X1015" s="17" t="s">
        <v>5100</v>
      </c>
      <c r="Y1015" s="17" t="s">
        <v>242</v>
      </c>
      <c r="Z1015" s="19"/>
      <c r="AA1015" s="19"/>
      <c r="AB1015" s="17"/>
      <c r="AC1015" s="19"/>
    </row>
    <row r="1016" customFormat="false" ht="22.35" hidden="false" customHeight="false" outlineLevel="0" collapsed="false">
      <c r="A1016" s="10" t="s">
        <v>5101</v>
      </c>
      <c r="B1016" s="17" t="s">
        <v>121</v>
      </c>
      <c r="C1016" s="18" t="s">
        <v>122</v>
      </c>
      <c r="D1016" s="17" t="s">
        <v>19</v>
      </c>
      <c r="E1016" s="17" t="s">
        <v>229</v>
      </c>
      <c r="F1016" s="17" t="s">
        <v>4845</v>
      </c>
      <c r="G1016" s="17" t="s">
        <v>973</v>
      </c>
      <c r="H1016" s="17" t="s">
        <v>30</v>
      </c>
      <c r="I1016" s="17" t="s">
        <v>232</v>
      </c>
      <c r="J1016" s="17" t="s">
        <v>233</v>
      </c>
      <c r="K1016" s="19"/>
      <c r="L1016" s="19"/>
      <c r="M1016" s="19"/>
      <c r="N1016" s="19"/>
      <c r="O1016" s="17" t="n">
        <v>1</v>
      </c>
      <c r="P1016" s="18" t="s">
        <v>5058</v>
      </c>
      <c r="Q1016" s="18" t="s">
        <v>5102</v>
      </c>
      <c r="R1016" s="18" t="s">
        <v>5103</v>
      </c>
      <c r="S1016" s="17" t="s">
        <v>4881</v>
      </c>
      <c r="T1016" s="18" t="s">
        <v>5104</v>
      </c>
      <c r="U1016" s="19"/>
      <c r="V1016" s="18" t="s">
        <v>5105</v>
      </c>
      <c r="W1016" s="17" t="s">
        <v>240</v>
      </c>
      <c r="X1016" s="17" t="s">
        <v>5106</v>
      </c>
      <c r="Y1016" s="17" t="s">
        <v>242</v>
      </c>
      <c r="Z1016" s="19"/>
      <c r="AA1016" s="19"/>
      <c r="AB1016" s="17"/>
      <c r="AC1016" s="19"/>
    </row>
    <row r="1017" customFormat="false" ht="22.35" hidden="false" customHeight="false" outlineLevel="0" collapsed="false">
      <c r="A1017" s="10" t="s">
        <v>5107</v>
      </c>
      <c r="B1017" s="17" t="s">
        <v>121</v>
      </c>
      <c r="C1017" s="18" t="s">
        <v>122</v>
      </c>
      <c r="D1017" s="17" t="s">
        <v>19</v>
      </c>
      <c r="E1017" s="17" t="s">
        <v>75</v>
      </c>
      <c r="F1017" s="17" t="s">
        <v>4845</v>
      </c>
      <c r="G1017" s="17" t="s">
        <v>973</v>
      </c>
      <c r="H1017" s="17" t="s">
        <v>30</v>
      </c>
      <c r="I1017" s="17" t="s">
        <v>974</v>
      </c>
      <c r="J1017" s="17" t="s">
        <v>233</v>
      </c>
      <c r="K1017" s="19"/>
      <c r="L1017" s="19"/>
      <c r="M1017" s="19"/>
      <c r="N1017" s="19"/>
      <c r="O1017" s="17" t="n">
        <v>1</v>
      </c>
      <c r="P1017" s="18" t="s">
        <v>5058</v>
      </c>
      <c r="Q1017" s="18" t="s">
        <v>5102</v>
      </c>
      <c r="R1017" s="18" t="s">
        <v>5108</v>
      </c>
      <c r="S1017" s="17" t="s">
        <v>5101</v>
      </c>
      <c r="T1017" s="18" t="s">
        <v>5109</v>
      </c>
      <c r="U1017" s="19"/>
      <c r="V1017" s="18" t="s">
        <v>5110</v>
      </c>
      <c r="W1017" s="17" t="s">
        <v>240</v>
      </c>
      <c r="X1017" s="17" t="s">
        <v>5111</v>
      </c>
      <c r="Y1017" s="17" t="s">
        <v>242</v>
      </c>
      <c r="Z1017" s="19"/>
      <c r="AA1017" s="19"/>
      <c r="AB1017" s="17"/>
      <c r="AC1017" s="19"/>
    </row>
    <row r="1018" customFormat="false" ht="22.35" hidden="false" customHeight="false" outlineLevel="0" collapsed="false">
      <c r="A1018" s="10" t="s">
        <v>5112</v>
      </c>
      <c r="B1018" s="17" t="s">
        <v>121</v>
      </c>
      <c r="C1018" s="18" t="s">
        <v>122</v>
      </c>
      <c r="D1018" s="17" t="s">
        <v>19</v>
      </c>
      <c r="E1018" s="17" t="s">
        <v>75</v>
      </c>
      <c r="F1018" s="17" t="s">
        <v>4845</v>
      </c>
      <c r="G1018" s="17" t="s">
        <v>973</v>
      </c>
      <c r="H1018" s="17" t="s">
        <v>30</v>
      </c>
      <c r="I1018" s="17" t="s">
        <v>974</v>
      </c>
      <c r="J1018" s="17" t="s">
        <v>233</v>
      </c>
      <c r="K1018" s="19"/>
      <c r="L1018" s="19"/>
      <c r="M1018" s="19"/>
      <c r="N1018" s="19"/>
      <c r="O1018" s="17" t="n">
        <v>1</v>
      </c>
      <c r="P1018" s="18" t="s">
        <v>5058</v>
      </c>
      <c r="Q1018" s="18" t="s">
        <v>5102</v>
      </c>
      <c r="R1018" s="18" t="s">
        <v>5113</v>
      </c>
      <c r="S1018" s="17" t="s">
        <v>5114</v>
      </c>
      <c r="T1018" s="18" t="s">
        <v>5115</v>
      </c>
      <c r="U1018" s="19"/>
      <c r="V1018" s="18" t="s">
        <v>5116</v>
      </c>
      <c r="W1018" s="17" t="s">
        <v>240</v>
      </c>
      <c r="X1018" s="17" t="s">
        <v>5111</v>
      </c>
      <c r="Y1018" s="17" t="s">
        <v>242</v>
      </c>
      <c r="Z1018" s="19"/>
      <c r="AA1018" s="19"/>
      <c r="AB1018" s="17"/>
      <c r="AC1018" s="19"/>
    </row>
    <row r="1019" customFormat="false" ht="22.35" hidden="false" customHeight="false" outlineLevel="0" collapsed="false">
      <c r="A1019" s="10" t="s">
        <v>5117</v>
      </c>
      <c r="B1019" s="17" t="s">
        <v>121</v>
      </c>
      <c r="C1019" s="18" t="s">
        <v>122</v>
      </c>
      <c r="D1019" s="17" t="s">
        <v>19</v>
      </c>
      <c r="E1019" s="17" t="s">
        <v>229</v>
      </c>
      <c r="F1019" s="17" t="s">
        <v>4845</v>
      </c>
      <c r="G1019" s="17" t="s">
        <v>973</v>
      </c>
      <c r="H1019" s="17" t="s">
        <v>30</v>
      </c>
      <c r="I1019" s="17" t="s">
        <v>974</v>
      </c>
      <c r="J1019" s="17" t="s">
        <v>233</v>
      </c>
      <c r="K1019" s="19"/>
      <c r="L1019" s="19"/>
      <c r="M1019" s="19"/>
      <c r="N1019" s="19"/>
      <c r="O1019" s="17" t="n">
        <v>1</v>
      </c>
      <c r="P1019" s="18" t="s">
        <v>5058</v>
      </c>
      <c r="Q1019" s="18" t="s">
        <v>5102</v>
      </c>
      <c r="R1019" s="18" t="s">
        <v>5118</v>
      </c>
      <c r="S1019" s="17" t="s">
        <v>5112</v>
      </c>
      <c r="T1019" s="18" t="s">
        <v>5119</v>
      </c>
      <c r="U1019" s="19"/>
      <c r="V1019" s="18" t="s">
        <v>5120</v>
      </c>
      <c r="W1019" s="17" t="s">
        <v>240</v>
      </c>
      <c r="X1019" s="17" t="s">
        <v>5087</v>
      </c>
      <c r="Y1019" s="17" t="s">
        <v>242</v>
      </c>
      <c r="Z1019" s="19"/>
      <c r="AA1019" s="19"/>
      <c r="AB1019" s="17"/>
      <c r="AC1019" s="19"/>
    </row>
    <row r="1020" customFormat="false" ht="22.35" hidden="false" customHeight="false" outlineLevel="0" collapsed="false">
      <c r="A1020" s="10" t="s">
        <v>5121</v>
      </c>
      <c r="B1020" s="17" t="s">
        <v>121</v>
      </c>
      <c r="C1020" s="18" t="s">
        <v>122</v>
      </c>
      <c r="D1020" s="17" t="s">
        <v>19</v>
      </c>
      <c r="E1020" s="17" t="s">
        <v>75</v>
      </c>
      <c r="F1020" s="17" t="s">
        <v>4845</v>
      </c>
      <c r="G1020" s="17" t="s">
        <v>973</v>
      </c>
      <c r="H1020" s="17" t="s">
        <v>30</v>
      </c>
      <c r="I1020" s="17" t="s">
        <v>277</v>
      </c>
      <c r="J1020" s="17" t="s">
        <v>233</v>
      </c>
      <c r="K1020" s="19"/>
      <c r="L1020" s="19"/>
      <c r="M1020" s="19"/>
      <c r="N1020" s="19"/>
      <c r="O1020" s="17" t="n">
        <v>2</v>
      </c>
      <c r="P1020" s="18" t="s">
        <v>5058</v>
      </c>
      <c r="Q1020" s="18" t="s">
        <v>5102</v>
      </c>
      <c r="R1020" s="18" t="s">
        <v>5122</v>
      </c>
      <c r="S1020" s="17" t="s">
        <v>5123</v>
      </c>
      <c r="T1020" s="18" t="s">
        <v>5124</v>
      </c>
      <c r="U1020" s="19"/>
      <c r="V1020" s="18" t="s">
        <v>5125</v>
      </c>
      <c r="W1020" s="17" t="s">
        <v>240</v>
      </c>
      <c r="X1020" s="17" t="s">
        <v>5111</v>
      </c>
      <c r="Y1020" s="17" t="s">
        <v>242</v>
      </c>
      <c r="Z1020" s="19"/>
      <c r="AA1020" s="19"/>
      <c r="AB1020" s="17"/>
      <c r="AC1020" s="19"/>
    </row>
    <row r="1021" customFormat="false" ht="22.35" hidden="false" customHeight="false" outlineLevel="0" collapsed="false">
      <c r="A1021" s="10" t="s">
        <v>5126</v>
      </c>
      <c r="B1021" s="17" t="s">
        <v>121</v>
      </c>
      <c r="C1021" s="18" t="s">
        <v>122</v>
      </c>
      <c r="D1021" s="17" t="s">
        <v>19</v>
      </c>
      <c r="E1021" s="17" t="s">
        <v>75</v>
      </c>
      <c r="F1021" s="17" t="s">
        <v>4845</v>
      </c>
      <c r="G1021" s="17" t="s">
        <v>973</v>
      </c>
      <c r="H1021" s="17" t="s">
        <v>30</v>
      </c>
      <c r="I1021" s="17" t="s">
        <v>316</v>
      </c>
      <c r="J1021" s="17" t="s">
        <v>233</v>
      </c>
      <c r="K1021" s="19"/>
      <c r="L1021" s="19"/>
      <c r="M1021" s="19"/>
      <c r="N1021" s="19"/>
      <c r="O1021" s="17" t="n">
        <v>1</v>
      </c>
      <c r="P1021" s="18" t="s">
        <v>5058</v>
      </c>
      <c r="Q1021" s="18" t="s">
        <v>5127</v>
      </c>
      <c r="R1021" s="18" t="s">
        <v>5128</v>
      </c>
      <c r="S1021" s="17" t="s">
        <v>5129</v>
      </c>
      <c r="T1021" s="18" t="s">
        <v>5130</v>
      </c>
      <c r="U1021" s="19"/>
      <c r="V1021" s="18" t="s">
        <v>5131</v>
      </c>
      <c r="W1021" s="17" t="s">
        <v>240</v>
      </c>
      <c r="X1021" s="17" t="s">
        <v>5132</v>
      </c>
      <c r="Y1021" s="17" t="s">
        <v>242</v>
      </c>
      <c r="Z1021" s="19"/>
      <c r="AA1021" s="19"/>
      <c r="AB1021" s="17"/>
      <c r="AC1021" s="19"/>
    </row>
    <row r="1022" customFormat="false" ht="22.35" hidden="false" customHeight="false" outlineLevel="0" collapsed="false">
      <c r="A1022" s="10" t="s">
        <v>5133</v>
      </c>
      <c r="B1022" s="17" t="s">
        <v>121</v>
      </c>
      <c r="C1022" s="18" t="s">
        <v>122</v>
      </c>
      <c r="D1022" s="17" t="s">
        <v>19</v>
      </c>
      <c r="E1022" s="17" t="s">
        <v>75</v>
      </c>
      <c r="F1022" s="17" t="s">
        <v>4845</v>
      </c>
      <c r="G1022" s="17" t="s">
        <v>973</v>
      </c>
      <c r="H1022" s="17" t="s">
        <v>30</v>
      </c>
      <c r="I1022" s="17" t="s">
        <v>277</v>
      </c>
      <c r="J1022" s="17" t="s">
        <v>233</v>
      </c>
      <c r="K1022" s="19"/>
      <c r="L1022" s="19"/>
      <c r="M1022" s="19"/>
      <c r="N1022" s="19"/>
      <c r="O1022" s="17" t="n">
        <v>1</v>
      </c>
      <c r="P1022" s="18" t="s">
        <v>5058</v>
      </c>
      <c r="Q1022" s="18" t="s">
        <v>5127</v>
      </c>
      <c r="R1022" s="18" t="s">
        <v>5134</v>
      </c>
      <c r="S1022" s="17" t="s">
        <v>5126</v>
      </c>
      <c r="T1022" s="18" t="s">
        <v>5085</v>
      </c>
      <c r="U1022" s="19"/>
      <c r="V1022" s="18" t="s">
        <v>5135</v>
      </c>
      <c r="W1022" s="17" t="s">
        <v>240</v>
      </c>
      <c r="X1022" s="17" t="s">
        <v>5136</v>
      </c>
      <c r="Y1022" s="17" t="s">
        <v>242</v>
      </c>
      <c r="Z1022" s="19"/>
      <c r="AA1022" s="19"/>
      <c r="AB1022" s="17"/>
      <c r="AC1022" s="19"/>
    </row>
    <row r="1023" customFormat="false" ht="22.35" hidden="false" customHeight="false" outlineLevel="0" collapsed="false">
      <c r="A1023" s="10" t="s">
        <v>5137</v>
      </c>
      <c r="B1023" s="17" t="s">
        <v>121</v>
      </c>
      <c r="C1023" s="18" t="s">
        <v>122</v>
      </c>
      <c r="D1023" s="17" t="s">
        <v>19</v>
      </c>
      <c r="E1023" s="17" t="s">
        <v>229</v>
      </c>
      <c r="F1023" s="17" t="s">
        <v>4845</v>
      </c>
      <c r="G1023" s="17" t="s">
        <v>973</v>
      </c>
      <c r="H1023" s="17" t="s">
        <v>30</v>
      </c>
      <c r="I1023" s="17" t="s">
        <v>277</v>
      </c>
      <c r="J1023" s="17" t="s">
        <v>233</v>
      </c>
      <c r="K1023" s="19"/>
      <c r="L1023" s="19"/>
      <c r="M1023" s="19"/>
      <c r="N1023" s="19"/>
      <c r="O1023" s="17" t="n">
        <v>1</v>
      </c>
      <c r="P1023" s="18" t="s">
        <v>5058</v>
      </c>
      <c r="Q1023" s="18" t="s">
        <v>5127</v>
      </c>
      <c r="R1023" s="18" t="s">
        <v>5138</v>
      </c>
      <c r="S1023" s="17" t="s">
        <v>5068</v>
      </c>
      <c r="T1023" s="18" t="s">
        <v>5139</v>
      </c>
      <c r="U1023" s="19"/>
      <c r="V1023" s="18" t="s">
        <v>5140</v>
      </c>
      <c r="W1023" s="17" t="s">
        <v>240</v>
      </c>
      <c r="X1023" s="17" t="s">
        <v>5141</v>
      </c>
      <c r="Y1023" s="17" t="s">
        <v>242</v>
      </c>
      <c r="Z1023" s="19"/>
      <c r="AA1023" s="19"/>
      <c r="AB1023" s="17"/>
      <c r="AC1023" s="19"/>
    </row>
    <row r="1024" customFormat="false" ht="22.35" hidden="false" customHeight="false" outlineLevel="0" collapsed="false">
      <c r="A1024" s="10" t="s">
        <v>5142</v>
      </c>
      <c r="B1024" s="17" t="s">
        <v>121</v>
      </c>
      <c r="C1024" s="18" t="s">
        <v>122</v>
      </c>
      <c r="D1024" s="17" t="s">
        <v>19</v>
      </c>
      <c r="E1024" s="17" t="s">
        <v>75</v>
      </c>
      <c r="F1024" s="17" t="s">
        <v>4845</v>
      </c>
      <c r="G1024" s="17" t="s">
        <v>973</v>
      </c>
      <c r="H1024" s="17" t="s">
        <v>30</v>
      </c>
      <c r="I1024" s="17" t="s">
        <v>333</v>
      </c>
      <c r="J1024" s="17" t="s">
        <v>233</v>
      </c>
      <c r="K1024" s="19"/>
      <c r="L1024" s="19"/>
      <c r="M1024" s="19"/>
      <c r="N1024" s="19"/>
      <c r="O1024" s="17" t="n">
        <v>4</v>
      </c>
      <c r="P1024" s="18" t="s">
        <v>5058</v>
      </c>
      <c r="Q1024" s="18" t="s">
        <v>5143</v>
      </c>
      <c r="R1024" s="18" t="s">
        <v>5144</v>
      </c>
      <c r="S1024" s="17" t="s">
        <v>5095</v>
      </c>
      <c r="T1024" s="18" t="s">
        <v>5145</v>
      </c>
      <c r="U1024" s="19"/>
      <c r="V1024" s="18" t="s">
        <v>5146</v>
      </c>
      <c r="W1024" s="17" t="s">
        <v>240</v>
      </c>
      <c r="X1024" s="17" t="s">
        <v>5147</v>
      </c>
      <c r="Y1024" s="17" t="s">
        <v>242</v>
      </c>
      <c r="Z1024" s="19"/>
      <c r="AA1024" s="19"/>
      <c r="AB1024" s="17"/>
      <c r="AC1024" s="19"/>
    </row>
    <row r="1025" customFormat="false" ht="22.35" hidden="false" customHeight="false" outlineLevel="0" collapsed="false">
      <c r="A1025" s="10" t="s">
        <v>5148</v>
      </c>
      <c r="B1025" s="17" t="s">
        <v>121</v>
      </c>
      <c r="C1025" s="18" t="s">
        <v>122</v>
      </c>
      <c r="D1025" s="17" t="s">
        <v>19</v>
      </c>
      <c r="E1025" s="17" t="s">
        <v>229</v>
      </c>
      <c r="F1025" s="17" t="s">
        <v>4845</v>
      </c>
      <c r="G1025" s="17" t="s">
        <v>973</v>
      </c>
      <c r="H1025" s="17" t="s">
        <v>30</v>
      </c>
      <c r="I1025" s="17" t="s">
        <v>232</v>
      </c>
      <c r="J1025" s="17" t="s">
        <v>233</v>
      </c>
      <c r="K1025" s="19"/>
      <c r="L1025" s="19"/>
      <c r="M1025" s="19"/>
      <c r="N1025" s="19"/>
      <c r="O1025" s="17" t="n">
        <v>0</v>
      </c>
      <c r="P1025" s="18" t="s">
        <v>5058</v>
      </c>
      <c r="Q1025" s="18" t="s">
        <v>5143</v>
      </c>
      <c r="R1025" s="18" t="s">
        <v>5149</v>
      </c>
      <c r="S1025" s="17" t="s">
        <v>5057</v>
      </c>
      <c r="T1025" s="18" t="s">
        <v>2861</v>
      </c>
      <c r="U1025" s="19"/>
      <c r="V1025" s="18" t="s">
        <v>5150</v>
      </c>
      <c r="W1025" s="17" t="s">
        <v>240</v>
      </c>
      <c r="X1025" s="17" t="s">
        <v>5151</v>
      </c>
      <c r="Y1025" s="17" t="s">
        <v>242</v>
      </c>
      <c r="Z1025" s="19"/>
      <c r="AA1025" s="19"/>
      <c r="AB1025" s="17"/>
      <c r="AC1025" s="19"/>
    </row>
    <row r="1026" customFormat="false" ht="22.35" hidden="false" customHeight="false" outlineLevel="0" collapsed="false">
      <c r="A1026" s="10" t="s">
        <v>5152</v>
      </c>
      <c r="B1026" s="17" t="s">
        <v>121</v>
      </c>
      <c r="C1026" s="18" t="s">
        <v>122</v>
      </c>
      <c r="D1026" s="17" t="s">
        <v>19</v>
      </c>
      <c r="E1026" s="17" t="s">
        <v>229</v>
      </c>
      <c r="F1026" s="17" t="s">
        <v>4845</v>
      </c>
      <c r="G1026" s="17" t="s">
        <v>973</v>
      </c>
      <c r="H1026" s="17" t="s">
        <v>30</v>
      </c>
      <c r="I1026" s="17" t="s">
        <v>928</v>
      </c>
      <c r="J1026" s="17" t="s">
        <v>233</v>
      </c>
      <c r="K1026" s="19"/>
      <c r="L1026" s="19"/>
      <c r="M1026" s="19"/>
      <c r="N1026" s="19"/>
      <c r="O1026" s="17" t="n">
        <v>0</v>
      </c>
      <c r="P1026" s="18" t="s">
        <v>5058</v>
      </c>
      <c r="Q1026" s="18" t="s">
        <v>5143</v>
      </c>
      <c r="R1026" s="18" t="s">
        <v>5153</v>
      </c>
      <c r="S1026" s="17" t="s">
        <v>5148</v>
      </c>
      <c r="T1026" s="18" t="s">
        <v>788</v>
      </c>
      <c r="U1026" s="19"/>
      <c r="V1026" s="18" t="s">
        <v>5154</v>
      </c>
      <c r="W1026" s="17" t="s">
        <v>240</v>
      </c>
      <c r="X1026" s="17" t="s">
        <v>5151</v>
      </c>
      <c r="Y1026" s="17" t="s">
        <v>242</v>
      </c>
      <c r="Z1026" s="19"/>
      <c r="AA1026" s="19"/>
      <c r="AB1026" s="17"/>
      <c r="AC1026" s="19"/>
    </row>
    <row r="1027" customFormat="false" ht="22.35" hidden="false" customHeight="false" outlineLevel="0" collapsed="false">
      <c r="A1027" s="10" t="s">
        <v>5155</v>
      </c>
      <c r="B1027" s="17" t="s">
        <v>121</v>
      </c>
      <c r="C1027" s="18" t="s">
        <v>122</v>
      </c>
      <c r="D1027" s="17" t="s">
        <v>19</v>
      </c>
      <c r="E1027" s="17" t="s">
        <v>75</v>
      </c>
      <c r="F1027" s="17" t="s">
        <v>4845</v>
      </c>
      <c r="G1027" s="17" t="s">
        <v>973</v>
      </c>
      <c r="H1027" s="17" t="s">
        <v>30</v>
      </c>
      <c r="I1027" s="17" t="s">
        <v>283</v>
      </c>
      <c r="J1027" s="17" t="s">
        <v>233</v>
      </c>
      <c r="K1027" s="19"/>
      <c r="L1027" s="19"/>
      <c r="M1027" s="19"/>
      <c r="N1027" s="19"/>
      <c r="O1027" s="17" t="n">
        <v>4</v>
      </c>
      <c r="P1027" s="18" t="s">
        <v>5058</v>
      </c>
      <c r="Q1027" s="18" t="s">
        <v>4948</v>
      </c>
      <c r="R1027" s="18" t="s">
        <v>5156</v>
      </c>
      <c r="S1027" s="17" t="s">
        <v>5157</v>
      </c>
      <c r="T1027" s="18" t="s">
        <v>4951</v>
      </c>
      <c r="U1027" s="19"/>
      <c r="V1027" s="18" t="s">
        <v>5158</v>
      </c>
      <c r="W1027" s="17" t="s">
        <v>240</v>
      </c>
      <c r="X1027" s="17" t="s">
        <v>4953</v>
      </c>
      <c r="Y1027" s="17" t="s">
        <v>242</v>
      </c>
      <c r="Z1027" s="19"/>
      <c r="AA1027" s="19"/>
      <c r="AB1027" s="17"/>
      <c r="AC1027" s="19"/>
    </row>
    <row r="1028" customFormat="false" ht="22.35" hidden="false" customHeight="false" outlineLevel="0" collapsed="false">
      <c r="A1028" s="10" t="s">
        <v>5159</v>
      </c>
      <c r="B1028" s="17" t="s">
        <v>121</v>
      </c>
      <c r="C1028" s="18" t="s">
        <v>122</v>
      </c>
      <c r="D1028" s="17" t="s">
        <v>19</v>
      </c>
      <c r="E1028" s="17" t="s">
        <v>75</v>
      </c>
      <c r="F1028" s="17" t="s">
        <v>4845</v>
      </c>
      <c r="G1028" s="17" t="s">
        <v>5160</v>
      </c>
      <c r="H1028" s="17" t="s">
        <v>30</v>
      </c>
      <c r="I1028" s="17" t="s">
        <v>974</v>
      </c>
      <c r="J1028" s="17" t="s">
        <v>233</v>
      </c>
      <c r="K1028" s="19"/>
      <c r="L1028" s="19"/>
      <c r="M1028" s="19"/>
      <c r="N1028" s="19"/>
      <c r="O1028" s="17" t="n">
        <v>2</v>
      </c>
      <c r="P1028" s="18" t="s">
        <v>5161</v>
      </c>
      <c r="Q1028" s="18" t="s">
        <v>5162</v>
      </c>
      <c r="R1028" s="18" t="s">
        <v>5163</v>
      </c>
      <c r="S1028" s="17" t="s">
        <v>4976</v>
      </c>
      <c r="T1028" s="18" t="s">
        <v>5164</v>
      </c>
      <c r="U1028" s="19"/>
      <c r="V1028" s="18" t="s">
        <v>5165</v>
      </c>
      <c r="W1028" s="17" t="s">
        <v>240</v>
      </c>
      <c r="X1028" s="17" t="s">
        <v>5166</v>
      </c>
      <c r="Y1028" s="17" t="s">
        <v>242</v>
      </c>
      <c r="Z1028" s="19"/>
      <c r="AA1028" s="19"/>
      <c r="AB1028" s="17"/>
      <c r="AC1028" s="19"/>
    </row>
    <row r="1029" customFormat="false" ht="22.35" hidden="false" customHeight="false" outlineLevel="0" collapsed="false">
      <c r="A1029" s="10" t="s">
        <v>5167</v>
      </c>
      <c r="B1029" s="17" t="s">
        <v>121</v>
      </c>
      <c r="C1029" s="18" t="s">
        <v>122</v>
      </c>
      <c r="D1029" s="17" t="s">
        <v>19</v>
      </c>
      <c r="E1029" s="17" t="s">
        <v>75</v>
      </c>
      <c r="F1029" s="17" t="s">
        <v>4845</v>
      </c>
      <c r="G1029" s="17" t="s">
        <v>5160</v>
      </c>
      <c r="H1029" s="17" t="s">
        <v>30</v>
      </c>
      <c r="I1029" s="17" t="s">
        <v>974</v>
      </c>
      <c r="J1029" s="17" t="s">
        <v>233</v>
      </c>
      <c r="K1029" s="19"/>
      <c r="L1029" s="19"/>
      <c r="M1029" s="19"/>
      <c r="N1029" s="19"/>
      <c r="O1029" s="17" t="n">
        <v>2</v>
      </c>
      <c r="P1029" s="18" t="s">
        <v>5161</v>
      </c>
      <c r="Q1029" s="18" t="s">
        <v>5162</v>
      </c>
      <c r="R1029" s="18" t="s">
        <v>5168</v>
      </c>
      <c r="S1029" s="17" t="s">
        <v>5159</v>
      </c>
      <c r="T1029" s="18" t="s">
        <v>5169</v>
      </c>
      <c r="U1029" s="19"/>
      <c r="V1029" s="18" t="s">
        <v>5170</v>
      </c>
      <c r="W1029" s="17" t="s">
        <v>240</v>
      </c>
      <c r="X1029" s="17" t="s">
        <v>5166</v>
      </c>
      <c r="Y1029" s="17" t="s">
        <v>242</v>
      </c>
      <c r="Z1029" s="19"/>
      <c r="AA1029" s="19"/>
      <c r="AB1029" s="17"/>
      <c r="AC1029" s="19"/>
    </row>
    <row r="1030" customFormat="false" ht="22.35" hidden="false" customHeight="false" outlineLevel="0" collapsed="false">
      <c r="A1030" s="10" t="s">
        <v>5171</v>
      </c>
      <c r="B1030" s="17" t="s">
        <v>121</v>
      </c>
      <c r="C1030" s="18" t="s">
        <v>122</v>
      </c>
      <c r="D1030" s="17" t="s">
        <v>19</v>
      </c>
      <c r="E1030" s="17" t="s">
        <v>75</v>
      </c>
      <c r="F1030" s="17" t="s">
        <v>4845</v>
      </c>
      <c r="G1030" s="17" t="s">
        <v>5160</v>
      </c>
      <c r="H1030" s="17" t="s">
        <v>30</v>
      </c>
      <c r="I1030" s="17" t="s">
        <v>1786</v>
      </c>
      <c r="J1030" s="17" t="s">
        <v>233</v>
      </c>
      <c r="K1030" s="19"/>
      <c r="L1030" s="19"/>
      <c r="M1030" s="19"/>
      <c r="N1030" s="19"/>
      <c r="O1030" s="17" t="n">
        <v>2</v>
      </c>
      <c r="P1030" s="18" t="s">
        <v>5161</v>
      </c>
      <c r="Q1030" s="18" t="s">
        <v>5162</v>
      </c>
      <c r="R1030" s="18" t="s">
        <v>5172</v>
      </c>
      <c r="S1030" s="17" t="s">
        <v>5167</v>
      </c>
      <c r="T1030" s="18" t="s">
        <v>5173</v>
      </c>
      <c r="U1030" s="19"/>
      <c r="V1030" s="18" t="s">
        <v>5174</v>
      </c>
      <c r="W1030" s="17" t="s">
        <v>240</v>
      </c>
      <c r="X1030" s="17" t="s">
        <v>5175</v>
      </c>
      <c r="Y1030" s="17" t="s">
        <v>242</v>
      </c>
      <c r="Z1030" s="19"/>
      <c r="AA1030" s="19"/>
      <c r="AB1030" s="17"/>
      <c r="AC1030" s="19"/>
    </row>
    <row r="1031" customFormat="false" ht="22.35" hidden="false" customHeight="false" outlineLevel="0" collapsed="false">
      <c r="A1031" s="10" t="s">
        <v>5176</v>
      </c>
      <c r="B1031" s="17" t="s">
        <v>121</v>
      </c>
      <c r="C1031" s="18" t="s">
        <v>122</v>
      </c>
      <c r="D1031" s="17" t="s">
        <v>19</v>
      </c>
      <c r="E1031" s="17" t="s">
        <v>75</v>
      </c>
      <c r="F1031" s="17" t="s">
        <v>4845</v>
      </c>
      <c r="G1031" s="17" t="s">
        <v>5160</v>
      </c>
      <c r="H1031" s="17" t="s">
        <v>30</v>
      </c>
      <c r="I1031" s="17" t="s">
        <v>277</v>
      </c>
      <c r="J1031" s="17" t="s">
        <v>233</v>
      </c>
      <c r="K1031" s="19"/>
      <c r="L1031" s="19"/>
      <c r="M1031" s="19"/>
      <c r="N1031" s="19"/>
      <c r="O1031" s="17" t="n">
        <v>2</v>
      </c>
      <c r="P1031" s="18" t="s">
        <v>5161</v>
      </c>
      <c r="Q1031" s="18" t="s">
        <v>5162</v>
      </c>
      <c r="R1031" s="18" t="s">
        <v>5177</v>
      </c>
      <c r="S1031" s="17" t="s">
        <v>5167</v>
      </c>
      <c r="T1031" s="18" t="s">
        <v>5178</v>
      </c>
      <c r="U1031" s="19"/>
      <c r="V1031" s="18" t="s">
        <v>5179</v>
      </c>
      <c r="W1031" s="17" t="s">
        <v>240</v>
      </c>
      <c r="X1031" s="17" t="s">
        <v>5166</v>
      </c>
      <c r="Y1031" s="17" t="s">
        <v>242</v>
      </c>
      <c r="Z1031" s="19"/>
      <c r="AA1031" s="19"/>
      <c r="AB1031" s="17"/>
      <c r="AC1031" s="19"/>
    </row>
    <row r="1032" customFormat="false" ht="22.35" hidden="false" customHeight="false" outlineLevel="0" collapsed="false">
      <c r="A1032" s="10" t="s">
        <v>5180</v>
      </c>
      <c r="B1032" s="17" t="s">
        <v>121</v>
      </c>
      <c r="C1032" s="18" t="s">
        <v>122</v>
      </c>
      <c r="D1032" s="17" t="s">
        <v>19</v>
      </c>
      <c r="E1032" s="17" t="s">
        <v>75</v>
      </c>
      <c r="F1032" s="17" t="s">
        <v>4845</v>
      </c>
      <c r="G1032" s="17" t="s">
        <v>5160</v>
      </c>
      <c r="H1032" s="17" t="s">
        <v>30</v>
      </c>
      <c r="I1032" s="17" t="s">
        <v>974</v>
      </c>
      <c r="J1032" s="17" t="s">
        <v>233</v>
      </c>
      <c r="K1032" s="19"/>
      <c r="L1032" s="19"/>
      <c r="M1032" s="19"/>
      <c r="N1032" s="19"/>
      <c r="O1032" s="17" t="n">
        <v>2</v>
      </c>
      <c r="P1032" s="18" t="s">
        <v>5161</v>
      </c>
      <c r="Q1032" s="18" t="s">
        <v>5181</v>
      </c>
      <c r="R1032" s="18" t="s">
        <v>5182</v>
      </c>
      <c r="S1032" s="17" t="s">
        <v>5171</v>
      </c>
      <c r="T1032" s="18" t="s">
        <v>5183</v>
      </c>
      <c r="U1032" s="19"/>
      <c r="V1032" s="18" t="s">
        <v>5184</v>
      </c>
      <c r="W1032" s="17" t="s">
        <v>240</v>
      </c>
      <c r="X1032" s="17" t="s">
        <v>5166</v>
      </c>
      <c r="Y1032" s="17" t="s">
        <v>242</v>
      </c>
      <c r="Z1032" s="19"/>
      <c r="AA1032" s="19"/>
      <c r="AB1032" s="17"/>
      <c r="AC1032" s="19"/>
    </row>
    <row r="1033" customFormat="false" ht="22.35" hidden="false" customHeight="false" outlineLevel="0" collapsed="false">
      <c r="A1033" s="10" t="s">
        <v>5185</v>
      </c>
      <c r="B1033" s="17" t="s">
        <v>121</v>
      </c>
      <c r="C1033" s="18" t="s">
        <v>122</v>
      </c>
      <c r="D1033" s="17" t="s">
        <v>19</v>
      </c>
      <c r="E1033" s="17" t="s">
        <v>75</v>
      </c>
      <c r="F1033" s="17" t="s">
        <v>4845</v>
      </c>
      <c r="G1033" s="17" t="s">
        <v>5160</v>
      </c>
      <c r="H1033" s="17" t="s">
        <v>30</v>
      </c>
      <c r="I1033" s="17" t="s">
        <v>974</v>
      </c>
      <c r="J1033" s="17" t="s">
        <v>233</v>
      </c>
      <c r="K1033" s="19"/>
      <c r="L1033" s="19"/>
      <c r="M1033" s="19"/>
      <c r="N1033" s="19"/>
      <c r="O1033" s="17" t="n">
        <v>2</v>
      </c>
      <c r="P1033" s="18" t="s">
        <v>5161</v>
      </c>
      <c r="Q1033" s="18" t="s">
        <v>5181</v>
      </c>
      <c r="R1033" s="18" t="s">
        <v>5186</v>
      </c>
      <c r="S1033" s="17" t="s">
        <v>5180</v>
      </c>
      <c r="T1033" s="18" t="s">
        <v>5187</v>
      </c>
      <c r="U1033" s="19"/>
      <c r="V1033" s="18" t="s">
        <v>5188</v>
      </c>
      <c r="W1033" s="17" t="s">
        <v>240</v>
      </c>
      <c r="X1033" s="17" t="s">
        <v>5166</v>
      </c>
      <c r="Y1033" s="17" t="s">
        <v>242</v>
      </c>
      <c r="Z1033" s="19"/>
      <c r="AA1033" s="19"/>
      <c r="AB1033" s="17"/>
      <c r="AC1033" s="19"/>
    </row>
    <row r="1034" customFormat="false" ht="22.35" hidden="false" customHeight="false" outlineLevel="0" collapsed="false">
      <c r="A1034" s="10" t="s">
        <v>5189</v>
      </c>
      <c r="B1034" s="17" t="s">
        <v>121</v>
      </c>
      <c r="C1034" s="18" t="s">
        <v>122</v>
      </c>
      <c r="D1034" s="17" t="s">
        <v>19</v>
      </c>
      <c r="E1034" s="17" t="s">
        <v>229</v>
      </c>
      <c r="F1034" s="17" t="s">
        <v>4845</v>
      </c>
      <c r="G1034" s="17" t="s">
        <v>5160</v>
      </c>
      <c r="H1034" s="17" t="s">
        <v>30</v>
      </c>
      <c r="I1034" s="17" t="s">
        <v>283</v>
      </c>
      <c r="J1034" s="17" t="s">
        <v>233</v>
      </c>
      <c r="K1034" s="19"/>
      <c r="L1034" s="19"/>
      <c r="M1034" s="19"/>
      <c r="N1034" s="19"/>
      <c r="O1034" s="17" t="n">
        <v>2</v>
      </c>
      <c r="P1034" s="18" t="s">
        <v>5161</v>
      </c>
      <c r="Q1034" s="18" t="s">
        <v>5190</v>
      </c>
      <c r="R1034" s="18" t="s">
        <v>5191</v>
      </c>
      <c r="S1034" s="17" t="s">
        <v>5159</v>
      </c>
      <c r="T1034" s="18" t="s">
        <v>5192</v>
      </c>
      <c r="U1034" s="19"/>
      <c r="V1034" s="18" t="s">
        <v>5193</v>
      </c>
      <c r="W1034" s="17" t="s">
        <v>240</v>
      </c>
      <c r="X1034" s="17" t="s">
        <v>5194</v>
      </c>
      <c r="Y1034" s="17" t="s">
        <v>242</v>
      </c>
      <c r="Z1034" s="19"/>
      <c r="AA1034" s="19"/>
      <c r="AB1034" s="17"/>
      <c r="AC1034" s="19"/>
    </row>
    <row r="1035" customFormat="false" ht="22.35" hidden="false" customHeight="false" outlineLevel="0" collapsed="false">
      <c r="A1035" s="10" t="s">
        <v>5195</v>
      </c>
      <c r="B1035" s="17" t="s">
        <v>121</v>
      </c>
      <c r="C1035" s="18" t="s">
        <v>122</v>
      </c>
      <c r="D1035" s="17" t="s">
        <v>19</v>
      </c>
      <c r="E1035" s="17" t="s">
        <v>75</v>
      </c>
      <c r="F1035" s="17" t="s">
        <v>4845</v>
      </c>
      <c r="G1035" s="17" t="s">
        <v>5160</v>
      </c>
      <c r="H1035" s="17" t="s">
        <v>30</v>
      </c>
      <c r="I1035" s="17" t="s">
        <v>974</v>
      </c>
      <c r="J1035" s="17" t="s">
        <v>233</v>
      </c>
      <c r="K1035" s="19"/>
      <c r="L1035" s="19"/>
      <c r="M1035" s="19"/>
      <c r="N1035" s="19"/>
      <c r="O1035" s="17" t="n">
        <v>2</v>
      </c>
      <c r="P1035" s="18" t="s">
        <v>5161</v>
      </c>
      <c r="Q1035" s="18" t="s">
        <v>5190</v>
      </c>
      <c r="R1035" s="18" t="s">
        <v>5196</v>
      </c>
      <c r="S1035" s="17" t="s">
        <v>4907</v>
      </c>
      <c r="T1035" s="18" t="s">
        <v>5197</v>
      </c>
      <c r="U1035" s="19"/>
      <c r="V1035" s="18" t="s">
        <v>5198</v>
      </c>
      <c r="W1035" s="17" t="s">
        <v>240</v>
      </c>
      <c r="X1035" s="17" t="s">
        <v>5166</v>
      </c>
      <c r="Y1035" s="17" t="s">
        <v>242</v>
      </c>
      <c r="Z1035" s="19"/>
      <c r="AA1035" s="19"/>
      <c r="AB1035" s="17"/>
      <c r="AC1035" s="19"/>
    </row>
    <row r="1036" customFormat="false" ht="22.35" hidden="false" customHeight="false" outlineLevel="0" collapsed="false">
      <c r="A1036" s="10" t="s">
        <v>5199</v>
      </c>
      <c r="B1036" s="17" t="s">
        <v>121</v>
      </c>
      <c r="C1036" s="18" t="s">
        <v>122</v>
      </c>
      <c r="D1036" s="17" t="s">
        <v>19</v>
      </c>
      <c r="E1036" s="17" t="s">
        <v>75</v>
      </c>
      <c r="F1036" s="17" t="s">
        <v>4845</v>
      </c>
      <c r="G1036" s="17" t="s">
        <v>5160</v>
      </c>
      <c r="H1036" s="17" t="s">
        <v>30</v>
      </c>
      <c r="I1036" s="17" t="s">
        <v>974</v>
      </c>
      <c r="J1036" s="17" t="s">
        <v>233</v>
      </c>
      <c r="K1036" s="19"/>
      <c r="L1036" s="19"/>
      <c r="M1036" s="19"/>
      <c r="N1036" s="19"/>
      <c r="O1036" s="17" t="n">
        <v>2</v>
      </c>
      <c r="P1036" s="18" t="s">
        <v>5161</v>
      </c>
      <c r="Q1036" s="18" t="s">
        <v>5190</v>
      </c>
      <c r="R1036" s="18" t="s">
        <v>5200</v>
      </c>
      <c r="S1036" s="17" t="s">
        <v>5107</v>
      </c>
      <c r="T1036" s="18" t="s">
        <v>5201</v>
      </c>
      <c r="U1036" s="19"/>
      <c r="V1036" s="18" t="s">
        <v>5202</v>
      </c>
      <c r="W1036" s="17" t="s">
        <v>240</v>
      </c>
      <c r="X1036" s="17" t="s">
        <v>5166</v>
      </c>
      <c r="Y1036" s="17" t="s">
        <v>242</v>
      </c>
      <c r="Z1036" s="19"/>
      <c r="AA1036" s="19"/>
      <c r="AB1036" s="17"/>
      <c r="AC1036" s="19"/>
    </row>
    <row r="1037" customFormat="false" ht="22.35" hidden="false" customHeight="false" outlineLevel="0" collapsed="false">
      <c r="A1037" s="10" t="s">
        <v>5203</v>
      </c>
      <c r="B1037" s="17" t="s">
        <v>121</v>
      </c>
      <c r="C1037" s="18" t="s">
        <v>122</v>
      </c>
      <c r="D1037" s="17" t="s">
        <v>19</v>
      </c>
      <c r="E1037" s="17" t="s">
        <v>75</v>
      </c>
      <c r="F1037" s="17" t="s">
        <v>4845</v>
      </c>
      <c r="G1037" s="17" t="s">
        <v>5160</v>
      </c>
      <c r="H1037" s="17" t="s">
        <v>30</v>
      </c>
      <c r="I1037" s="17" t="s">
        <v>974</v>
      </c>
      <c r="J1037" s="17" t="s">
        <v>233</v>
      </c>
      <c r="K1037" s="19"/>
      <c r="L1037" s="19"/>
      <c r="M1037" s="19"/>
      <c r="N1037" s="19"/>
      <c r="O1037" s="17" t="n">
        <v>2</v>
      </c>
      <c r="P1037" s="18" t="s">
        <v>5161</v>
      </c>
      <c r="Q1037" s="18" t="s">
        <v>5190</v>
      </c>
      <c r="R1037" s="18" t="s">
        <v>5204</v>
      </c>
      <c r="S1037" s="17" t="s">
        <v>5189</v>
      </c>
      <c r="T1037" s="18" t="s">
        <v>5205</v>
      </c>
      <c r="U1037" s="19"/>
      <c r="V1037" s="18" t="s">
        <v>5206</v>
      </c>
      <c r="W1037" s="17" t="s">
        <v>240</v>
      </c>
      <c r="X1037" s="17" t="s">
        <v>5166</v>
      </c>
      <c r="Y1037" s="17" t="s">
        <v>242</v>
      </c>
      <c r="Z1037" s="19"/>
      <c r="AA1037" s="19"/>
      <c r="AB1037" s="17"/>
      <c r="AC1037" s="19"/>
    </row>
    <row r="1038" customFormat="false" ht="22.35" hidden="false" customHeight="false" outlineLevel="0" collapsed="false">
      <c r="A1038" s="10" t="s">
        <v>5207</v>
      </c>
      <c r="B1038" s="17" t="s">
        <v>121</v>
      </c>
      <c r="C1038" s="18" t="s">
        <v>122</v>
      </c>
      <c r="D1038" s="17" t="s">
        <v>19</v>
      </c>
      <c r="E1038" s="17" t="s">
        <v>75</v>
      </c>
      <c r="F1038" s="17" t="s">
        <v>4845</v>
      </c>
      <c r="G1038" s="17" t="s">
        <v>5160</v>
      </c>
      <c r="H1038" s="17" t="s">
        <v>30</v>
      </c>
      <c r="I1038" s="17" t="s">
        <v>974</v>
      </c>
      <c r="J1038" s="17" t="s">
        <v>233</v>
      </c>
      <c r="K1038" s="19"/>
      <c r="L1038" s="19"/>
      <c r="M1038" s="19"/>
      <c r="N1038" s="19"/>
      <c r="O1038" s="17" t="n">
        <v>4</v>
      </c>
      <c r="P1038" s="18" t="s">
        <v>5161</v>
      </c>
      <c r="Q1038" s="18" t="s">
        <v>5190</v>
      </c>
      <c r="R1038" s="18" t="s">
        <v>5208</v>
      </c>
      <c r="S1038" s="17" t="s">
        <v>5209</v>
      </c>
      <c r="T1038" s="18" t="s">
        <v>5210</v>
      </c>
      <c r="U1038" s="19"/>
      <c r="V1038" s="18" t="s">
        <v>5211</v>
      </c>
      <c r="W1038" s="17" t="s">
        <v>240</v>
      </c>
      <c r="X1038" s="17" t="s">
        <v>5166</v>
      </c>
      <c r="Y1038" s="17" t="s">
        <v>242</v>
      </c>
      <c r="Z1038" s="19"/>
      <c r="AA1038" s="19"/>
      <c r="AB1038" s="17"/>
      <c r="AC1038" s="19"/>
    </row>
    <row r="1039" customFormat="false" ht="22.35" hidden="false" customHeight="false" outlineLevel="0" collapsed="false">
      <c r="A1039" s="10" t="s">
        <v>5212</v>
      </c>
      <c r="B1039" s="17" t="s">
        <v>121</v>
      </c>
      <c r="C1039" s="18" t="s">
        <v>122</v>
      </c>
      <c r="D1039" s="17" t="s">
        <v>19</v>
      </c>
      <c r="E1039" s="17" t="s">
        <v>75</v>
      </c>
      <c r="F1039" s="17" t="s">
        <v>4845</v>
      </c>
      <c r="G1039" s="17" t="s">
        <v>5160</v>
      </c>
      <c r="H1039" s="17" t="s">
        <v>30</v>
      </c>
      <c r="I1039" s="17" t="s">
        <v>283</v>
      </c>
      <c r="J1039" s="17" t="s">
        <v>233</v>
      </c>
      <c r="K1039" s="19"/>
      <c r="L1039" s="19"/>
      <c r="M1039" s="19"/>
      <c r="N1039" s="19"/>
      <c r="O1039" s="17" t="n">
        <v>2</v>
      </c>
      <c r="P1039" s="18" t="s">
        <v>5161</v>
      </c>
      <c r="Q1039" s="18" t="s">
        <v>4948</v>
      </c>
      <c r="R1039" s="18" t="s">
        <v>5213</v>
      </c>
      <c r="S1039" s="17" t="s">
        <v>5214</v>
      </c>
      <c r="T1039" s="18" t="s">
        <v>4951</v>
      </c>
      <c r="U1039" s="19"/>
      <c r="V1039" s="18" t="s">
        <v>5215</v>
      </c>
      <c r="W1039" s="17" t="s">
        <v>240</v>
      </c>
      <c r="X1039" s="17" t="s">
        <v>4953</v>
      </c>
      <c r="Y1039" s="17" t="s">
        <v>242</v>
      </c>
      <c r="Z1039" s="19"/>
      <c r="AA1039" s="19"/>
      <c r="AB1039" s="17"/>
      <c r="AC1039" s="19"/>
    </row>
    <row r="1040" customFormat="false" ht="22.35" hidden="false" customHeight="false" outlineLevel="0" collapsed="false">
      <c r="A1040" s="10" t="s">
        <v>1677</v>
      </c>
      <c r="B1040" s="17" t="s">
        <v>121</v>
      </c>
      <c r="C1040" s="18" t="s">
        <v>122</v>
      </c>
      <c r="D1040" s="17" t="s">
        <v>19</v>
      </c>
      <c r="E1040" s="17" t="s">
        <v>75</v>
      </c>
      <c r="F1040" s="17" t="s">
        <v>4845</v>
      </c>
      <c r="G1040" s="17" t="s">
        <v>5160</v>
      </c>
      <c r="H1040" s="17" t="s">
        <v>30</v>
      </c>
      <c r="I1040" s="17" t="s">
        <v>928</v>
      </c>
      <c r="J1040" s="17" t="s">
        <v>233</v>
      </c>
      <c r="K1040" s="19"/>
      <c r="L1040" s="19"/>
      <c r="M1040" s="19"/>
      <c r="N1040" s="19"/>
      <c r="O1040" s="17" t="n">
        <v>1</v>
      </c>
      <c r="P1040" s="18" t="s">
        <v>5216</v>
      </c>
      <c r="Q1040" s="18" t="s">
        <v>5217</v>
      </c>
      <c r="R1040" s="18" t="s">
        <v>5218</v>
      </c>
      <c r="S1040" s="17" t="s">
        <v>5171</v>
      </c>
      <c r="T1040" s="18" t="s">
        <v>5219</v>
      </c>
      <c r="U1040" s="19"/>
      <c r="V1040" s="18" t="s">
        <v>5220</v>
      </c>
      <c r="W1040" s="17" t="s">
        <v>240</v>
      </c>
      <c r="X1040" s="17" t="s">
        <v>5221</v>
      </c>
      <c r="Y1040" s="17" t="s">
        <v>242</v>
      </c>
      <c r="Z1040" s="19"/>
      <c r="AA1040" s="19"/>
      <c r="AB1040" s="17" t="s">
        <v>1681</v>
      </c>
      <c r="AC1040" s="19"/>
    </row>
    <row r="1041" customFormat="false" ht="22.35" hidden="false" customHeight="false" outlineLevel="0" collapsed="false">
      <c r="A1041" s="10" t="s">
        <v>5222</v>
      </c>
      <c r="B1041" s="17" t="s">
        <v>121</v>
      </c>
      <c r="C1041" s="18" t="s">
        <v>122</v>
      </c>
      <c r="D1041" s="17" t="s">
        <v>19</v>
      </c>
      <c r="E1041" s="17" t="s">
        <v>75</v>
      </c>
      <c r="F1041" s="17" t="s">
        <v>4845</v>
      </c>
      <c r="G1041" s="17" t="s">
        <v>5160</v>
      </c>
      <c r="H1041" s="17" t="s">
        <v>30</v>
      </c>
      <c r="I1041" s="17" t="s">
        <v>974</v>
      </c>
      <c r="J1041" s="17" t="s">
        <v>233</v>
      </c>
      <c r="K1041" s="19"/>
      <c r="L1041" s="19"/>
      <c r="M1041" s="19"/>
      <c r="N1041" s="19"/>
      <c r="O1041" s="17" t="n">
        <v>1</v>
      </c>
      <c r="P1041" s="18" t="s">
        <v>5216</v>
      </c>
      <c r="Q1041" s="18" t="s">
        <v>5217</v>
      </c>
      <c r="R1041" s="18" t="s">
        <v>5223</v>
      </c>
      <c r="S1041" s="17" t="s">
        <v>5224</v>
      </c>
      <c r="T1041" s="18" t="s">
        <v>5225</v>
      </c>
      <c r="U1041" s="19"/>
      <c r="V1041" s="18" t="s">
        <v>5226</v>
      </c>
      <c r="W1041" s="17" t="s">
        <v>240</v>
      </c>
      <c r="X1041" s="17" t="s">
        <v>5227</v>
      </c>
      <c r="Y1041" s="17" t="s">
        <v>242</v>
      </c>
      <c r="Z1041" s="19"/>
      <c r="AA1041" s="19"/>
      <c r="AB1041" s="17" t="s">
        <v>1681</v>
      </c>
      <c r="AC1041" s="19"/>
    </row>
    <row r="1042" customFormat="false" ht="22.35" hidden="false" customHeight="false" outlineLevel="0" collapsed="false">
      <c r="A1042" s="10" t="s">
        <v>5228</v>
      </c>
      <c r="B1042" s="17" t="s">
        <v>121</v>
      </c>
      <c r="C1042" s="18" t="s">
        <v>122</v>
      </c>
      <c r="D1042" s="17" t="s">
        <v>19</v>
      </c>
      <c r="E1042" s="17" t="s">
        <v>75</v>
      </c>
      <c r="F1042" s="17" t="s">
        <v>4845</v>
      </c>
      <c r="G1042" s="17" t="s">
        <v>5160</v>
      </c>
      <c r="H1042" s="17" t="s">
        <v>30</v>
      </c>
      <c r="I1042" s="17" t="s">
        <v>974</v>
      </c>
      <c r="J1042" s="17" t="s">
        <v>233</v>
      </c>
      <c r="K1042" s="19"/>
      <c r="L1042" s="19"/>
      <c r="M1042" s="19"/>
      <c r="N1042" s="19"/>
      <c r="O1042" s="17" t="n">
        <v>2</v>
      </c>
      <c r="P1042" s="18" t="s">
        <v>5216</v>
      </c>
      <c r="Q1042" s="18" t="s">
        <v>5217</v>
      </c>
      <c r="R1042" s="18" t="s">
        <v>5229</v>
      </c>
      <c r="S1042" s="17" t="s">
        <v>5230</v>
      </c>
      <c r="T1042" s="18" t="s">
        <v>2209</v>
      </c>
      <c r="U1042" s="19"/>
      <c r="V1042" s="18" t="s">
        <v>5231</v>
      </c>
      <c r="W1042" s="17" t="s">
        <v>240</v>
      </c>
      <c r="X1042" s="17" t="s">
        <v>5227</v>
      </c>
      <c r="Y1042" s="17" t="s">
        <v>242</v>
      </c>
      <c r="Z1042" s="19"/>
      <c r="AA1042" s="19"/>
      <c r="AB1042" s="17"/>
      <c r="AC1042" s="19"/>
    </row>
    <row r="1043" customFormat="false" ht="22.35" hidden="false" customHeight="false" outlineLevel="0" collapsed="false">
      <c r="A1043" s="10" t="s">
        <v>5232</v>
      </c>
      <c r="B1043" s="17" t="s">
        <v>121</v>
      </c>
      <c r="C1043" s="18" t="s">
        <v>122</v>
      </c>
      <c r="D1043" s="17" t="s">
        <v>19</v>
      </c>
      <c r="E1043" s="17" t="s">
        <v>75</v>
      </c>
      <c r="F1043" s="17" t="s">
        <v>4845</v>
      </c>
      <c r="G1043" s="17" t="s">
        <v>5160</v>
      </c>
      <c r="H1043" s="17" t="s">
        <v>30</v>
      </c>
      <c r="I1043" s="17" t="s">
        <v>974</v>
      </c>
      <c r="J1043" s="17" t="s">
        <v>233</v>
      </c>
      <c r="K1043" s="19"/>
      <c r="L1043" s="19"/>
      <c r="M1043" s="19"/>
      <c r="N1043" s="19"/>
      <c r="O1043" s="17" t="n">
        <v>2</v>
      </c>
      <c r="P1043" s="18" t="s">
        <v>5216</v>
      </c>
      <c r="Q1043" s="18" t="s">
        <v>5217</v>
      </c>
      <c r="R1043" s="18" t="s">
        <v>5233</v>
      </c>
      <c r="S1043" s="17" t="s">
        <v>5234</v>
      </c>
      <c r="T1043" s="18" t="s">
        <v>2209</v>
      </c>
      <c r="U1043" s="19"/>
      <c r="V1043" s="18" t="s">
        <v>5235</v>
      </c>
      <c r="W1043" s="17" t="s">
        <v>240</v>
      </c>
      <c r="X1043" s="17" t="s">
        <v>5236</v>
      </c>
      <c r="Y1043" s="17" t="s">
        <v>242</v>
      </c>
      <c r="Z1043" s="19"/>
      <c r="AA1043" s="19"/>
      <c r="AB1043" s="17"/>
      <c r="AC1043" s="19"/>
    </row>
    <row r="1044" customFormat="false" ht="22.35" hidden="false" customHeight="false" outlineLevel="0" collapsed="false">
      <c r="A1044" s="10" t="s">
        <v>5237</v>
      </c>
      <c r="B1044" s="17" t="s">
        <v>121</v>
      </c>
      <c r="C1044" s="18" t="s">
        <v>122</v>
      </c>
      <c r="D1044" s="17" t="s">
        <v>19</v>
      </c>
      <c r="E1044" s="17" t="s">
        <v>75</v>
      </c>
      <c r="F1044" s="17" t="s">
        <v>4845</v>
      </c>
      <c r="G1044" s="17" t="s">
        <v>5160</v>
      </c>
      <c r="H1044" s="17" t="s">
        <v>30</v>
      </c>
      <c r="I1044" s="17" t="s">
        <v>974</v>
      </c>
      <c r="J1044" s="17" t="s">
        <v>233</v>
      </c>
      <c r="K1044" s="19"/>
      <c r="L1044" s="19"/>
      <c r="M1044" s="19"/>
      <c r="N1044" s="19"/>
      <c r="O1044" s="17" t="n">
        <v>2</v>
      </c>
      <c r="P1044" s="18" t="s">
        <v>5216</v>
      </c>
      <c r="Q1044" s="18" t="s">
        <v>5217</v>
      </c>
      <c r="R1044" s="18" t="s">
        <v>5238</v>
      </c>
      <c r="S1044" s="17" t="s">
        <v>5239</v>
      </c>
      <c r="T1044" s="18" t="s">
        <v>2209</v>
      </c>
      <c r="U1044" s="19"/>
      <c r="V1044" s="18" t="s">
        <v>5240</v>
      </c>
      <c r="W1044" s="17" t="s">
        <v>240</v>
      </c>
      <c r="X1044" s="17" t="s">
        <v>5241</v>
      </c>
      <c r="Y1044" s="17" t="s">
        <v>242</v>
      </c>
      <c r="Z1044" s="19"/>
      <c r="AA1044" s="19"/>
      <c r="AB1044" s="17"/>
      <c r="AC1044" s="19"/>
    </row>
    <row r="1045" customFormat="false" ht="22.35" hidden="false" customHeight="false" outlineLevel="0" collapsed="false">
      <c r="A1045" s="10" t="s">
        <v>5242</v>
      </c>
      <c r="B1045" s="17" t="s">
        <v>121</v>
      </c>
      <c r="C1045" s="18" t="s">
        <v>122</v>
      </c>
      <c r="D1045" s="17" t="s">
        <v>19</v>
      </c>
      <c r="E1045" s="17" t="s">
        <v>75</v>
      </c>
      <c r="F1045" s="17" t="s">
        <v>4845</v>
      </c>
      <c r="G1045" s="17" t="s">
        <v>5160</v>
      </c>
      <c r="H1045" s="17" t="s">
        <v>30</v>
      </c>
      <c r="I1045" s="17" t="s">
        <v>277</v>
      </c>
      <c r="J1045" s="17" t="s">
        <v>233</v>
      </c>
      <c r="K1045" s="19"/>
      <c r="L1045" s="19"/>
      <c r="M1045" s="19"/>
      <c r="N1045" s="19"/>
      <c r="O1045" s="17" t="n">
        <v>2</v>
      </c>
      <c r="P1045" s="18" t="s">
        <v>5216</v>
      </c>
      <c r="Q1045" s="18" t="s">
        <v>5243</v>
      </c>
      <c r="R1045" s="18" t="s">
        <v>5244</v>
      </c>
      <c r="S1045" s="17" t="s">
        <v>5222</v>
      </c>
      <c r="T1045" s="18" t="s">
        <v>5245</v>
      </c>
      <c r="U1045" s="19"/>
      <c r="V1045" s="18" t="s">
        <v>5246</v>
      </c>
      <c r="W1045" s="17" t="s">
        <v>240</v>
      </c>
      <c r="X1045" s="17" t="s">
        <v>5247</v>
      </c>
      <c r="Y1045" s="17" t="s">
        <v>242</v>
      </c>
      <c r="Z1045" s="19"/>
      <c r="AA1045" s="19"/>
      <c r="AB1045" s="17"/>
      <c r="AC1045" s="19"/>
    </row>
    <row r="1046" customFormat="false" ht="22.35" hidden="false" customHeight="false" outlineLevel="0" collapsed="false">
      <c r="A1046" s="10" t="s">
        <v>5248</v>
      </c>
      <c r="B1046" s="17" t="s">
        <v>121</v>
      </c>
      <c r="C1046" s="18" t="s">
        <v>122</v>
      </c>
      <c r="D1046" s="17" t="s">
        <v>19</v>
      </c>
      <c r="E1046" s="17" t="s">
        <v>75</v>
      </c>
      <c r="F1046" s="17" t="s">
        <v>4845</v>
      </c>
      <c r="G1046" s="17" t="s">
        <v>5160</v>
      </c>
      <c r="H1046" s="17" t="s">
        <v>30</v>
      </c>
      <c r="I1046" s="17" t="s">
        <v>277</v>
      </c>
      <c r="J1046" s="17" t="s">
        <v>233</v>
      </c>
      <c r="K1046" s="19"/>
      <c r="L1046" s="19"/>
      <c r="M1046" s="19"/>
      <c r="N1046" s="19"/>
      <c r="O1046" s="17" t="n">
        <v>2</v>
      </c>
      <c r="P1046" s="18" t="s">
        <v>5216</v>
      </c>
      <c r="Q1046" s="18" t="s">
        <v>5243</v>
      </c>
      <c r="R1046" s="18" t="s">
        <v>5249</v>
      </c>
      <c r="S1046" s="17" t="s">
        <v>5228</v>
      </c>
      <c r="T1046" s="18" t="s">
        <v>5245</v>
      </c>
      <c r="U1046" s="19"/>
      <c r="V1046" s="18" t="s">
        <v>5250</v>
      </c>
      <c r="W1046" s="17" t="s">
        <v>240</v>
      </c>
      <c r="X1046" s="17" t="s">
        <v>5247</v>
      </c>
      <c r="Y1046" s="17" t="s">
        <v>242</v>
      </c>
      <c r="Z1046" s="19"/>
      <c r="AA1046" s="19"/>
      <c r="AB1046" s="17"/>
      <c r="AC1046" s="19"/>
    </row>
    <row r="1047" customFormat="false" ht="22.35" hidden="false" customHeight="false" outlineLevel="0" collapsed="false">
      <c r="A1047" s="10" t="s">
        <v>5251</v>
      </c>
      <c r="B1047" s="17" t="s">
        <v>121</v>
      </c>
      <c r="C1047" s="18" t="s">
        <v>122</v>
      </c>
      <c r="D1047" s="17" t="s">
        <v>19</v>
      </c>
      <c r="E1047" s="17" t="s">
        <v>75</v>
      </c>
      <c r="F1047" s="17" t="s">
        <v>4845</v>
      </c>
      <c r="G1047" s="17" t="s">
        <v>5160</v>
      </c>
      <c r="H1047" s="17" t="s">
        <v>30</v>
      </c>
      <c r="I1047" s="17" t="s">
        <v>277</v>
      </c>
      <c r="J1047" s="17" t="s">
        <v>233</v>
      </c>
      <c r="K1047" s="19"/>
      <c r="L1047" s="19"/>
      <c r="M1047" s="19"/>
      <c r="N1047" s="19"/>
      <c r="O1047" s="17" t="n">
        <v>2</v>
      </c>
      <c r="P1047" s="18" t="s">
        <v>5216</v>
      </c>
      <c r="Q1047" s="18" t="s">
        <v>5243</v>
      </c>
      <c r="R1047" s="18" t="s">
        <v>5252</v>
      </c>
      <c r="S1047" s="17" t="s">
        <v>5232</v>
      </c>
      <c r="T1047" s="18" t="s">
        <v>5245</v>
      </c>
      <c r="U1047" s="19"/>
      <c r="V1047" s="18" t="s">
        <v>5253</v>
      </c>
      <c r="W1047" s="17" t="s">
        <v>240</v>
      </c>
      <c r="X1047" s="17" t="s">
        <v>5247</v>
      </c>
      <c r="Y1047" s="17" t="s">
        <v>242</v>
      </c>
      <c r="Z1047" s="19"/>
      <c r="AA1047" s="19"/>
      <c r="AB1047" s="17"/>
      <c r="AC1047" s="19"/>
    </row>
    <row r="1048" customFormat="false" ht="22.35" hidden="false" customHeight="false" outlineLevel="0" collapsed="false">
      <c r="A1048" s="10" t="s">
        <v>5254</v>
      </c>
      <c r="B1048" s="17" t="s">
        <v>121</v>
      </c>
      <c r="C1048" s="18" t="s">
        <v>122</v>
      </c>
      <c r="D1048" s="17" t="s">
        <v>19</v>
      </c>
      <c r="E1048" s="17" t="s">
        <v>75</v>
      </c>
      <c r="F1048" s="17" t="s">
        <v>4845</v>
      </c>
      <c r="G1048" s="17" t="s">
        <v>5160</v>
      </c>
      <c r="H1048" s="17" t="s">
        <v>30</v>
      </c>
      <c r="I1048" s="17" t="s">
        <v>277</v>
      </c>
      <c r="J1048" s="17" t="s">
        <v>233</v>
      </c>
      <c r="K1048" s="19"/>
      <c r="L1048" s="19"/>
      <c r="M1048" s="19"/>
      <c r="N1048" s="19"/>
      <c r="O1048" s="17" t="n">
        <v>2</v>
      </c>
      <c r="P1048" s="18" t="s">
        <v>5216</v>
      </c>
      <c r="Q1048" s="18" t="s">
        <v>5243</v>
      </c>
      <c r="R1048" s="18" t="s">
        <v>5255</v>
      </c>
      <c r="S1048" s="17" t="s">
        <v>5237</v>
      </c>
      <c r="T1048" s="18" t="s">
        <v>5245</v>
      </c>
      <c r="U1048" s="19"/>
      <c r="V1048" s="18" t="s">
        <v>5256</v>
      </c>
      <c r="W1048" s="17" t="s">
        <v>240</v>
      </c>
      <c r="X1048" s="17" t="s">
        <v>5257</v>
      </c>
      <c r="Y1048" s="17" t="s">
        <v>242</v>
      </c>
      <c r="Z1048" s="19"/>
      <c r="AA1048" s="19"/>
      <c r="AB1048" s="17"/>
      <c r="AC1048" s="19"/>
    </row>
    <row r="1049" customFormat="false" ht="22.35" hidden="false" customHeight="false" outlineLevel="0" collapsed="false">
      <c r="A1049" s="10" t="s">
        <v>5258</v>
      </c>
      <c r="B1049" s="17" t="s">
        <v>121</v>
      </c>
      <c r="C1049" s="18" t="s">
        <v>122</v>
      </c>
      <c r="D1049" s="17" t="s">
        <v>19</v>
      </c>
      <c r="E1049" s="17" t="s">
        <v>229</v>
      </c>
      <c r="F1049" s="17" t="s">
        <v>4845</v>
      </c>
      <c r="G1049" s="17" t="s">
        <v>5160</v>
      </c>
      <c r="H1049" s="17" t="s">
        <v>30</v>
      </c>
      <c r="I1049" s="17" t="s">
        <v>277</v>
      </c>
      <c r="J1049" s="17" t="s">
        <v>233</v>
      </c>
      <c r="K1049" s="19"/>
      <c r="L1049" s="19"/>
      <c r="M1049" s="19"/>
      <c r="N1049" s="19"/>
      <c r="O1049" s="17" t="n">
        <v>2</v>
      </c>
      <c r="P1049" s="18" t="s">
        <v>5216</v>
      </c>
      <c r="Q1049" s="18" t="s">
        <v>5243</v>
      </c>
      <c r="R1049" s="18" t="s">
        <v>5259</v>
      </c>
      <c r="S1049" s="17" t="s">
        <v>5260</v>
      </c>
      <c r="T1049" s="18" t="s">
        <v>5261</v>
      </c>
      <c r="U1049" s="19"/>
      <c r="V1049" s="18" t="s">
        <v>5262</v>
      </c>
      <c r="W1049" s="17" t="s">
        <v>240</v>
      </c>
      <c r="X1049" s="17" t="s">
        <v>5087</v>
      </c>
      <c r="Y1049" s="17" t="s">
        <v>242</v>
      </c>
      <c r="Z1049" s="19"/>
      <c r="AA1049" s="19"/>
      <c r="AB1049" s="17"/>
      <c r="AC1049" s="19"/>
    </row>
    <row r="1050" customFormat="false" ht="15" hidden="false" customHeight="false" outlineLevel="0" collapsed="false">
      <c r="A1050" s="10" t="s">
        <v>5263</v>
      </c>
      <c r="B1050" s="17" t="s">
        <v>121</v>
      </c>
      <c r="C1050" s="18" t="s">
        <v>122</v>
      </c>
      <c r="D1050" s="17" t="s">
        <v>19</v>
      </c>
      <c r="E1050" s="17" t="s">
        <v>75</v>
      </c>
      <c r="F1050" s="17" t="s">
        <v>4845</v>
      </c>
      <c r="G1050" s="17" t="s">
        <v>5160</v>
      </c>
      <c r="H1050" s="17" t="s">
        <v>30</v>
      </c>
      <c r="I1050" s="17" t="s">
        <v>277</v>
      </c>
      <c r="J1050" s="17" t="s">
        <v>233</v>
      </c>
      <c r="K1050" s="19"/>
      <c r="L1050" s="19"/>
      <c r="M1050" s="19"/>
      <c r="N1050" s="19"/>
      <c r="O1050" s="17" t="n">
        <v>2</v>
      </c>
      <c r="P1050" s="18" t="s">
        <v>5216</v>
      </c>
      <c r="Q1050" s="18" t="s">
        <v>5243</v>
      </c>
      <c r="R1050" s="18" t="s">
        <v>5264</v>
      </c>
      <c r="S1050" s="17" t="s">
        <v>5258</v>
      </c>
      <c r="T1050" s="18" t="s">
        <v>5265</v>
      </c>
      <c r="U1050" s="19"/>
      <c r="V1050" s="18" t="s">
        <v>5266</v>
      </c>
      <c r="W1050" s="17" t="s">
        <v>240</v>
      </c>
      <c r="X1050" s="17" t="s">
        <v>5267</v>
      </c>
      <c r="Y1050" s="17" t="s">
        <v>242</v>
      </c>
      <c r="Z1050" s="19"/>
      <c r="AA1050" s="19"/>
      <c r="AB1050" s="17"/>
      <c r="AC1050" s="19"/>
    </row>
    <row r="1051" customFormat="false" ht="22.35" hidden="false" customHeight="false" outlineLevel="0" collapsed="false">
      <c r="A1051" s="10" t="s">
        <v>5268</v>
      </c>
      <c r="B1051" s="17" t="s">
        <v>121</v>
      </c>
      <c r="C1051" s="18" t="s">
        <v>122</v>
      </c>
      <c r="D1051" s="17" t="s">
        <v>19</v>
      </c>
      <c r="E1051" s="17" t="s">
        <v>75</v>
      </c>
      <c r="F1051" s="17" t="s">
        <v>4845</v>
      </c>
      <c r="G1051" s="17" t="s">
        <v>5160</v>
      </c>
      <c r="H1051" s="17" t="s">
        <v>30</v>
      </c>
      <c r="I1051" s="17" t="s">
        <v>1346</v>
      </c>
      <c r="J1051" s="17" t="s">
        <v>233</v>
      </c>
      <c r="K1051" s="19"/>
      <c r="L1051" s="19"/>
      <c r="M1051" s="19"/>
      <c r="N1051" s="19"/>
      <c r="O1051" s="17" t="n">
        <v>2</v>
      </c>
      <c r="P1051" s="18" t="s">
        <v>5216</v>
      </c>
      <c r="Q1051" s="18" t="s">
        <v>5243</v>
      </c>
      <c r="R1051" s="18" t="s">
        <v>5269</v>
      </c>
      <c r="S1051" s="17" t="s">
        <v>5237</v>
      </c>
      <c r="T1051" s="18" t="s">
        <v>5270</v>
      </c>
      <c r="U1051" s="19"/>
      <c r="V1051" s="18" t="s">
        <v>5271</v>
      </c>
      <c r="W1051" s="17" t="s">
        <v>240</v>
      </c>
      <c r="X1051" s="17" t="s">
        <v>5272</v>
      </c>
      <c r="Y1051" s="17" t="s">
        <v>242</v>
      </c>
      <c r="Z1051" s="19"/>
      <c r="AA1051" s="19"/>
      <c r="AB1051" s="17"/>
      <c r="AC1051" s="19"/>
    </row>
    <row r="1052" customFormat="false" ht="15" hidden="false" customHeight="false" outlineLevel="0" collapsed="false">
      <c r="A1052" s="10" t="s">
        <v>5273</v>
      </c>
      <c r="B1052" s="17" t="s">
        <v>121</v>
      </c>
      <c r="C1052" s="18" t="s">
        <v>122</v>
      </c>
      <c r="D1052" s="17" t="s">
        <v>19</v>
      </c>
      <c r="E1052" s="17" t="s">
        <v>75</v>
      </c>
      <c r="F1052" s="17" t="s">
        <v>4845</v>
      </c>
      <c r="G1052" s="17" t="s">
        <v>5160</v>
      </c>
      <c r="H1052" s="17" t="s">
        <v>30</v>
      </c>
      <c r="I1052" s="17" t="s">
        <v>928</v>
      </c>
      <c r="J1052" s="17" t="s">
        <v>233</v>
      </c>
      <c r="K1052" s="19"/>
      <c r="L1052" s="19"/>
      <c r="M1052" s="19"/>
      <c r="N1052" s="19"/>
      <c r="O1052" s="17" t="n">
        <v>4</v>
      </c>
      <c r="P1052" s="18" t="s">
        <v>5216</v>
      </c>
      <c r="Q1052" s="18" t="s">
        <v>5243</v>
      </c>
      <c r="R1052" s="18" t="s">
        <v>5274</v>
      </c>
      <c r="S1052" s="17" t="s">
        <v>5275</v>
      </c>
      <c r="T1052" s="18" t="s">
        <v>5276</v>
      </c>
      <c r="U1052" s="19"/>
      <c r="V1052" s="18" t="s">
        <v>5277</v>
      </c>
      <c r="W1052" s="17" t="s">
        <v>240</v>
      </c>
      <c r="X1052" s="17" t="s">
        <v>5278</v>
      </c>
      <c r="Y1052" s="17" t="s">
        <v>242</v>
      </c>
      <c r="Z1052" s="19"/>
      <c r="AA1052" s="19"/>
      <c r="AB1052" s="17"/>
      <c r="AC1052" s="19"/>
    </row>
    <row r="1053" customFormat="false" ht="22.35" hidden="false" customHeight="false" outlineLevel="0" collapsed="false">
      <c r="A1053" s="10" t="s">
        <v>5279</v>
      </c>
      <c r="B1053" s="17" t="s">
        <v>121</v>
      </c>
      <c r="C1053" s="18" t="s">
        <v>122</v>
      </c>
      <c r="D1053" s="17" t="s">
        <v>19</v>
      </c>
      <c r="E1053" s="17" t="s">
        <v>75</v>
      </c>
      <c r="F1053" s="17" t="s">
        <v>4845</v>
      </c>
      <c r="G1053" s="17" t="s">
        <v>5160</v>
      </c>
      <c r="H1053" s="17" t="s">
        <v>30</v>
      </c>
      <c r="I1053" s="17" t="s">
        <v>928</v>
      </c>
      <c r="J1053" s="17" t="s">
        <v>233</v>
      </c>
      <c r="K1053" s="19"/>
      <c r="L1053" s="19"/>
      <c r="M1053" s="19"/>
      <c r="N1053" s="19"/>
      <c r="O1053" s="17" t="n">
        <v>2</v>
      </c>
      <c r="P1053" s="18" t="s">
        <v>5216</v>
      </c>
      <c r="Q1053" s="18" t="s">
        <v>5280</v>
      </c>
      <c r="R1053" s="18" t="s">
        <v>5281</v>
      </c>
      <c r="S1053" s="17" t="s">
        <v>5171</v>
      </c>
      <c r="T1053" s="18" t="s">
        <v>5282</v>
      </c>
      <c r="U1053" s="19"/>
      <c r="V1053" s="18" t="s">
        <v>5283</v>
      </c>
      <c r="W1053" s="17" t="s">
        <v>240</v>
      </c>
      <c r="X1053" s="17" t="s">
        <v>5284</v>
      </c>
      <c r="Y1053" s="17" t="s">
        <v>242</v>
      </c>
      <c r="Z1053" s="19"/>
      <c r="AA1053" s="19"/>
      <c r="AB1053" s="17"/>
      <c r="AC1053" s="19"/>
    </row>
    <row r="1054" customFormat="false" ht="22.35" hidden="false" customHeight="false" outlineLevel="0" collapsed="false">
      <c r="A1054" s="10" t="s">
        <v>5285</v>
      </c>
      <c r="B1054" s="17" t="s">
        <v>121</v>
      </c>
      <c r="C1054" s="18" t="s">
        <v>122</v>
      </c>
      <c r="D1054" s="17" t="s">
        <v>19</v>
      </c>
      <c r="E1054" s="17" t="s">
        <v>229</v>
      </c>
      <c r="F1054" s="17" t="s">
        <v>4845</v>
      </c>
      <c r="G1054" s="17" t="s">
        <v>5160</v>
      </c>
      <c r="H1054" s="17" t="s">
        <v>30</v>
      </c>
      <c r="I1054" s="17" t="s">
        <v>974</v>
      </c>
      <c r="J1054" s="17" t="s">
        <v>233</v>
      </c>
      <c r="K1054" s="19"/>
      <c r="L1054" s="19"/>
      <c r="M1054" s="19"/>
      <c r="N1054" s="19"/>
      <c r="O1054" s="17" t="n">
        <v>2</v>
      </c>
      <c r="P1054" s="18" t="s">
        <v>5216</v>
      </c>
      <c r="Q1054" s="18" t="s">
        <v>5280</v>
      </c>
      <c r="R1054" s="18" t="s">
        <v>5286</v>
      </c>
      <c r="S1054" s="17" t="s">
        <v>5287</v>
      </c>
      <c r="T1054" s="18" t="s">
        <v>2209</v>
      </c>
      <c r="U1054" s="19"/>
      <c r="V1054" s="18" t="s">
        <v>5288</v>
      </c>
      <c r="W1054" s="17" t="s">
        <v>240</v>
      </c>
      <c r="X1054" s="17" t="s">
        <v>5289</v>
      </c>
      <c r="Y1054" s="17" t="s">
        <v>242</v>
      </c>
      <c r="Z1054" s="19"/>
      <c r="AA1054" s="19"/>
      <c r="AB1054" s="17"/>
      <c r="AC1054" s="19"/>
    </row>
    <row r="1055" customFormat="false" ht="15" hidden="false" customHeight="false" outlineLevel="0" collapsed="false">
      <c r="A1055" s="10" t="s">
        <v>5290</v>
      </c>
      <c r="B1055" s="17" t="s">
        <v>121</v>
      </c>
      <c r="C1055" s="18" t="s">
        <v>122</v>
      </c>
      <c r="D1055" s="17" t="s">
        <v>19</v>
      </c>
      <c r="E1055" s="17" t="s">
        <v>75</v>
      </c>
      <c r="F1055" s="17" t="s">
        <v>4845</v>
      </c>
      <c r="G1055" s="17" t="s">
        <v>5160</v>
      </c>
      <c r="H1055" s="17" t="s">
        <v>30</v>
      </c>
      <c r="I1055" s="17" t="s">
        <v>974</v>
      </c>
      <c r="J1055" s="17" t="s">
        <v>233</v>
      </c>
      <c r="K1055" s="19"/>
      <c r="L1055" s="19"/>
      <c r="M1055" s="19"/>
      <c r="N1055" s="19"/>
      <c r="O1055" s="17" t="n">
        <v>2</v>
      </c>
      <c r="P1055" s="18" t="s">
        <v>5216</v>
      </c>
      <c r="Q1055" s="18" t="s">
        <v>5280</v>
      </c>
      <c r="R1055" s="18" t="s">
        <v>5291</v>
      </c>
      <c r="S1055" s="17" t="s">
        <v>5287</v>
      </c>
      <c r="T1055" s="18" t="s">
        <v>2209</v>
      </c>
      <c r="U1055" s="19"/>
      <c r="V1055" s="18" t="s">
        <v>5292</v>
      </c>
      <c r="W1055" s="17" t="s">
        <v>240</v>
      </c>
      <c r="X1055" s="17" t="s">
        <v>5293</v>
      </c>
      <c r="Y1055" s="17" t="s">
        <v>242</v>
      </c>
      <c r="Z1055" s="19"/>
      <c r="AA1055" s="19"/>
      <c r="AB1055" s="17"/>
      <c r="AC1055" s="19"/>
    </row>
    <row r="1056" customFormat="false" ht="22.35" hidden="false" customHeight="false" outlineLevel="0" collapsed="false">
      <c r="A1056" s="10" t="s">
        <v>5294</v>
      </c>
      <c r="B1056" s="17" t="s">
        <v>121</v>
      </c>
      <c r="C1056" s="18" t="s">
        <v>122</v>
      </c>
      <c r="D1056" s="17" t="s">
        <v>19</v>
      </c>
      <c r="E1056" s="17" t="s">
        <v>75</v>
      </c>
      <c r="F1056" s="17" t="s">
        <v>4845</v>
      </c>
      <c r="G1056" s="17" t="s">
        <v>5160</v>
      </c>
      <c r="H1056" s="17" t="s">
        <v>30</v>
      </c>
      <c r="I1056" s="17" t="s">
        <v>974</v>
      </c>
      <c r="J1056" s="17" t="s">
        <v>233</v>
      </c>
      <c r="K1056" s="19"/>
      <c r="L1056" s="19"/>
      <c r="M1056" s="19"/>
      <c r="N1056" s="19"/>
      <c r="O1056" s="17" t="n">
        <v>4</v>
      </c>
      <c r="P1056" s="18" t="s">
        <v>5216</v>
      </c>
      <c r="Q1056" s="18" t="s">
        <v>5280</v>
      </c>
      <c r="R1056" s="18" t="s">
        <v>5295</v>
      </c>
      <c r="S1056" s="17" t="s">
        <v>5296</v>
      </c>
      <c r="T1056" s="18" t="s">
        <v>2209</v>
      </c>
      <c r="U1056" s="19"/>
      <c r="V1056" s="18" t="s">
        <v>5297</v>
      </c>
      <c r="W1056" s="17" t="s">
        <v>240</v>
      </c>
      <c r="X1056" s="17" t="s">
        <v>5298</v>
      </c>
      <c r="Y1056" s="17" t="s">
        <v>242</v>
      </c>
      <c r="Z1056" s="19"/>
      <c r="AA1056" s="19"/>
      <c r="AB1056" s="17"/>
      <c r="AC1056" s="19"/>
    </row>
    <row r="1057" customFormat="false" ht="15" hidden="false" customHeight="false" outlineLevel="0" collapsed="false">
      <c r="A1057" s="10" t="s">
        <v>5299</v>
      </c>
      <c r="B1057" s="17" t="s">
        <v>121</v>
      </c>
      <c r="C1057" s="18" t="s">
        <v>122</v>
      </c>
      <c r="D1057" s="17" t="s">
        <v>19</v>
      </c>
      <c r="E1057" s="17" t="s">
        <v>75</v>
      </c>
      <c r="F1057" s="17" t="s">
        <v>4845</v>
      </c>
      <c r="G1057" s="17" t="s">
        <v>5160</v>
      </c>
      <c r="H1057" s="17" t="s">
        <v>30</v>
      </c>
      <c r="I1057" s="17" t="s">
        <v>277</v>
      </c>
      <c r="J1057" s="17" t="s">
        <v>233</v>
      </c>
      <c r="K1057" s="19"/>
      <c r="L1057" s="19"/>
      <c r="M1057" s="19"/>
      <c r="N1057" s="19"/>
      <c r="O1057" s="17" t="n">
        <v>2</v>
      </c>
      <c r="P1057" s="18" t="s">
        <v>5216</v>
      </c>
      <c r="Q1057" s="18" t="s">
        <v>5300</v>
      </c>
      <c r="R1057" s="18" t="s">
        <v>5301</v>
      </c>
      <c r="S1057" s="17" t="s">
        <v>5285</v>
      </c>
      <c r="T1057" s="18" t="s">
        <v>5245</v>
      </c>
      <c r="U1057" s="19"/>
      <c r="V1057" s="18" t="s">
        <v>5302</v>
      </c>
      <c r="W1057" s="17" t="s">
        <v>240</v>
      </c>
      <c r="X1057" s="17" t="s">
        <v>5247</v>
      </c>
      <c r="Y1057" s="17" t="s">
        <v>242</v>
      </c>
      <c r="Z1057" s="19"/>
      <c r="AA1057" s="19"/>
      <c r="AB1057" s="17"/>
      <c r="AC1057" s="19"/>
    </row>
    <row r="1058" customFormat="false" ht="15" hidden="false" customHeight="false" outlineLevel="0" collapsed="false">
      <c r="A1058" s="10" t="s">
        <v>5303</v>
      </c>
      <c r="B1058" s="17" t="s">
        <v>121</v>
      </c>
      <c r="C1058" s="18" t="s">
        <v>122</v>
      </c>
      <c r="D1058" s="17" t="s">
        <v>19</v>
      </c>
      <c r="E1058" s="17" t="s">
        <v>75</v>
      </c>
      <c r="F1058" s="17" t="s">
        <v>4845</v>
      </c>
      <c r="G1058" s="17" t="s">
        <v>5160</v>
      </c>
      <c r="H1058" s="17" t="s">
        <v>30</v>
      </c>
      <c r="I1058" s="17" t="s">
        <v>277</v>
      </c>
      <c r="J1058" s="17" t="s">
        <v>233</v>
      </c>
      <c r="K1058" s="19"/>
      <c r="L1058" s="19"/>
      <c r="M1058" s="19"/>
      <c r="N1058" s="19"/>
      <c r="O1058" s="17" t="n">
        <v>2</v>
      </c>
      <c r="P1058" s="18" t="s">
        <v>5216</v>
      </c>
      <c r="Q1058" s="18" t="s">
        <v>5300</v>
      </c>
      <c r="R1058" s="18" t="s">
        <v>5304</v>
      </c>
      <c r="S1058" s="17" t="s">
        <v>5290</v>
      </c>
      <c r="T1058" s="18" t="s">
        <v>5245</v>
      </c>
      <c r="U1058" s="19"/>
      <c r="V1058" s="18" t="s">
        <v>5305</v>
      </c>
      <c r="W1058" s="17" t="s">
        <v>240</v>
      </c>
      <c r="X1058" s="17" t="s">
        <v>5247</v>
      </c>
      <c r="Y1058" s="17" t="s">
        <v>242</v>
      </c>
      <c r="Z1058" s="19"/>
      <c r="AA1058" s="19"/>
      <c r="AB1058" s="17"/>
      <c r="AC1058" s="19"/>
    </row>
    <row r="1059" customFormat="false" ht="22.35" hidden="false" customHeight="false" outlineLevel="0" collapsed="false">
      <c r="A1059" s="10" t="s">
        <v>5306</v>
      </c>
      <c r="B1059" s="17" t="s">
        <v>121</v>
      </c>
      <c r="C1059" s="18" t="s">
        <v>122</v>
      </c>
      <c r="D1059" s="17" t="s">
        <v>19</v>
      </c>
      <c r="E1059" s="17" t="s">
        <v>75</v>
      </c>
      <c r="F1059" s="17" t="s">
        <v>4845</v>
      </c>
      <c r="G1059" s="17" t="s">
        <v>5160</v>
      </c>
      <c r="H1059" s="17" t="s">
        <v>30</v>
      </c>
      <c r="I1059" s="17" t="s">
        <v>277</v>
      </c>
      <c r="J1059" s="17" t="s">
        <v>233</v>
      </c>
      <c r="K1059" s="19"/>
      <c r="L1059" s="19"/>
      <c r="M1059" s="19"/>
      <c r="N1059" s="19"/>
      <c r="O1059" s="17" t="n">
        <v>4</v>
      </c>
      <c r="P1059" s="18" t="s">
        <v>5216</v>
      </c>
      <c r="Q1059" s="18" t="s">
        <v>5300</v>
      </c>
      <c r="R1059" s="18" t="s">
        <v>5307</v>
      </c>
      <c r="S1059" s="17" t="s">
        <v>5294</v>
      </c>
      <c r="T1059" s="18" t="s">
        <v>5245</v>
      </c>
      <c r="U1059" s="19"/>
      <c r="V1059" s="18" t="s">
        <v>5308</v>
      </c>
      <c r="W1059" s="17" t="s">
        <v>240</v>
      </c>
      <c r="X1059" s="17" t="s">
        <v>5309</v>
      </c>
      <c r="Y1059" s="17" t="s">
        <v>242</v>
      </c>
      <c r="Z1059" s="19"/>
      <c r="AA1059" s="19"/>
      <c r="AB1059" s="17"/>
      <c r="AC1059" s="19"/>
    </row>
    <row r="1060" customFormat="false" ht="22.35" hidden="false" customHeight="false" outlineLevel="0" collapsed="false">
      <c r="A1060" s="10" t="s">
        <v>5310</v>
      </c>
      <c r="B1060" s="17" t="s">
        <v>121</v>
      </c>
      <c r="C1060" s="18" t="s">
        <v>122</v>
      </c>
      <c r="D1060" s="17" t="s">
        <v>19</v>
      </c>
      <c r="E1060" s="17" t="s">
        <v>229</v>
      </c>
      <c r="F1060" s="17" t="s">
        <v>4845</v>
      </c>
      <c r="G1060" s="17" t="s">
        <v>5160</v>
      </c>
      <c r="H1060" s="17" t="s">
        <v>30</v>
      </c>
      <c r="I1060" s="17" t="s">
        <v>277</v>
      </c>
      <c r="J1060" s="17" t="s">
        <v>233</v>
      </c>
      <c r="K1060" s="19"/>
      <c r="L1060" s="19"/>
      <c r="M1060" s="19"/>
      <c r="N1060" s="19"/>
      <c r="O1060" s="17" t="n">
        <v>2</v>
      </c>
      <c r="P1060" s="18" t="s">
        <v>5216</v>
      </c>
      <c r="Q1060" s="18" t="s">
        <v>5300</v>
      </c>
      <c r="R1060" s="18" t="s">
        <v>5311</v>
      </c>
      <c r="S1060" s="17" t="s">
        <v>5312</v>
      </c>
      <c r="T1060" s="18" t="s">
        <v>5261</v>
      </c>
      <c r="U1060" s="19"/>
      <c r="V1060" s="18" t="s">
        <v>5313</v>
      </c>
      <c r="W1060" s="17" t="s">
        <v>240</v>
      </c>
      <c r="X1060" s="17" t="s">
        <v>5314</v>
      </c>
      <c r="Y1060" s="17" t="s">
        <v>242</v>
      </c>
      <c r="Z1060" s="19"/>
      <c r="AA1060" s="19"/>
      <c r="AB1060" s="17"/>
      <c r="AC1060" s="19"/>
    </row>
    <row r="1061" customFormat="false" ht="15" hidden="false" customHeight="false" outlineLevel="0" collapsed="false">
      <c r="A1061" s="10" t="s">
        <v>5315</v>
      </c>
      <c r="B1061" s="17" t="s">
        <v>121</v>
      </c>
      <c r="C1061" s="18" t="s">
        <v>122</v>
      </c>
      <c r="D1061" s="17" t="s">
        <v>19</v>
      </c>
      <c r="E1061" s="17" t="s">
        <v>75</v>
      </c>
      <c r="F1061" s="17" t="s">
        <v>4845</v>
      </c>
      <c r="G1061" s="17" t="s">
        <v>5160</v>
      </c>
      <c r="H1061" s="17" t="s">
        <v>30</v>
      </c>
      <c r="I1061" s="17" t="s">
        <v>277</v>
      </c>
      <c r="J1061" s="17" t="s">
        <v>233</v>
      </c>
      <c r="K1061" s="19"/>
      <c r="L1061" s="19"/>
      <c r="M1061" s="19"/>
      <c r="N1061" s="19"/>
      <c r="O1061" s="17" t="n">
        <v>2</v>
      </c>
      <c r="P1061" s="18" t="s">
        <v>5216</v>
      </c>
      <c r="Q1061" s="18" t="s">
        <v>5300</v>
      </c>
      <c r="R1061" s="18" t="s">
        <v>5316</v>
      </c>
      <c r="S1061" s="17" t="s">
        <v>5310</v>
      </c>
      <c r="T1061" s="18" t="s">
        <v>5265</v>
      </c>
      <c r="U1061" s="19"/>
      <c r="V1061" s="18" t="s">
        <v>5317</v>
      </c>
      <c r="W1061" s="17" t="s">
        <v>240</v>
      </c>
      <c r="X1061" s="17" t="s">
        <v>5318</v>
      </c>
      <c r="Y1061" s="17" t="s">
        <v>242</v>
      </c>
      <c r="Z1061" s="19"/>
      <c r="AA1061" s="19"/>
      <c r="AB1061" s="17"/>
      <c r="AC1061" s="19"/>
    </row>
    <row r="1062" customFormat="false" ht="15" hidden="false" customHeight="false" outlineLevel="0" collapsed="false">
      <c r="A1062" s="10" t="s">
        <v>5319</v>
      </c>
      <c r="B1062" s="17" t="s">
        <v>121</v>
      </c>
      <c r="C1062" s="18" t="s">
        <v>122</v>
      </c>
      <c r="D1062" s="17" t="s">
        <v>19</v>
      </c>
      <c r="E1062" s="17" t="s">
        <v>75</v>
      </c>
      <c r="F1062" s="17" t="s">
        <v>4845</v>
      </c>
      <c r="G1062" s="17" t="s">
        <v>5160</v>
      </c>
      <c r="H1062" s="17" t="s">
        <v>30</v>
      </c>
      <c r="I1062" s="17" t="s">
        <v>1346</v>
      </c>
      <c r="J1062" s="17" t="s">
        <v>233</v>
      </c>
      <c r="K1062" s="19"/>
      <c r="L1062" s="19"/>
      <c r="M1062" s="19"/>
      <c r="N1062" s="19"/>
      <c r="O1062" s="17" t="n">
        <v>4</v>
      </c>
      <c r="P1062" s="18" t="s">
        <v>5216</v>
      </c>
      <c r="Q1062" s="18" t="s">
        <v>5300</v>
      </c>
      <c r="R1062" s="18" t="s">
        <v>5320</v>
      </c>
      <c r="S1062" s="17" t="s">
        <v>5294</v>
      </c>
      <c r="T1062" s="18" t="s">
        <v>5270</v>
      </c>
      <c r="U1062" s="19"/>
      <c r="V1062" s="18" t="s">
        <v>5321</v>
      </c>
      <c r="W1062" s="17" t="s">
        <v>240</v>
      </c>
      <c r="X1062" s="17" t="s">
        <v>5272</v>
      </c>
      <c r="Y1062" s="17" t="s">
        <v>242</v>
      </c>
      <c r="Z1062" s="19"/>
      <c r="AA1062" s="19"/>
      <c r="AB1062" s="17"/>
      <c r="AC1062" s="19"/>
    </row>
    <row r="1063" customFormat="false" ht="22.35" hidden="false" customHeight="false" outlineLevel="0" collapsed="false">
      <c r="A1063" s="10" t="s">
        <v>5322</v>
      </c>
      <c r="B1063" s="17" t="s">
        <v>121</v>
      </c>
      <c r="C1063" s="18" t="s">
        <v>122</v>
      </c>
      <c r="D1063" s="17" t="s">
        <v>19</v>
      </c>
      <c r="E1063" s="17" t="s">
        <v>75</v>
      </c>
      <c r="F1063" s="17" t="s">
        <v>4845</v>
      </c>
      <c r="G1063" s="17" t="s">
        <v>5160</v>
      </c>
      <c r="H1063" s="17" t="s">
        <v>30</v>
      </c>
      <c r="I1063" s="17" t="s">
        <v>928</v>
      </c>
      <c r="J1063" s="17" t="s">
        <v>233</v>
      </c>
      <c r="K1063" s="19"/>
      <c r="L1063" s="19"/>
      <c r="M1063" s="19"/>
      <c r="N1063" s="19"/>
      <c r="O1063" s="17" t="n">
        <v>4</v>
      </c>
      <c r="P1063" s="18" t="s">
        <v>5216</v>
      </c>
      <c r="Q1063" s="18" t="s">
        <v>5300</v>
      </c>
      <c r="R1063" s="18" t="s">
        <v>5323</v>
      </c>
      <c r="S1063" s="17" t="s">
        <v>5324</v>
      </c>
      <c r="T1063" s="18" t="s">
        <v>5276</v>
      </c>
      <c r="U1063" s="19"/>
      <c r="V1063" s="18" t="s">
        <v>5325</v>
      </c>
      <c r="W1063" s="17" t="s">
        <v>240</v>
      </c>
      <c r="X1063" s="17" t="s">
        <v>5278</v>
      </c>
      <c r="Y1063" s="17" t="s">
        <v>242</v>
      </c>
      <c r="Z1063" s="19"/>
      <c r="AA1063" s="19"/>
      <c r="AB1063" s="17"/>
      <c r="AC1063" s="19"/>
    </row>
    <row r="1064" customFormat="false" ht="22.35" hidden="false" customHeight="false" outlineLevel="0" collapsed="false">
      <c r="A1064" s="10" t="s">
        <v>5326</v>
      </c>
      <c r="B1064" s="17" t="s">
        <v>121</v>
      </c>
      <c r="C1064" s="18" t="s">
        <v>122</v>
      </c>
      <c r="D1064" s="17" t="s">
        <v>19</v>
      </c>
      <c r="E1064" s="17" t="s">
        <v>75</v>
      </c>
      <c r="F1064" s="17" t="s">
        <v>4845</v>
      </c>
      <c r="G1064" s="17" t="s">
        <v>5160</v>
      </c>
      <c r="H1064" s="17" t="s">
        <v>30</v>
      </c>
      <c r="I1064" s="17" t="s">
        <v>928</v>
      </c>
      <c r="J1064" s="17" t="s">
        <v>233</v>
      </c>
      <c r="K1064" s="19"/>
      <c r="L1064" s="19"/>
      <c r="M1064" s="19"/>
      <c r="N1064" s="19"/>
      <c r="O1064" s="17" t="n">
        <v>2</v>
      </c>
      <c r="P1064" s="18" t="s">
        <v>5216</v>
      </c>
      <c r="Q1064" s="18" t="s">
        <v>5327</v>
      </c>
      <c r="R1064" s="18" t="s">
        <v>5328</v>
      </c>
      <c r="S1064" s="17" t="s">
        <v>5171</v>
      </c>
      <c r="T1064" s="18" t="s">
        <v>5282</v>
      </c>
      <c r="U1064" s="19"/>
      <c r="V1064" s="18" t="s">
        <v>5329</v>
      </c>
      <c r="W1064" s="17" t="s">
        <v>240</v>
      </c>
      <c r="X1064" s="17" t="s">
        <v>5330</v>
      </c>
      <c r="Y1064" s="17" t="s">
        <v>242</v>
      </c>
      <c r="Z1064" s="19"/>
      <c r="AA1064" s="19"/>
      <c r="AB1064" s="17"/>
      <c r="AC1064" s="19"/>
    </row>
    <row r="1065" customFormat="false" ht="22.35" hidden="false" customHeight="false" outlineLevel="0" collapsed="false">
      <c r="A1065" s="10" t="s">
        <v>5331</v>
      </c>
      <c r="B1065" s="17" t="s">
        <v>121</v>
      </c>
      <c r="C1065" s="18" t="s">
        <v>122</v>
      </c>
      <c r="D1065" s="17" t="s">
        <v>19</v>
      </c>
      <c r="E1065" s="17" t="s">
        <v>75</v>
      </c>
      <c r="F1065" s="17" t="s">
        <v>4845</v>
      </c>
      <c r="G1065" s="17" t="s">
        <v>5160</v>
      </c>
      <c r="H1065" s="17" t="s">
        <v>30</v>
      </c>
      <c r="I1065" s="17" t="s">
        <v>974</v>
      </c>
      <c r="J1065" s="17" t="s">
        <v>233</v>
      </c>
      <c r="K1065" s="19"/>
      <c r="L1065" s="19"/>
      <c r="M1065" s="19"/>
      <c r="N1065" s="19"/>
      <c r="O1065" s="17" t="n">
        <v>2</v>
      </c>
      <c r="P1065" s="18" t="s">
        <v>5216</v>
      </c>
      <c r="Q1065" s="18" t="s">
        <v>5327</v>
      </c>
      <c r="R1065" s="18" t="s">
        <v>5332</v>
      </c>
      <c r="S1065" s="17" t="s">
        <v>5333</v>
      </c>
      <c r="T1065" s="18" t="s">
        <v>2209</v>
      </c>
      <c r="U1065" s="19"/>
      <c r="V1065" s="18" t="s">
        <v>5334</v>
      </c>
      <c r="W1065" s="17" t="s">
        <v>240</v>
      </c>
      <c r="X1065" s="17" t="s">
        <v>5330</v>
      </c>
      <c r="Y1065" s="17" t="s">
        <v>242</v>
      </c>
      <c r="Z1065" s="19"/>
      <c r="AA1065" s="19"/>
      <c r="AB1065" s="17"/>
      <c r="AC1065" s="19"/>
    </row>
    <row r="1066" customFormat="false" ht="22.35" hidden="false" customHeight="false" outlineLevel="0" collapsed="false">
      <c r="A1066" s="10" t="s">
        <v>5335</v>
      </c>
      <c r="B1066" s="17" t="s">
        <v>121</v>
      </c>
      <c r="C1066" s="18" t="s">
        <v>122</v>
      </c>
      <c r="D1066" s="17" t="s">
        <v>19</v>
      </c>
      <c r="E1066" s="17" t="s">
        <v>229</v>
      </c>
      <c r="F1066" s="17" t="s">
        <v>4845</v>
      </c>
      <c r="G1066" s="17" t="s">
        <v>5160</v>
      </c>
      <c r="H1066" s="17" t="s">
        <v>30</v>
      </c>
      <c r="I1066" s="17" t="s">
        <v>974</v>
      </c>
      <c r="J1066" s="17" t="s">
        <v>233</v>
      </c>
      <c r="K1066" s="19"/>
      <c r="L1066" s="19"/>
      <c r="M1066" s="19"/>
      <c r="N1066" s="19"/>
      <c r="O1066" s="17" t="n">
        <v>3</v>
      </c>
      <c r="P1066" s="18" t="s">
        <v>5216</v>
      </c>
      <c r="Q1066" s="18" t="s">
        <v>5327</v>
      </c>
      <c r="R1066" s="18" t="s">
        <v>5336</v>
      </c>
      <c r="S1066" s="17" t="s">
        <v>5333</v>
      </c>
      <c r="T1066" s="18" t="s">
        <v>2209</v>
      </c>
      <c r="U1066" s="19"/>
      <c r="V1066" s="18" t="s">
        <v>5337</v>
      </c>
      <c r="W1066" s="17" t="s">
        <v>240</v>
      </c>
      <c r="X1066" s="17" t="s">
        <v>5338</v>
      </c>
      <c r="Y1066" s="17" t="s">
        <v>242</v>
      </c>
      <c r="Z1066" s="19"/>
      <c r="AA1066" s="19"/>
      <c r="AB1066" s="17"/>
      <c r="AC1066" s="19"/>
    </row>
    <row r="1067" customFormat="false" ht="15" hidden="false" customHeight="false" outlineLevel="0" collapsed="false">
      <c r="A1067" s="10" t="s">
        <v>5339</v>
      </c>
      <c r="B1067" s="17" t="s">
        <v>121</v>
      </c>
      <c r="C1067" s="18" t="s">
        <v>122</v>
      </c>
      <c r="D1067" s="17" t="s">
        <v>19</v>
      </c>
      <c r="E1067" s="17" t="s">
        <v>75</v>
      </c>
      <c r="F1067" s="17" t="s">
        <v>4845</v>
      </c>
      <c r="G1067" s="17" t="s">
        <v>5160</v>
      </c>
      <c r="H1067" s="17" t="s">
        <v>30</v>
      </c>
      <c r="I1067" s="17" t="s">
        <v>277</v>
      </c>
      <c r="J1067" s="17" t="s">
        <v>233</v>
      </c>
      <c r="K1067" s="19"/>
      <c r="L1067" s="19"/>
      <c r="M1067" s="19"/>
      <c r="N1067" s="19"/>
      <c r="O1067" s="17" t="n">
        <v>2</v>
      </c>
      <c r="P1067" s="18" t="s">
        <v>5216</v>
      </c>
      <c r="Q1067" s="18" t="s">
        <v>5327</v>
      </c>
      <c r="R1067" s="18" t="s">
        <v>5340</v>
      </c>
      <c r="S1067" s="17" t="s">
        <v>5331</v>
      </c>
      <c r="T1067" s="18" t="s">
        <v>5245</v>
      </c>
      <c r="U1067" s="19"/>
      <c r="V1067" s="18" t="s">
        <v>5341</v>
      </c>
      <c r="W1067" s="17" t="s">
        <v>240</v>
      </c>
      <c r="X1067" s="17" t="s">
        <v>5247</v>
      </c>
      <c r="Y1067" s="17" t="s">
        <v>242</v>
      </c>
      <c r="Z1067" s="19"/>
      <c r="AA1067" s="19"/>
      <c r="AB1067" s="17"/>
      <c r="AC1067" s="19"/>
    </row>
    <row r="1068" customFormat="false" ht="15" hidden="false" customHeight="false" outlineLevel="0" collapsed="false">
      <c r="A1068" s="10" t="s">
        <v>5342</v>
      </c>
      <c r="B1068" s="17" t="s">
        <v>121</v>
      </c>
      <c r="C1068" s="18" t="s">
        <v>122</v>
      </c>
      <c r="D1068" s="17" t="s">
        <v>19</v>
      </c>
      <c r="E1068" s="17" t="s">
        <v>75</v>
      </c>
      <c r="F1068" s="17" t="s">
        <v>4845</v>
      </c>
      <c r="G1068" s="17" t="s">
        <v>5160</v>
      </c>
      <c r="H1068" s="17" t="s">
        <v>30</v>
      </c>
      <c r="I1068" s="17" t="s">
        <v>277</v>
      </c>
      <c r="J1068" s="17" t="s">
        <v>233</v>
      </c>
      <c r="K1068" s="19"/>
      <c r="L1068" s="19"/>
      <c r="M1068" s="19"/>
      <c r="N1068" s="19"/>
      <c r="O1068" s="17" t="n">
        <v>3</v>
      </c>
      <c r="P1068" s="18" t="s">
        <v>5216</v>
      </c>
      <c r="Q1068" s="18" t="s">
        <v>5327</v>
      </c>
      <c r="R1068" s="18" t="s">
        <v>5343</v>
      </c>
      <c r="S1068" s="17" t="s">
        <v>5335</v>
      </c>
      <c r="T1068" s="18" t="s">
        <v>5245</v>
      </c>
      <c r="U1068" s="19"/>
      <c r="V1068" s="18" t="s">
        <v>5341</v>
      </c>
      <c r="W1068" s="17" t="s">
        <v>240</v>
      </c>
      <c r="X1068" s="17" t="s">
        <v>5247</v>
      </c>
      <c r="Y1068" s="17" t="s">
        <v>242</v>
      </c>
      <c r="Z1068" s="19"/>
      <c r="AA1068" s="19"/>
      <c r="AB1068" s="17"/>
      <c r="AC1068" s="19"/>
    </row>
    <row r="1069" customFormat="false" ht="15" hidden="false" customHeight="false" outlineLevel="0" collapsed="false">
      <c r="A1069" s="10" t="s">
        <v>5344</v>
      </c>
      <c r="B1069" s="17" t="s">
        <v>121</v>
      </c>
      <c r="C1069" s="18" t="s">
        <v>122</v>
      </c>
      <c r="D1069" s="17" t="s">
        <v>19</v>
      </c>
      <c r="E1069" s="17" t="s">
        <v>229</v>
      </c>
      <c r="F1069" s="17" t="s">
        <v>4845</v>
      </c>
      <c r="G1069" s="17" t="s">
        <v>5160</v>
      </c>
      <c r="H1069" s="17" t="s">
        <v>30</v>
      </c>
      <c r="I1069" s="17" t="s">
        <v>277</v>
      </c>
      <c r="J1069" s="17" t="s">
        <v>233</v>
      </c>
      <c r="K1069" s="19"/>
      <c r="L1069" s="19"/>
      <c r="M1069" s="19"/>
      <c r="N1069" s="19"/>
      <c r="O1069" s="17" t="n">
        <v>2</v>
      </c>
      <c r="P1069" s="18" t="s">
        <v>5216</v>
      </c>
      <c r="Q1069" s="18" t="s">
        <v>5327</v>
      </c>
      <c r="R1069" s="18" t="s">
        <v>5345</v>
      </c>
      <c r="S1069" s="17" t="s">
        <v>5346</v>
      </c>
      <c r="T1069" s="18" t="s">
        <v>5261</v>
      </c>
      <c r="U1069" s="19"/>
      <c r="V1069" s="18" t="s">
        <v>5347</v>
      </c>
      <c r="W1069" s="17" t="s">
        <v>240</v>
      </c>
      <c r="X1069" s="17" t="s">
        <v>5087</v>
      </c>
      <c r="Y1069" s="17" t="s">
        <v>242</v>
      </c>
      <c r="Z1069" s="19"/>
      <c r="AA1069" s="19"/>
      <c r="AB1069" s="17" t="s">
        <v>1681</v>
      </c>
      <c r="AC1069" s="19"/>
    </row>
    <row r="1070" customFormat="false" ht="15" hidden="false" customHeight="false" outlineLevel="0" collapsed="false">
      <c r="A1070" s="10" t="s">
        <v>5348</v>
      </c>
      <c r="B1070" s="17" t="s">
        <v>121</v>
      </c>
      <c r="C1070" s="18" t="s">
        <v>122</v>
      </c>
      <c r="D1070" s="17" t="s">
        <v>19</v>
      </c>
      <c r="E1070" s="17" t="s">
        <v>75</v>
      </c>
      <c r="F1070" s="17" t="s">
        <v>4845</v>
      </c>
      <c r="G1070" s="17" t="s">
        <v>5160</v>
      </c>
      <c r="H1070" s="17" t="s">
        <v>30</v>
      </c>
      <c r="I1070" s="17" t="s">
        <v>277</v>
      </c>
      <c r="J1070" s="17" t="s">
        <v>233</v>
      </c>
      <c r="K1070" s="19"/>
      <c r="L1070" s="19"/>
      <c r="M1070" s="19"/>
      <c r="N1070" s="19"/>
      <c r="O1070" s="17" t="n">
        <v>3</v>
      </c>
      <c r="P1070" s="18" t="s">
        <v>5216</v>
      </c>
      <c r="Q1070" s="18" t="s">
        <v>5327</v>
      </c>
      <c r="R1070" s="18" t="s">
        <v>5349</v>
      </c>
      <c r="S1070" s="17" t="s">
        <v>5344</v>
      </c>
      <c r="T1070" s="18" t="s">
        <v>5265</v>
      </c>
      <c r="U1070" s="19"/>
      <c r="V1070" s="18" t="s">
        <v>5350</v>
      </c>
      <c r="W1070" s="17" t="s">
        <v>240</v>
      </c>
      <c r="X1070" s="17" t="s">
        <v>5318</v>
      </c>
      <c r="Y1070" s="17" t="s">
        <v>242</v>
      </c>
      <c r="Z1070" s="19"/>
      <c r="AA1070" s="19"/>
      <c r="AB1070" s="17"/>
      <c r="AC1070" s="19"/>
    </row>
    <row r="1071" customFormat="false" ht="15" hidden="false" customHeight="false" outlineLevel="0" collapsed="false">
      <c r="A1071" s="10" t="s">
        <v>5351</v>
      </c>
      <c r="B1071" s="17" t="s">
        <v>121</v>
      </c>
      <c r="C1071" s="18" t="s">
        <v>122</v>
      </c>
      <c r="D1071" s="17" t="s">
        <v>19</v>
      </c>
      <c r="E1071" s="17" t="s">
        <v>75</v>
      </c>
      <c r="F1071" s="17" t="s">
        <v>4845</v>
      </c>
      <c r="G1071" s="17" t="s">
        <v>5160</v>
      </c>
      <c r="H1071" s="17" t="s">
        <v>30</v>
      </c>
      <c r="I1071" s="17" t="s">
        <v>1346</v>
      </c>
      <c r="J1071" s="17" t="s">
        <v>233</v>
      </c>
      <c r="K1071" s="19"/>
      <c r="L1071" s="19"/>
      <c r="M1071" s="19"/>
      <c r="N1071" s="19"/>
      <c r="O1071" s="17" t="n">
        <v>3</v>
      </c>
      <c r="P1071" s="18" t="s">
        <v>5216</v>
      </c>
      <c r="Q1071" s="18" t="s">
        <v>5327</v>
      </c>
      <c r="R1071" s="18" t="s">
        <v>5352</v>
      </c>
      <c r="S1071" s="17" t="s">
        <v>5335</v>
      </c>
      <c r="T1071" s="18" t="s">
        <v>5270</v>
      </c>
      <c r="U1071" s="19"/>
      <c r="V1071" s="18" t="s">
        <v>5321</v>
      </c>
      <c r="W1071" s="17" t="s">
        <v>240</v>
      </c>
      <c r="X1071" s="17" t="s">
        <v>5272</v>
      </c>
      <c r="Y1071" s="17" t="s">
        <v>242</v>
      </c>
      <c r="Z1071" s="19"/>
      <c r="AA1071" s="19"/>
      <c r="AB1071" s="17"/>
      <c r="AC1071" s="19"/>
    </row>
    <row r="1072" customFormat="false" ht="22.35" hidden="false" customHeight="false" outlineLevel="0" collapsed="false">
      <c r="A1072" s="10" t="s">
        <v>5353</v>
      </c>
      <c r="B1072" s="17" t="s">
        <v>121</v>
      </c>
      <c r="C1072" s="18" t="s">
        <v>122</v>
      </c>
      <c r="D1072" s="17" t="s">
        <v>19</v>
      </c>
      <c r="E1072" s="17" t="s">
        <v>75</v>
      </c>
      <c r="F1072" s="17" t="s">
        <v>4845</v>
      </c>
      <c r="G1072" s="17" t="s">
        <v>5160</v>
      </c>
      <c r="H1072" s="17" t="s">
        <v>30</v>
      </c>
      <c r="I1072" s="17" t="s">
        <v>928</v>
      </c>
      <c r="J1072" s="17" t="s">
        <v>233</v>
      </c>
      <c r="K1072" s="19"/>
      <c r="L1072" s="19"/>
      <c r="M1072" s="19"/>
      <c r="N1072" s="19"/>
      <c r="O1072" s="17" t="n">
        <v>4</v>
      </c>
      <c r="P1072" s="18" t="s">
        <v>5216</v>
      </c>
      <c r="Q1072" s="18" t="s">
        <v>5327</v>
      </c>
      <c r="R1072" s="18" t="s">
        <v>5354</v>
      </c>
      <c r="S1072" s="17" t="s">
        <v>5355</v>
      </c>
      <c r="T1072" s="18" t="s">
        <v>5276</v>
      </c>
      <c r="U1072" s="19"/>
      <c r="V1072" s="18" t="s">
        <v>5356</v>
      </c>
      <c r="W1072" s="17" t="s">
        <v>240</v>
      </c>
      <c r="X1072" s="17" t="s">
        <v>5278</v>
      </c>
      <c r="Y1072" s="17" t="s">
        <v>242</v>
      </c>
      <c r="Z1072" s="19"/>
      <c r="AA1072" s="19"/>
      <c r="AB1072" s="17"/>
      <c r="AC1072" s="19"/>
    </row>
    <row r="1073" customFormat="false" ht="22.35" hidden="false" customHeight="false" outlineLevel="0" collapsed="false">
      <c r="A1073" s="10" t="s">
        <v>5357</v>
      </c>
      <c r="B1073" s="17" t="s">
        <v>121</v>
      </c>
      <c r="C1073" s="18" t="s">
        <v>122</v>
      </c>
      <c r="D1073" s="17" t="s">
        <v>19</v>
      </c>
      <c r="E1073" s="17" t="s">
        <v>75</v>
      </c>
      <c r="F1073" s="17" t="s">
        <v>4845</v>
      </c>
      <c r="G1073" s="17" t="s">
        <v>5160</v>
      </c>
      <c r="H1073" s="17" t="s">
        <v>30</v>
      </c>
      <c r="I1073" s="17" t="s">
        <v>232</v>
      </c>
      <c r="J1073" s="17" t="s">
        <v>233</v>
      </c>
      <c r="K1073" s="19"/>
      <c r="L1073" s="19"/>
      <c r="M1073" s="19"/>
      <c r="N1073" s="19"/>
      <c r="O1073" s="17" t="n">
        <v>1</v>
      </c>
      <c r="P1073" s="18" t="s">
        <v>5216</v>
      </c>
      <c r="Q1073" s="18" t="s">
        <v>5358</v>
      </c>
      <c r="R1073" s="18" t="s">
        <v>5359</v>
      </c>
      <c r="S1073" s="17" t="s">
        <v>5057</v>
      </c>
      <c r="T1073" s="18" t="s">
        <v>788</v>
      </c>
      <c r="U1073" s="19"/>
      <c r="V1073" s="18" t="s">
        <v>5360</v>
      </c>
      <c r="W1073" s="17" t="s">
        <v>240</v>
      </c>
      <c r="X1073" s="17" t="s">
        <v>5361</v>
      </c>
      <c r="Y1073" s="17" t="s">
        <v>242</v>
      </c>
      <c r="Z1073" s="19"/>
      <c r="AA1073" s="19"/>
      <c r="AB1073" s="17"/>
      <c r="AC1073" s="19"/>
    </row>
    <row r="1074" customFormat="false" ht="22.35" hidden="false" customHeight="false" outlineLevel="0" collapsed="false">
      <c r="A1074" s="10" t="s">
        <v>5362</v>
      </c>
      <c r="B1074" s="17" t="s">
        <v>121</v>
      </c>
      <c r="C1074" s="18" t="s">
        <v>122</v>
      </c>
      <c r="D1074" s="17" t="s">
        <v>19</v>
      </c>
      <c r="E1074" s="17" t="s">
        <v>229</v>
      </c>
      <c r="F1074" s="17" t="s">
        <v>4845</v>
      </c>
      <c r="G1074" s="17" t="s">
        <v>5160</v>
      </c>
      <c r="H1074" s="17" t="s">
        <v>30</v>
      </c>
      <c r="I1074" s="17" t="s">
        <v>974</v>
      </c>
      <c r="J1074" s="17" t="s">
        <v>233</v>
      </c>
      <c r="K1074" s="19"/>
      <c r="L1074" s="19"/>
      <c r="M1074" s="19"/>
      <c r="N1074" s="19"/>
      <c r="O1074" s="17" t="n">
        <v>2</v>
      </c>
      <c r="P1074" s="18" t="s">
        <v>5216</v>
      </c>
      <c r="Q1074" s="18" t="s">
        <v>5358</v>
      </c>
      <c r="R1074" s="18" t="s">
        <v>5363</v>
      </c>
      <c r="S1074" s="17" t="s">
        <v>5364</v>
      </c>
      <c r="T1074" s="18" t="s">
        <v>2209</v>
      </c>
      <c r="U1074" s="19"/>
      <c r="V1074" s="18" t="s">
        <v>5365</v>
      </c>
      <c r="W1074" s="17" t="s">
        <v>240</v>
      </c>
      <c r="X1074" s="17" t="s">
        <v>5366</v>
      </c>
      <c r="Y1074" s="17" t="s">
        <v>242</v>
      </c>
      <c r="Z1074" s="19"/>
      <c r="AA1074" s="19"/>
      <c r="AB1074" s="17"/>
      <c r="AC1074" s="19"/>
    </row>
    <row r="1075" customFormat="false" ht="22.35" hidden="false" customHeight="false" outlineLevel="0" collapsed="false">
      <c r="A1075" s="10" t="s">
        <v>5367</v>
      </c>
      <c r="B1075" s="17" t="s">
        <v>121</v>
      </c>
      <c r="C1075" s="18" t="s">
        <v>122</v>
      </c>
      <c r="D1075" s="17" t="s">
        <v>19</v>
      </c>
      <c r="E1075" s="17" t="s">
        <v>229</v>
      </c>
      <c r="F1075" s="17" t="s">
        <v>4845</v>
      </c>
      <c r="G1075" s="17" t="s">
        <v>5160</v>
      </c>
      <c r="H1075" s="17" t="s">
        <v>30</v>
      </c>
      <c r="I1075" s="17" t="s">
        <v>974</v>
      </c>
      <c r="J1075" s="17" t="s">
        <v>233</v>
      </c>
      <c r="K1075" s="19"/>
      <c r="L1075" s="19"/>
      <c r="M1075" s="19"/>
      <c r="N1075" s="19"/>
      <c r="O1075" s="17" t="n">
        <v>3</v>
      </c>
      <c r="P1075" s="18" t="s">
        <v>5216</v>
      </c>
      <c r="Q1075" s="18" t="s">
        <v>5358</v>
      </c>
      <c r="R1075" s="18" t="s">
        <v>5368</v>
      </c>
      <c r="S1075" s="17" t="s">
        <v>5369</v>
      </c>
      <c r="T1075" s="18" t="s">
        <v>2209</v>
      </c>
      <c r="U1075" s="19"/>
      <c r="V1075" s="18" t="s">
        <v>5370</v>
      </c>
      <c r="W1075" s="17" t="s">
        <v>240</v>
      </c>
      <c r="X1075" s="17" t="s">
        <v>5371</v>
      </c>
      <c r="Y1075" s="17" t="s">
        <v>242</v>
      </c>
      <c r="Z1075" s="19"/>
      <c r="AA1075" s="19"/>
      <c r="AB1075" s="17"/>
      <c r="AC1075" s="19"/>
    </row>
    <row r="1076" customFormat="false" ht="22.35" hidden="false" customHeight="false" outlineLevel="0" collapsed="false">
      <c r="A1076" s="10" t="s">
        <v>5372</v>
      </c>
      <c r="B1076" s="17" t="s">
        <v>121</v>
      </c>
      <c r="C1076" s="18" t="s">
        <v>122</v>
      </c>
      <c r="D1076" s="17" t="s">
        <v>19</v>
      </c>
      <c r="E1076" s="17" t="s">
        <v>75</v>
      </c>
      <c r="F1076" s="17" t="s">
        <v>4845</v>
      </c>
      <c r="G1076" s="17" t="s">
        <v>5160</v>
      </c>
      <c r="H1076" s="17" t="s">
        <v>30</v>
      </c>
      <c r="I1076" s="17" t="s">
        <v>277</v>
      </c>
      <c r="J1076" s="17" t="s">
        <v>233</v>
      </c>
      <c r="K1076" s="19"/>
      <c r="L1076" s="19"/>
      <c r="M1076" s="19"/>
      <c r="N1076" s="19"/>
      <c r="O1076" s="17" t="n">
        <v>3</v>
      </c>
      <c r="P1076" s="18" t="s">
        <v>5216</v>
      </c>
      <c r="Q1076" s="18" t="s">
        <v>5358</v>
      </c>
      <c r="R1076" s="18" t="s">
        <v>5373</v>
      </c>
      <c r="S1076" s="17" t="s">
        <v>5374</v>
      </c>
      <c r="T1076" s="18" t="s">
        <v>5245</v>
      </c>
      <c r="U1076" s="19"/>
      <c r="V1076" s="18" t="s">
        <v>5375</v>
      </c>
      <c r="W1076" s="17" t="s">
        <v>240</v>
      </c>
      <c r="X1076" s="17" t="s">
        <v>5247</v>
      </c>
      <c r="Y1076" s="17" t="s">
        <v>242</v>
      </c>
      <c r="Z1076" s="19"/>
      <c r="AA1076" s="19"/>
      <c r="AB1076" s="17"/>
      <c r="AC1076" s="19"/>
    </row>
    <row r="1077" customFormat="false" ht="22.35" hidden="false" customHeight="false" outlineLevel="0" collapsed="false">
      <c r="A1077" s="10" t="s">
        <v>5376</v>
      </c>
      <c r="B1077" s="17" t="s">
        <v>121</v>
      </c>
      <c r="C1077" s="18" t="s">
        <v>122</v>
      </c>
      <c r="D1077" s="17" t="s">
        <v>19</v>
      </c>
      <c r="E1077" s="17" t="s">
        <v>229</v>
      </c>
      <c r="F1077" s="17" t="s">
        <v>4845</v>
      </c>
      <c r="G1077" s="17" t="s">
        <v>5160</v>
      </c>
      <c r="H1077" s="17" t="s">
        <v>30</v>
      </c>
      <c r="I1077" s="17" t="s">
        <v>277</v>
      </c>
      <c r="J1077" s="17" t="s">
        <v>233</v>
      </c>
      <c r="K1077" s="19"/>
      <c r="L1077" s="19"/>
      <c r="M1077" s="19"/>
      <c r="N1077" s="19"/>
      <c r="O1077" s="17" t="n">
        <v>2</v>
      </c>
      <c r="P1077" s="18" t="s">
        <v>5216</v>
      </c>
      <c r="Q1077" s="18" t="s">
        <v>5358</v>
      </c>
      <c r="R1077" s="18" t="s">
        <v>5377</v>
      </c>
      <c r="S1077" s="17" t="s">
        <v>5107</v>
      </c>
      <c r="T1077" s="18" t="s">
        <v>5378</v>
      </c>
      <c r="U1077" s="19"/>
      <c r="V1077" s="18" t="s">
        <v>5379</v>
      </c>
      <c r="W1077" s="17" t="s">
        <v>240</v>
      </c>
      <c r="X1077" s="17" t="s">
        <v>263</v>
      </c>
      <c r="Y1077" s="17" t="s">
        <v>242</v>
      </c>
      <c r="Z1077" s="19"/>
      <c r="AA1077" s="19"/>
      <c r="AB1077" s="17"/>
      <c r="AC1077" s="19"/>
    </row>
    <row r="1078" customFormat="false" ht="15" hidden="false" customHeight="false" outlineLevel="0" collapsed="false">
      <c r="A1078" s="10" t="s">
        <v>5380</v>
      </c>
      <c r="B1078" s="17" t="s">
        <v>121</v>
      </c>
      <c r="C1078" s="18" t="s">
        <v>122</v>
      </c>
      <c r="D1078" s="17" t="s">
        <v>19</v>
      </c>
      <c r="E1078" s="17" t="s">
        <v>75</v>
      </c>
      <c r="F1078" s="17" t="s">
        <v>4845</v>
      </c>
      <c r="G1078" s="17" t="s">
        <v>5160</v>
      </c>
      <c r="H1078" s="17" t="s">
        <v>30</v>
      </c>
      <c r="I1078" s="17" t="s">
        <v>928</v>
      </c>
      <c r="J1078" s="17" t="s">
        <v>233</v>
      </c>
      <c r="K1078" s="19"/>
      <c r="L1078" s="19"/>
      <c r="M1078" s="19"/>
      <c r="N1078" s="19"/>
      <c r="O1078" s="17" t="n">
        <v>4</v>
      </c>
      <c r="P1078" s="18" t="s">
        <v>5216</v>
      </c>
      <c r="Q1078" s="18" t="s">
        <v>5358</v>
      </c>
      <c r="R1078" s="18" t="s">
        <v>5381</v>
      </c>
      <c r="S1078" s="17" t="s">
        <v>5382</v>
      </c>
      <c r="T1078" s="18" t="s">
        <v>5276</v>
      </c>
      <c r="U1078" s="19"/>
      <c r="V1078" s="18" t="s">
        <v>5383</v>
      </c>
      <c r="W1078" s="17" t="s">
        <v>240</v>
      </c>
      <c r="X1078" s="17" t="s">
        <v>5278</v>
      </c>
      <c r="Y1078" s="17" t="s">
        <v>242</v>
      </c>
      <c r="Z1078" s="19"/>
      <c r="AA1078" s="19"/>
      <c r="AB1078" s="17"/>
      <c r="AC1078" s="19"/>
    </row>
    <row r="1079" customFormat="false" ht="22.35" hidden="false" customHeight="false" outlineLevel="0" collapsed="false">
      <c r="A1079" s="10" t="s">
        <v>5384</v>
      </c>
      <c r="B1079" s="17" t="s">
        <v>121</v>
      </c>
      <c r="C1079" s="18" t="s">
        <v>122</v>
      </c>
      <c r="D1079" s="17" t="s">
        <v>19</v>
      </c>
      <c r="E1079" s="17" t="s">
        <v>75</v>
      </c>
      <c r="F1079" s="17" t="s">
        <v>4845</v>
      </c>
      <c r="G1079" s="17" t="s">
        <v>5160</v>
      </c>
      <c r="H1079" s="17" t="s">
        <v>30</v>
      </c>
      <c r="I1079" s="17" t="s">
        <v>928</v>
      </c>
      <c r="J1079" s="17" t="s">
        <v>233</v>
      </c>
      <c r="K1079" s="19"/>
      <c r="L1079" s="19"/>
      <c r="M1079" s="19"/>
      <c r="N1079" s="19"/>
      <c r="O1079" s="17" t="n">
        <v>3</v>
      </c>
      <c r="P1079" s="18" t="s">
        <v>5216</v>
      </c>
      <c r="Q1079" s="18" t="s">
        <v>5385</v>
      </c>
      <c r="R1079" s="18" t="s">
        <v>5386</v>
      </c>
      <c r="S1079" s="17" t="s">
        <v>5171</v>
      </c>
      <c r="T1079" s="18" t="s">
        <v>5282</v>
      </c>
      <c r="U1079" s="19"/>
      <c r="V1079" s="18" t="s">
        <v>5387</v>
      </c>
      <c r="W1079" s="17" t="s">
        <v>240</v>
      </c>
      <c r="X1079" s="17" t="s">
        <v>5388</v>
      </c>
      <c r="Y1079" s="17" t="s">
        <v>242</v>
      </c>
      <c r="Z1079" s="19"/>
      <c r="AA1079" s="19"/>
      <c r="AB1079" s="17"/>
      <c r="AC1079" s="19"/>
    </row>
    <row r="1080" customFormat="false" ht="22.35" hidden="false" customHeight="false" outlineLevel="0" collapsed="false">
      <c r="A1080" s="10" t="s">
        <v>5389</v>
      </c>
      <c r="B1080" s="17" t="s">
        <v>121</v>
      </c>
      <c r="C1080" s="18" t="s">
        <v>122</v>
      </c>
      <c r="D1080" s="17" t="s">
        <v>19</v>
      </c>
      <c r="E1080" s="17" t="s">
        <v>75</v>
      </c>
      <c r="F1080" s="17" t="s">
        <v>4845</v>
      </c>
      <c r="G1080" s="17" t="s">
        <v>5160</v>
      </c>
      <c r="H1080" s="17" t="s">
        <v>30</v>
      </c>
      <c r="I1080" s="17" t="s">
        <v>974</v>
      </c>
      <c r="J1080" s="17" t="s">
        <v>233</v>
      </c>
      <c r="K1080" s="19"/>
      <c r="L1080" s="19"/>
      <c r="M1080" s="19"/>
      <c r="N1080" s="19"/>
      <c r="O1080" s="17" t="n">
        <v>3</v>
      </c>
      <c r="P1080" s="18" t="s">
        <v>5216</v>
      </c>
      <c r="Q1080" s="18" t="s">
        <v>5385</v>
      </c>
      <c r="R1080" s="18" t="s">
        <v>5390</v>
      </c>
      <c r="S1080" s="17" t="s">
        <v>5391</v>
      </c>
      <c r="T1080" s="18" t="s">
        <v>2209</v>
      </c>
      <c r="U1080" s="19"/>
      <c r="V1080" s="18" t="s">
        <v>5392</v>
      </c>
      <c r="W1080" s="17" t="s">
        <v>240</v>
      </c>
      <c r="X1080" s="17" t="s">
        <v>5013</v>
      </c>
      <c r="Y1080" s="17" t="s">
        <v>242</v>
      </c>
      <c r="Z1080" s="19"/>
      <c r="AA1080" s="19"/>
      <c r="AB1080" s="17"/>
      <c r="AC1080" s="19"/>
    </row>
    <row r="1081" customFormat="false" ht="22.35" hidden="false" customHeight="false" outlineLevel="0" collapsed="false">
      <c r="A1081" s="10" t="s">
        <v>5393</v>
      </c>
      <c r="B1081" s="17" t="s">
        <v>121</v>
      </c>
      <c r="C1081" s="18" t="s">
        <v>122</v>
      </c>
      <c r="D1081" s="17" t="s">
        <v>19</v>
      </c>
      <c r="E1081" s="17" t="s">
        <v>75</v>
      </c>
      <c r="F1081" s="17" t="s">
        <v>4845</v>
      </c>
      <c r="G1081" s="17" t="s">
        <v>5160</v>
      </c>
      <c r="H1081" s="17" t="s">
        <v>30</v>
      </c>
      <c r="I1081" s="17" t="s">
        <v>974</v>
      </c>
      <c r="J1081" s="17" t="s">
        <v>233</v>
      </c>
      <c r="K1081" s="19"/>
      <c r="L1081" s="19"/>
      <c r="M1081" s="19"/>
      <c r="N1081" s="19"/>
      <c r="O1081" s="17" t="n">
        <v>5</v>
      </c>
      <c r="P1081" s="18" t="s">
        <v>5216</v>
      </c>
      <c r="Q1081" s="18" t="s">
        <v>5385</v>
      </c>
      <c r="R1081" s="18" t="s">
        <v>5394</v>
      </c>
      <c r="S1081" s="17" t="s">
        <v>5395</v>
      </c>
      <c r="T1081" s="18" t="s">
        <v>2209</v>
      </c>
      <c r="U1081" s="19"/>
      <c r="V1081" s="18" t="s">
        <v>5396</v>
      </c>
      <c r="W1081" s="17" t="s">
        <v>240</v>
      </c>
      <c r="X1081" s="17" t="s">
        <v>5397</v>
      </c>
      <c r="Y1081" s="17" t="s">
        <v>242</v>
      </c>
      <c r="Z1081" s="19"/>
      <c r="AA1081" s="19"/>
      <c r="AB1081" s="17"/>
      <c r="AC1081" s="19"/>
    </row>
    <row r="1082" customFormat="false" ht="22.35" hidden="false" customHeight="false" outlineLevel="0" collapsed="false">
      <c r="A1082" s="10" t="s">
        <v>5398</v>
      </c>
      <c r="B1082" s="17" t="s">
        <v>121</v>
      </c>
      <c r="C1082" s="18" t="s">
        <v>122</v>
      </c>
      <c r="D1082" s="17" t="s">
        <v>19</v>
      </c>
      <c r="E1082" s="17" t="s">
        <v>75</v>
      </c>
      <c r="F1082" s="17" t="s">
        <v>4845</v>
      </c>
      <c r="G1082" s="17" t="s">
        <v>5160</v>
      </c>
      <c r="H1082" s="17" t="s">
        <v>30</v>
      </c>
      <c r="I1082" s="17" t="s">
        <v>277</v>
      </c>
      <c r="J1082" s="17" t="s">
        <v>233</v>
      </c>
      <c r="K1082" s="19"/>
      <c r="L1082" s="19"/>
      <c r="M1082" s="19"/>
      <c r="N1082" s="19"/>
      <c r="O1082" s="17" t="n">
        <v>3</v>
      </c>
      <c r="P1082" s="18" t="s">
        <v>5216</v>
      </c>
      <c r="Q1082" s="18" t="s">
        <v>5385</v>
      </c>
      <c r="R1082" s="18" t="s">
        <v>5399</v>
      </c>
      <c r="S1082" s="17" t="s">
        <v>5389</v>
      </c>
      <c r="T1082" s="18" t="s">
        <v>5245</v>
      </c>
      <c r="U1082" s="19"/>
      <c r="V1082" s="18" t="s">
        <v>5400</v>
      </c>
      <c r="W1082" s="17" t="s">
        <v>240</v>
      </c>
      <c r="X1082" s="17" t="s">
        <v>5401</v>
      </c>
      <c r="Y1082" s="17" t="s">
        <v>242</v>
      </c>
      <c r="Z1082" s="19"/>
      <c r="AA1082" s="19"/>
      <c r="AB1082" s="17"/>
      <c r="AC1082" s="19"/>
    </row>
    <row r="1083" customFormat="false" ht="22.35" hidden="false" customHeight="false" outlineLevel="0" collapsed="false">
      <c r="A1083" s="10" t="s">
        <v>5402</v>
      </c>
      <c r="B1083" s="17" t="s">
        <v>121</v>
      </c>
      <c r="C1083" s="18" t="s">
        <v>122</v>
      </c>
      <c r="D1083" s="17" t="s">
        <v>19</v>
      </c>
      <c r="E1083" s="17" t="s">
        <v>229</v>
      </c>
      <c r="F1083" s="17" t="s">
        <v>4845</v>
      </c>
      <c r="G1083" s="17" t="s">
        <v>5160</v>
      </c>
      <c r="H1083" s="17" t="s">
        <v>30</v>
      </c>
      <c r="I1083" s="17" t="s">
        <v>277</v>
      </c>
      <c r="J1083" s="17" t="s">
        <v>233</v>
      </c>
      <c r="K1083" s="19"/>
      <c r="L1083" s="19"/>
      <c r="M1083" s="19"/>
      <c r="N1083" s="19"/>
      <c r="O1083" s="17" t="n">
        <v>3</v>
      </c>
      <c r="P1083" s="18" t="s">
        <v>5216</v>
      </c>
      <c r="Q1083" s="18" t="s">
        <v>5385</v>
      </c>
      <c r="R1083" s="18" t="s">
        <v>5403</v>
      </c>
      <c r="S1083" s="17" t="s">
        <v>5404</v>
      </c>
      <c r="T1083" s="18" t="s">
        <v>5261</v>
      </c>
      <c r="U1083" s="19"/>
      <c r="V1083" s="18" t="s">
        <v>5405</v>
      </c>
      <c r="W1083" s="17" t="s">
        <v>240</v>
      </c>
      <c r="X1083" s="17" t="s">
        <v>1477</v>
      </c>
      <c r="Y1083" s="17" t="s">
        <v>242</v>
      </c>
      <c r="Z1083" s="19"/>
      <c r="AA1083" s="19"/>
      <c r="AB1083" s="17"/>
      <c r="AC1083" s="19"/>
    </row>
    <row r="1084" customFormat="false" ht="15" hidden="false" customHeight="false" outlineLevel="0" collapsed="false">
      <c r="A1084" s="10" t="s">
        <v>5406</v>
      </c>
      <c r="B1084" s="17" t="s">
        <v>121</v>
      </c>
      <c r="C1084" s="18" t="s">
        <v>122</v>
      </c>
      <c r="D1084" s="17" t="s">
        <v>19</v>
      </c>
      <c r="E1084" s="17" t="s">
        <v>75</v>
      </c>
      <c r="F1084" s="17" t="s">
        <v>4845</v>
      </c>
      <c r="G1084" s="17" t="s">
        <v>5160</v>
      </c>
      <c r="H1084" s="17" t="s">
        <v>30</v>
      </c>
      <c r="I1084" s="17" t="s">
        <v>928</v>
      </c>
      <c r="J1084" s="17" t="s">
        <v>233</v>
      </c>
      <c r="K1084" s="19"/>
      <c r="L1084" s="19"/>
      <c r="M1084" s="19"/>
      <c r="N1084" s="19"/>
      <c r="O1084" s="17" t="n">
        <v>5</v>
      </c>
      <c r="P1084" s="18" t="s">
        <v>5216</v>
      </c>
      <c r="Q1084" s="18" t="s">
        <v>5385</v>
      </c>
      <c r="R1084" s="18" t="s">
        <v>5407</v>
      </c>
      <c r="S1084" s="17" t="s">
        <v>5408</v>
      </c>
      <c r="T1084" s="18" t="s">
        <v>5276</v>
      </c>
      <c r="U1084" s="19"/>
      <c r="V1084" s="18" t="s">
        <v>5409</v>
      </c>
      <c r="W1084" s="17" t="s">
        <v>240</v>
      </c>
      <c r="X1084" s="17" t="s">
        <v>5278</v>
      </c>
      <c r="Y1084" s="17" t="s">
        <v>242</v>
      </c>
      <c r="Z1084" s="19"/>
      <c r="AA1084" s="19"/>
      <c r="AB1084" s="17"/>
      <c r="AC1084" s="19"/>
    </row>
    <row r="1085" customFormat="false" ht="22.35" hidden="false" customHeight="false" outlineLevel="0" collapsed="false">
      <c r="A1085" s="10" t="s">
        <v>5410</v>
      </c>
      <c r="B1085" s="17" t="s">
        <v>121</v>
      </c>
      <c r="C1085" s="18" t="s">
        <v>122</v>
      </c>
      <c r="D1085" s="17" t="s">
        <v>19</v>
      </c>
      <c r="E1085" s="17" t="s">
        <v>75</v>
      </c>
      <c r="F1085" s="17" t="s">
        <v>4845</v>
      </c>
      <c r="G1085" s="17" t="s">
        <v>5160</v>
      </c>
      <c r="H1085" s="17" t="s">
        <v>30</v>
      </c>
      <c r="I1085" s="17" t="s">
        <v>974</v>
      </c>
      <c r="J1085" s="17" t="s">
        <v>233</v>
      </c>
      <c r="K1085" s="19"/>
      <c r="L1085" s="19"/>
      <c r="M1085" s="19"/>
      <c r="N1085" s="19"/>
      <c r="O1085" s="17" t="n">
        <v>2</v>
      </c>
      <c r="P1085" s="18" t="s">
        <v>5216</v>
      </c>
      <c r="Q1085" s="18" t="s">
        <v>5411</v>
      </c>
      <c r="R1085" s="18" t="s">
        <v>5412</v>
      </c>
      <c r="S1085" s="17" t="s">
        <v>5112</v>
      </c>
      <c r="T1085" s="18" t="s">
        <v>5413</v>
      </c>
      <c r="U1085" s="19"/>
      <c r="V1085" s="18" t="s">
        <v>5414</v>
      </c>
      <c r="W1085" s="17" t="s">
        <v>240</v>
      </c>
      <c r="X1085" s="17" t="s">
        <v>5330</v>
      </c>
      <c r="Y1085" s="17" t="s">
        <v>242</v>
      </c>
      <c r="Z1085" s="19"/>
      <c r="AA1085" s="19"/>
      <c r="AB1085" s="17"/>
      <c r="AC1085" s="19"/>
    </row>
    <row r="1086" customFormat="false" ht="22.35" hidden="false" customHeight="false" outlineLevel="0" collapsed="false">
      <c r="A1086" s="10" t="s">
        <v>5415</v>
      </c>
      <c r="B1086" s="17" t="s">
        <v>121</v>
      </c>
      <c r="C1086" s="18" t="s">
        <v>122</v>
      </c>
      <c r="D1086" s="17" t="s">
        <v>19</v>
      </c>
      <c r="E1086" s="17" t="s">
        <v>75</v>
      </c>
      <c r="F1086" s="17" t="s">
        <v>4845</v>
      </c>
      <c r="G1086" s="17" t="s">
        <v>5160</v>
      </c>
      <c r="H1086" s="17" t="s">
        <v>30</v>
      </c>
      <c r="I1086" s="17" t="s">
        <v>450</v>
      </c>
      <c r="J1086" s="17" t="s">
        <v>233</v>
      </c>
      <c r="K1086" s="19"/>
      <c r="L1086" s="19"/>
      <c r="M1086" s="19"/>
      <c r="N1086" s="19"/>
      <c r="O1086" s="17" t="n">
        <v>2</v>
      </c>
      <c r="P1086" s="18" t="s">
        <v>5216</v>
      </c>
      <c r="Q1086" s="18" t="s">
        <v>5411</v>
      </c>
      <c r="R1086" s="18" t="s">
        <v>5416</v>
      </c>
      <c r="S1086" s="17" t="s">
        <v>5410</v>
      </c>
      <c r="T1086" s="18" t="s">
        <v>5417</v>
      </c>
      <c r="U1086" s="19"/>
      <c r="V1086" s="18" t="s">
        <v>5418</v>
      </c>
      <c r="W1086" s="17" t="s">
        <v>240</v>
      </c>
      <c r="X1086" s="17" t="s">
        <v>5330</v>
      </c>
      <c r="Y1086" s="17" t="s">
        <v>242</v>
      </c>
      <c r="Z1086" s="19"/>
      <c r="AA1086" s="19"/>
      <c r="AB1086" s="17"/>
      <c r="AC1086" s="19"/>
    </row>
    <row r="1087" customFormat="false" ht="22.35" hidden="false" customHeight="false" outlineLevel="0" collapsed="false">
      <c r="A1087" s="10" t="s">
        <v>5419</v>
      </c>
      <c r="B1087" s="17" t="s">
        <v>121</v>
      </c>
      <c r="C1087" s="18" t="s">
        <v>122</v>
      </c>
      <c r="D1087" s="17" t="s">
        <v>19</v>
      </c>
      <c r="E1087" s="17" t="s">
        <v>75</v>
      </c>
      <c r="F1087" s="17" t="s">
        <v>4845</v>
      </c>
      <c r="G1087" s="17" t="s">
        <v>5160</v>
      </c>
      <c r="H1087" s="17" t="s">
        <v>30</v>
      </c>
      <c r="I1087" s="17" t="s">
        <v>974</v>
      </c>
      <c r="J1087" s="17" t="s">
        <v>233</v>
      </c>
      <c r="K1087" s="19"/>
      <c r="L1087" s="19"/>
      <c r="M1087" s="19"/>
      <c r="N1087" s="19"/>
      <c r="O1087" s="17" t="n">
        <v>2</v>
      </c>
      <c r="P1087" s="18" t="s">
        <v>5216</v>
      </c>
      <c r="Q1087" s="18" t="s">
        <v>5411</v>
      </c>
      <c r="R1087" s="18" t="s">
        <v>5420</v>
      </c>
      <c r="S1087" s="17" t="s">
        <v>5421</v>
      </c>
      <c r="T1087" s="18" t="s">
        <v>5422</v>
      </c>
      <c r="U1087" s="19"/>
      <c r="V1087" s="18" t="s">
        <v>5423</v>
      </c>
      <c r="W1087" s="17" t="s">
        <v>240</v>
      </c>
      <c r="X1087" s="17" t="s">
        <v>5166</v>
      </c>
      <c r="Y1087" s="17" t="s">
        <v>242</v>
      </c>
      <c r="Z1087" s="19"/>
      <c r="AA1087" s="19"/>
      <c r="AB1087" s="17"/>
      <c r="AC1087" s="19"/>
    </row>
    <row r="1088" customFormat="false" ht="22.35" hidden="false" customHeight="false" outlineLevel="0" collapsed="false">
      <c r="A1088" s="10" t="s">
        <v>5424</v>
      </c>
      <c r="B1088" s="17" t="s">
        <v>121</v>
      </c>
      <c r="C1088" s="18" t="s">
        <v>122</v>
      </c>
      <c r="D1088" s="17" t="s">
        <v>19</v>
      </c>
      <c r="E1088" s="17" t="s">
        <v>229</v>
      </c>
      <c r="F1088" s="17" t="s">
        <v>4845</v>
      </c>
      <c r="G1088" s="17" t="s">
        <v>5160</v>
      </c>
      <c r="H1088" s="17" t="s">
        <v>30</v>
      </c>
      <c r="I1088" s="17" t="s">
        <v>277</v>
      </c>
      <c r="J1088" s="17" t="s">
        <v>233</v>
      </c>
      <c r="K1088" s="19"/>
      <c r="L1088" s="19"/>
      <c r="M1088" s="19"/>
      <c r="N1088" s="19"/>
      <c r="O1088" s="17" t="n">
        <v>2</v>
      </c>
      <c r="P1088" s="18" t="s">
        <v>5216</v>
      </c>
      <c r="Q1088" s="18" t="s">
        <v>5411</v>
      </c>
      <c r="R1088" s="18" t="s">
        <v>5425</v>
      </c>
      <c r="S1088" s="17" t="s">
        <v>5415</v>
      </c>
      <c r="T1088" s="18" t="s">
        <v>5426</v>
      </c>
      <c r="U1088" s="19"/>
      <c r="V1088" s="18" t="s">
        <v>5427</v>
      </c>
      <c r="W1088" s="17" t="s">
        <v>240</v>
      </c>
      <c r="X1088" s="17" t="s">
        <v>5087</v>
      </c>
      <c r="Y1088" s="17" t="s">
        <v>242</v>
      </c>
      <c r="Z1088" s="19"/>
      <c r="AA1088" s="19"/>
      <c r="AB1088" s="17"/>
      <c r="AC1088" s="19"/>
    </row>
    <row r="1089" customFormat="false" ht="22.35" hidden="false" customHeight="false" outlineLevel="0" collapsed="false">
      <c r="A1089" s="10" t="s">
        <v>5428</v>
      </c>
      <c r="B1089" s="17" t="s">
        <v>121</v>
      </c>
      <c r="C1089" s="18" t="s">
        <v>122</v>
      </c>
      <c r="D1089" s="17" t="s">
        <v>19</v>
      </c>
      <c r="E1089" s="17" t="s">
        <v>75</v>
      </c>
      <c r="F1089" s="17" t="s">
        <v>4845</v>
      </c>
      <c r="G1089" s="17" t="s">
        <v>5160</v>
      </c>
      <c r="H1089" s="17" t="s">
        <v>30</v>
      </c>
      <c r="I1089" s="17" t="s">
        <v>283</v>
      </c>
      <c r="J1089" s="17" t="s">
        <v>233</v>
      </c>
      <c r="K1089" s="19"/>
      <c r="L1089" s="19"/>
      <c r="M1089" s="19"/>
      <c r="N1089" s="19"/>
      <c r="O1089" s="17" t="n">
        <v>4</v>
      </c>
      <c r="P1089" s="18" t="s">
        <v>5216</v>
      </c>
      <c r="Q1089" s="18" t="s">
        <v>4948</v>
      </c>
      <c r="R1089" s="18" t="s">
        <v>5429</v>
      </c>
      <c r="S1089" s="17" t="s">
        <v>5430</v>
      </c>
      <c r="T1089" s="18" t="s">
        <v>4951</v>
      </c>
      <c r="U1089" s="19"/>
      <c r="V1089" s="18" t="s">
        <v>5431</v>
      </c>
      <c r="W1089" s="17" t="s">
        <v>240</v>
      </c>
      <c r="X1089" s="17" t="s">
        <v>5432</v>
      </c>
      <c r="Y1089" s="17" t="s">
        <v>242</v>
      </c>
      <c r="Z1089" s="19"/>
      <c r="AA1089" s="19"/>
      <c r="AB1089" s="17" t="s">
        <v>1681</v>
      </c>
      <c r="AC1089" s="19"/>
    </row>
    <row r="1090" customFormat="false" ht="22.35" hidden="false" customHeight="false" outlineLevel="0" collapsed="false">
      <c r="A1090" s="10" t="s">
        <v>5433</v>
      </c>
      <c r="B1090" s="17" t="s">
        <v>121</v>
      </c>
      <c r="C1090" s="18" t="s">
        <v>122</v>
      </c>
      <c r="D1090" s="17" t="s">
        <v>19</v>
      </c>
      <c r="E1090" s="17" t="s">
        <v>229</v>
      </c>
      <c r="F1090" s="17" t="s">
        <v>4845</v>
      </c>
      <c r="G1090" s="17" t="s">
        <v>5160</v>
      </c>
      <c r="H1090" s="17" t="s">
        <v>30</v>
      </c>
      <c r="I1090" s="17" t="s">
        <v>232</v>
      </c>
      <c r="J1090" s="17" t="s">
        <v>233</v>
      </c>
      <c r="K1090" s="19"/>
      <c r="L1090" s="19"/>
      <c r="M1090" s="19"/>
      <c r="N1090" s="19"/>
      <c r="O1090" s="17" t="n">
        <v>0</v>
      </c>
      <c r="P1090" s="18" t="s">
        <v>5434</v>
      </c>
      <c r="Q1090" s="18" t="s">
        <v>5435</v>
      </c>
      <c r="R1090" s="18" t="s">
        <v>5436</v>
      </c>
      <c r="S1090" s="17" t="s">
        <v>5057</v>
      </c>
      <c r="T1090" s="18" t="s">
        <v>788</v>
      </c>
      <c r="U1090" s="19"/>
      <c r="V1090" s="18" t="s">
        <v>5437</v>
      </c>
      <c r="W1090" s="17" t="s">
        <v>240</v>
      </c>
      <c r="X1090" s="17" t="s">
        <v>5438</v>
      </c>
      <c r="Y1090" s="17" t="s">
        <v>242</v>
      </c>
      <c r="Z1090" s="19"/>
      <c r="AA1090" s="19"/>
      <c r="AB1090" s="17"/>
      <c r="AC1090" s="19"/>
    </row>
    <row r="1091" customFormat="false" ht="22.35" hidden="false" customHeight="false" outlineLevel="0" collapsed="false">
      <c r="A1091" s="10" t="s">
        <v>5439</v>
      </c>
      <c r="B1091" s="17" t="s">
        <v>121</v>
      </c>
      <c r="C1091" s="18" t="s">
        <v>122</v>
      </c>
      <c r="D1091" s="17" t="s">
        <v>19</v>
      </c>
      <c r="E1091" s="17" t="s">
        <v>75</v>
      </c>
      <c r="F1091" s="17" t="s">
        <v>4845</v>
      </c>
      <c r="G1091" s="17" t="s">
        <v>5160</v>
      </c>
      <c r="H1091" s="17" t="s">
        <v>30</v>
      </c>
      <c r="I1091" s="17" t="s">
        <v>333</v>
      </c>
      <c r="J1091" s="17" t="s">
        <v>233</v>
      </c>
      <c r="K1091" s="19"/>
      <c r="L1091" s="19"/>
      <c r="M1091" s="19"/>
      <c r="N1091" s="19"/>
      <c r="O1091" s="17" t="n">
        <v>1</v>
      </c>
      <c r="P1091" s="18" t="s">
        <v>5434</v>
      </c>
      <c r="Q1091" s="18" t="s">
        <v>5435</v>
      </c>
      <c r="R1091" s="18" t="s">
        <v>5440</v>
      </c>
      <c r="S1091" s="17" t="s">
        <v>4866</v>
      </c>
      <c r="T1091" s="18" t="s">
        <v>5441</v>
      </c>
      <c r="U1091" s="19"/>
      <c r="V1091" s="18" t="s">
        <v>5442</v>
      </c>
      <c r="W1091" s="17" t="s">
        <v>240</v>
      </c>
      <c r="X1091" s="17" t="s">
        <v>5136</v>
      </c>
      <c r="Y1091" s="17" t="s">
        <v>242</v>
      </c>
      <c r="Z1091" s="19"/>
      <c r="AA1091" s="19"/>
      <c r="AB1091" s="17"/>
      <c r="AC1091" s="19"/>
    </row>
    <row r="1092" customFormat="false" ht="22.35" hidden="false" customHeight="false" outlineLevel="0" collapsed="false">
      <c r="A1092" s="10" t="s">
        <v>5443</v>
      </c>
      <c r="B1092" s="17" t="s">
        <v>121</v>
      </c>
      <c r="C1092" s="18" t="s">
        <v>122</v>
      </c>
      <c r="D1092" s="17" t="s">
        <v>19</v>
      </c>
      <c r="E1092" s="17" t="s">
        <v>75</v>
      </c>
      <c r="F1092" s="17" t="s">
        <v>4845</v>
      </c>
      <c r="G1092" s="17" t="s">
        <v>5160</v>
      </c>
      <c r="H1092" s="17" t="s">
        <v>30</v>
      </c>
      <c r="I1092" s="17" t="s">
        <v>316</v>
      </c>
      <c r="J1092" s="17" t="s">
        <v>233</v>
      </c>
      <c r="K1092" s="19"/>
      <c r="L1092" s="19"/>
      <c r="M1092" s="19"/>
      <c r="N1092" s="19"/>
      <c r="O1092" s="17" t="n">
        <v>1</v>
      </c>
      <c r="P1092" s="18" t="s">
        <v>5434</v>
      </c>
      <c r="Q1092" s="18" t="s">
        <v>5435</v>
      </c>
      <c r="R1092" s="18" t="s">
        <v>5444</v>
      </c>
      <c r="S1092" s="17" t="s">
        <v>5445</v>
      </c>
      <c r="T1092" s="18" t="s">
        <v>5446</v>
      </c>
      <c r="U1092" s="19"/>
      <c r="V1092" s="18" t="s">
        <v>5447</v>
      </c>
      <c r="W1092" s="17" t="s">
        <v>240</v>
      </c>
      <c r="X1092" s="17" t="s">
        <v>5448</v>
      </c>
      <c r="Y1092" s="17" t="s">
        <v>242</v>
      </c>
      <c r="Z1092" s="19"/>
      <c r="AA1092" s="19"/>
      <c r="AB1092" s="17"/>
      <c r="AC1092" s="19"/>
    </row>
    <row r="1093" customFormat="false" ht="22.35" hidden="false" customHeight="false" outlineLevel="0" collapsed="false">
      <c r="A1093" s="10" t="s">
        <v>5449</v>
      </c>
      <c r="B1093" s="17" t="s">
        <v>121</v>
      </c>
      <c r="C1093" s="18" t="s">
        <v>122</v>
      </c>
      <c r="D1093" s="17" t="s">
        <v>19</v>
      </c>
      <c r="E1093" s="17" t="s">
        <v>75</v>
      </c>
      <c r="F1093" s="17" t="s">
        <v>4845</v>
      </c>
      <c r="G1093" s="17" t="s">
        <v>5160</v>
      </c>
      <c r="H1093" s="17" t="s">
        <v>30</v>
      </c>
      <c r="I1093" s="17" t="s">
        <v>277</v>
      </c>
      <c r="J1093" s="17" t="s">
        <v>233</v>
      </c>
      <c r="K1093" s="19"/>
      <c r="L1093" s="19"/>
      <c r="M1093" s="19"/>
      <c r="N1093" s="19"/>
      <c r="O1093" s="17" t="n">
        <v>1</v>
      </c>
      <c r="P1093" s="18" t="s">
        <v>5434</v>
      </c>
      <c r="Q1093" s="18" t="s">
        <v>5435</v>
      </c>
      <c r="R1093" s="18" t="s">
        <v>5450</v>
      </c>
      <c r="S1093" s="17" t="s">
        <v>5443</v>
      </c>
      <c r="T1093" s="18" t="s">
        <v>5426</v>
      </c>
      <c r="U1093" s="19"/>
      <c r="V1093" s="18" t="s">
        <v>5451</v>
      </c>
      <c r="W1093" s="17" t="s">
        <v>240</v>
      </c>
      <c r="X1093" s="17" t="s">
        <v>5136</v>
      </c>
      <c r="Y1093" s="17" t="s">
        <v>242</v>
      </c>
      <c r="Z1093" s="19"/>
      <c r="AA1093" s="19"/>
      <c r="AB1093" s="17"/>
      <c r="AC1093" s="19"/>
    </row>
    <row r="1094" customFormat="false" ht="22.35" hidden="false" customHeight="false" outlineLevel="0" collapsed="false">
      <c r="A1094" s="10" t="s">
        <v>5452</v>
      </c>
      <c r="B1094" s="17" t="s">
        <v>121</v>
      </c>
      <c r="C1094" s="18" t="s">
        <v>122</v>
      </c>
      <c r="D1094" s="17" t="s">
        <v>19</v>
      </c>
      <c r="E1094" s="17" t="s">
        <v>75</v>
      </c>
      <c r="F1094" s="17" t="s">
        <v>4845</v>
      </c>
      <c r="G1094" s="17" t="s">
        <v>5160</v>
      </c>
      <c r="H1094" s="17" t="s">
        <v>30</v>
      </c>
      <c r="I1094" s="17" t="s">
        <v>277</v>
      </c>
      <c r="J1094" s="17" t="s">
        <v>233</v>
      </c>
      <c r="K1094" s="19"/>
      <c r="L1094" s="19"/>
      <c r="M1094" s="19"/>
      <c r="N1094" s="19"/>
      <c r="O1094" s="17" t="n">
        <v>2</v>
      </c>
      <c r="P1094" s="18" t="s">
        <v>5434</v>
      </c>
      <c r="Q1094" s="18" t="s">
        <v>5453</v>
      </c>
      <c r="R1094" s="18" t="s">
        <v>5454</v>
      </c>
      <c r="S1094" s="17" t="s">
        <v>5443</v>
      </c>
      <c r="T1094" s="18" t="s">
        <v>5455</v>
      </c>
      <c r="U1094" s="19"/>
      <c r="V1094" s="18" t="s">
        <v>5456</v>
      </c>
      <c r="W1094" s="17" t="s">
        <v>240</v>
      </c>
      <c r="X1094" s="17" t="s">
        <v>5457</v>
      </c>
      <c r="Y1094" s="17" t="s">
        <v>242</v>
      </c>
      <c r="Z1094" s="19"/>
      <c r="AA1094" s="19"/>
      <c r="AB1094" s="17"/>
      <c r="AC1094" s="19"/>
    </row>
    <row r="1095" customFormat="false" ht="22.35" hidden="false" customHeight="false" outlineLevel="0" collapsed="false">
      <c r="A1095" s="10" t="s">
        <v>5458</v>
      </c>
      <c r="B1095" s="17" t="s">
        <v>121</v>
      </c>
      <c r="C1095" s="18" t="s">
        <v>122</v>
      </c>
      <c r="D1095" s="17" t="s">
        <v>19</v>
      </c>
      <c r="E1095" s="17" t="s">
        <v>75</v>
      </c>
      <c r="F1095" s="17" t="s">
        <v>4845</v>
      </c>
      <c r="G1095" s="17" t="s">
        <v>5160</v>
      </c>
      <c r="H1095" s="17" t="s">
        <v>30</v>
      </c>
      <c r="I1095" s="17" t="s">
        <v>277</v>
      </c>
      <c r="J1095" s="17" t="s">
        <v>233</v>
      </c>
      <c r="K1095" s="19"/>
      <c r="L1095" s="19"/>
      <c r="M1095" s="19"/>
      <c r="N1095" s="19"/>
      <c r="O1095" s="17" t="n">
        <v>2</v>
      </c>
      <c r="P1095" s="18" t="s">
        <v>5434</v>
      </c>
      <c r="Q1095" s="18" t="s">
        <v>5453</v>
      </c>
      <c r="R1095" s="18" t="s">
        <v>5459</v>
      </c>
      <c r="S1095" s="17" t="s">
        <v>5443</v>
      </c>
      <c r="T1095" s="18" t="s">
        <v>5455</v>
      </c>
      <c r="U1095" s="19"/>
      <c r="V1095" s="18" t="s">
        <v>5460</v>
      </c>
      <c r="W1095" s="17" t="s">
        <v>240</v>
      </c>
      <c r="X1095" s="17" t="s">
        <v>5457</v>
      </c>
      <c r="Y1095" s="17" t="s">
        <v>242</v>
      </c>
      <c r="Z1095" s="19"/>
      <c r="AA1095" s="19"/>
      <c r="AB1095" s="17"/>
      <c r="AC1095" s="19"/>
    </row>
    <row r="1096" customFormat="false" ht="22.35" hidden="false" customHeight="false" outlineLevel="0" collapsed="false">
      <c r="A1096" s="10" t="s">
        <v>5461</v>
      </c>
      <c r="B1096" s="17" t="s">
        <v>121</v>
      </c>
      <c r="C1096" s="18" t="s">
        <v>122</v>
      </c>
      <c r="D1096" s="17" t="s">
        <v>19</v>
      </c>
      <c r="E1096" s="17" t="s">
        <v>75</v>
      </c>
      <c r="F1096" s="17" t="s">
        <v>4845</v>
      </c>
      <c r="G1096" s="17" t="s">
        <v>5160</v>
      </c>
      <c r="H1096" s="17" t="s">
        <v>30</v>
      </c>
      <c r="I1096" s="17" t="s">
        <v>277</v>
      </c>
      <c r="J1096" s="17" t="s">
        <v>233</v>
      </c>
      <c r="K1096" s="19"/>
      <c r="L1096" s="19"/>
      <c r="M1096" s="19"/>
      <c r="N1096" s="19"/>
      <c r="O1096" s="17" t="n">
        <v>2</v>
      </c>
      <c r="P1096" s="18" t="s">
        <v>5434</v>
      </c>
      <c r="Q1096" s="18" t="s">
        <v>5453</v>
      </c>
      <c r="R1096" s="18" t="s">
        <v>5462</v>
      </c>
      <c r="S1096" s="17" t="s">
        <v>5443</v>
      </c>
      <c r="T1096" s="18" t="s">
        <v>5455</v>
      </c>
      <c r="U1096" s="19"/>
      <c r="V1096" s="18" t="s">
        <v>5463</v>
      </c>
      <c r="W1096" s="17" t="s">
        <v>240</v>
      </c>
      <c r="X1096" s="17" t="s">
        <v>5457</v>
      </c>
      <c r="Y1096" s="17" t="s">
        <v>242</v>
      </c>
      <c r="Z1096" s="19"/>
      <c r="AA1096" s="19"/>
      <c r="AB1096" s="17"/>
      <c r="AC1096" s="19"/>
    </row>
    <row r="1097" customFormat="false" ht="22.35" hidden="false" customHeight="false" outlineLevel="0" collapsed="false">
      <c r="A1097" s="10" t="s">
        <v>5464</v>
      </c>
      <c r="B1097" s="17" t="s">
        <v>121</v>
      </c>
      <c r="C1097" s="18" t="s">
        <v>122</v>
      </c>
      <c r="D1097" s="17" t="s">
        <v>19</v>
      </c>
      <c r="E1097" s="17" t="s">
        <v>75</v>
      </c>
      <c r="F1097" s="17" t="s">
        <v>4845</v>
      </c>
      <c r="G1097" s="17" t="s">
        <v>5160</v>
      </c>
      <c r="H1097" s="17" t="s">
        <v>30</v>
      </c>
      <c r="I1097" s="17" t="s">
        <v>277</v>
      </c>
      <c r="J1097" s="17" t="s">
        <v>233</v>
      </c>
      <c r="K1097" s="19"/>
      <c r="L1097" s="19"/>
      <c r="M1097" s="19"/>
      <c r="N1097" s="19"/>
      <c r="O1097" s="17" t="n">
        <v>2</v>
      </c>
      <c r="P1097" s="18" t="s">
        <v>5434</v>
      </c>
      <c r="Q1097" s="18" t="s">
        <v>5453</v>
      </c>
      <c r="R1097" s="18" t="s">
        <v>5465</v>
      </c>
      <c r="S1097" s="17" t="s">
        <v>5452</v>
      </c>
      <c r="T1097" s="18" t="s">
        <v>5466</v>
      </c>
      <c r="U1097" s="19"/>
      <c r="V1097" s="18" t="s">
        <v>5467</v>
      </c>
      <c r="W1097" s="17" t="s">
        <v>240</v>
      </c>
      <c r="X1097" s="17" t="s">
        <v>5468</v>
      </c>
      <c r="Y1097" s="17" t="s">
        <v>242</v>
      </c>
      <c r="Z1097" s="19"/>
      <c r="AA1097" s="19"/>
      <c r="AB1097" s="17"/>
      <c r="AC1097" s="19"/>
    </row>
    <row r="1098" customFormat="false" ht="22.35" hidden="false" customHeight="false" outlineLevel="0" collapsed="false">
      <c r="A1098" s="10" t="s">
        <v>5469</v>
      </c>
      <c r="B1098" s="17" t="s">
        <v>121</v>
      </c>
      <c r="C1098" s="18" t="s">
        <v>122</v>
      </c>
      <c r="D1098" s="17" t="s">
        <v>19</v>
      </c>
      <c r="E1098" s="17" t="s">
        <v>75</v>
      </c>
      <c r="F1098" s="17" t="s">
        <v>4845</v>
      </c>
      <c r="G1098" s="17" t="s">
        <v>5160</v>
      </c>
      <c r="H1098" s="17" t="s">
        <v>30</v>
      </c>
      <c r="I1098" s="17" t="s">
        <v>450</v>
      </c>
      <c r="J1098" s="17" t="s">
        <v>233</v>
      </c>
      <c r="K1098" s="19"/>
      <c r="L1098" s="19"/>
      <c r="M1098" s="19"/>
      <c r="N1098" s="19"/>
      <c r="O1098" s="17" t="n">
        <v>2</v>
      </c>
      <c r="P1098" s="18" t="s">
        <v>5434</v>
      </c>
      <c r="Q1098" s="18" t="s">
        <v>5470</v>
      </c>
      <c r="R1098" s="18" t="s">
        <v>5471</v>
      </c>
      <c r="S1098" s="17" t="s">
        <v>5014</v>
      </c>
      <c r="T1098" s="18" t="s">
        <v>5472</v>
      </c>
      <c r="U1098" s="19"/>
      <c r="V1098" s="18" t="s">
        <v>5473</v>
      </c>
      <c r="W1098" s="17" t="s">
        <v>240</v>
      </c>
      <c r="X1098" s="17" t="s">
        <v>5318</v>
      </c>
      <c r="Y1098" s="17" t="s">
        <v>242</v>
      </c>
      <c r="Z1098" s="19"/>
      <c r="AA1098" s="19"/>
      <c r="AB1098" s="17"/>
      <c r="AC1098" s="19"/>
    </row>
    <row r="1099" customFormat="false" ht="22.35" hidden="false" customHeight="false" outlineLevel="0" collapsed="false">
      <c r="A1099" s="10" t="s">
        <v>5474</v>
      </c>
      <c r="B1099" s="17" t="s">
        <v>121</v>
      </c>
      <c r="C1099" s="18" t="s">
        <v>122</v>
      </c>
      <c r="D1099" s="17" t="s">
        <v>19</v>
      </c>
      <c r="E1099" s="17" t="s">
        <v>75</v>
      </c>
      <c r="F1099" s="17" t="s">
        <v>4845</v>
      </c>
      <c r="G1099" s="17" t="s">
        <v>5160</v>
      </c>
      <c r="H1099" s="17" t="s">
        <v>30</v>
      </c>
      <c r="I1099" s="17" t="s">
        <v>277</v>
      </c>
      <c r="J1099" s="17" t="s">
        <v>233</v>
      </c>
      <c r="K1099" s="19"/>
      <c r="L1099" s="19"/>
      <c r="M1099" s="19"/>
      <c r="N1099" s="19"/>
      <c r="O1099" s="17" t="n">
        <v>4</v>
      </c>
      <c r="P1099" s="18" t="s">
        <v>5434</v>
      </c>
      <c r="Q1099" s="18" t="s">
        <v>5470</v>
      </c>
      <c r="R1099" s="18" t="s">
        <v>5475</v>
      </c>
      <c r="S1099" s="17" t="s">
        <v>5476</v>
      </c>
      <c r="T1099" s="18" t="s">
        <v>5265</v>
      </c>
      <c r="U1099" s="19"/>
      <c r="V1099" s="18" t="s">
        <v>5477</v>
      </c>
      <c r="W1099" s="17" t="s">
        <v>240</v>
      </c>
      <c r="X1099" s="17" t="s">
        <v>5267</v>
      </c>
      <c r="Y1099" s="17" t="s">
        <v>242</v>
      </c>
      <c r="Z1099" s="19"/>
      <c r="AA1099" s="19"/>
      <c r="AB1099" s="17"/>
      <c r="AC1099" s="19"/>
    </row>
    <row r="1100" customFormat="false" ht="22.35" hidden="false" customHeight="false" outlineLevel="0" collapsed="false">
      <c r="A1100" s="10" t="s">
        <v>5478</v>
      </c>
      <c r="B1100" s="17" t="s">
        <v>121</v>
      </c>
      <c r="C1100" s="18" t="s">
        <v>122</v>
      </c>
      <c r="D1100" s="17" t="s">
        <v>19</v>
      </c>
      <c r="E1100" s="17" t="s">
        <v>75</v>
      </c>
      <c r="F1100" s="17" t="s">
        <v>4845</v>
      </c>
      <c r="G1100" s="17" t="s">
        <v>5160</v>
      </c>
      <c r="H1100" s="17" t="s">
        <v>30</v>
      </c>
      <c r="I1100" s="17" t="s">
        <v>277</v>
      </c>
      <c r="J1100" s="17" t="s">
        <v>233</v>
      </c>
      <c r="K1100" s="19"/>
      <c r="L1100" s="19"/>
      <c r="M1100" s="19"/>
      <c r="N1100" s="19"/>
      <c r="O1100" s="17" t="n">
        <v>4</v>
      </c>
      <c r="P1100" s="18" t="s">
        <v>5434</v>
      </c>
      <c r="Q1100" s="18" t="s">
        <v>5470</v>
      </c>
      <c r="R1100" s="18" t="s">
        <v>5479</v>
      </c>
      <c r="S1100" s="17" t="s">
        <v>5474</v>
      </c>
      <c r="T1100" s="18" t="s">
        <v>5480</v>
      </c>
      <c r="U1100" s="19"/>
      <c r="V1100" s="18" t="s">
        <v>5481</v>
      </c>
      <c r="W1100" s="17" t="s">
        <v>240</v>
      </c>
      <c r="X1100" s="17" t="s">
        <v>5482</v>
      </c>
      <c r="Y1100" s="17" t="s">
        <v>242</v>
      </c>
      <c r="Z1100" s="19"/>
      <c r="AA1100" s="19"/>
      <c r="AB1100" s="17"/>
      <c r="AC1100" s="19"/>
    </row>
    <row r="1101" customFormat="false" ht="22.35" hidden="false" customHeight="false" outlineLevel="0" collapsed="false">
      <c r="A1101" s="10" t="s">
        <v>5483</v>
      </c>
      <c r="B1101" s="17" t="s">
        <v>121</v>
      </c>
      <c r="C1101" s="18" t="s">
        <v>122</v>
      </c>
      <c r="D1101" s="17" t="s">
        <v>19</v>
      </c>
      <c r="E1101" s="17" t="s">
        <v>75</v>
      </c>
      <c r="F1101" s="17" t="s">
        <v>4845</v>
      </c>
      <c r="G1101" s="17" t="s">
        <v>5160</v>
      </c>
      <c r="H1101" s="17" t="s">
        <v>30</v>
      </c>
      <c r="I1101" s="17" t="s">
        <v>283</v>
      </c>
      <c r="J1101" s="17" t="s">
        <v>233</v>
      </c>
      <c r="K1101" s="19"/>
      <c r="L1101" s="19"/>
      <c r="M1101" s="19"/>
      <c r="N1101" s="19"/>
      <c r="O1101" s="17" t="n">
        <v>4</v>
      </c>
      <c r="P1101" s="18" t="s">
        <v>5434</v>
      </c>
      <c r="Q1101" s="18" t="s">
        <v>4948</v>
      </c>
      <c r="R1101" s="18" t="s">
        <v>5484</v>
      </c>
      <c r="S1101" s="17" t="s">
        <v>5485</v>
      </c>
      <c r="T1101" s="18" t="s">
        <v>4951</v>
      </c>
      <c r="U1101" s="19"/>
      <c r="V1101" s="18" t="s">
        <v>5486</v>
      </c>
      <c r="W1101" s="17" t="s">
        <v>240</v>
      </c>
      <c r="X1101" s="17" t="s">
        <v>4953</v>
      </c>
      <c r="Y1101" s="17" t="s">
        <v>242</v>
      </c>
      <c r="Z1101" s="19"/>
      <c r="AA1101" s="19"/>
      <c r="AB1101" s="17"/>
      <c r="AC1101" s="19"/>
    </row>
    <row r="1102" customFormat="false" ht="22.35" hidden="false" customHeight="false" outlineLevel="0" collapsed="false">
      <c r="A1102" s="10" t="s">
        <v>5487</v>
      </c>
      <c r="B1102" s="17" t="s">
        <v>121</v>
      </c>
      <c r="C1102" s="18" t="s">
        <v>122</v>
      </c>
      <c r="D1102" s="17" t="s">
        <v>19</v>
      </c>
      <c r="E1102" s="17" t="s">
        <v>75</v>
      </c>
      <c r="F1102" s="17" t="s">
        <v>4845</v>
      </c>
      <c r="G1102" s="17" t="s">
        <v>5160</v>
      </c>
      <c r="H1102" s="17" t="s">
        <v>30</v>
      </c>
      <c r="I1102" s="17" t="s">
        <v>974</v>
      </c>
      <c r="J1102" s="17" t="s">
        <v>233</v>
      </c>
      <c r="K1102" s="19"/>
      <c r="L1102" s="19"/>
      <c r="M1102" s="19"/>
      <c r="N1102" s="19"/>
      <c r="O1102" s="17" t="n">
        <v>2</v>
      </c>
      <c r="P1102" s="18" t="s">
        <v>5488</v>
      </c>
      <c r="Q1102" s="18" t="s">
        <v>5489</v>
      </c>
      <c r="R1102" s="18" t="s">
        <v>5490</v>
      </c>
      <c r="S1102" s="17" t="s">
        <v>5491</v>
      </c>
      <c r="T1102" s="18" t="s">
        <v>5492</v>
      </c>
      <c r="U1102" s="19"/>
      <c r="V1102" s="18" t="s">
        <v>5493</v>
      </c>
      <c r="W1102" s="17" t="s">
        <v>240</v>
      </c>
      <c r="X1102" s="17" t="s">
        <v>5494</v>
      </c>
      <c r="Y1102" s="17" t="s">
        <v>242</v>
      </c>
      <c r="Z1102" s="19"/>
      <c r="AA1102" s="19"/>
      <c r="AB1102" s="17"/>
      <c r="AC1102" s="19"/>
    </row>
    <row r="1103" customFormat="false" ht="22.35" hidden="false" customHeight="false" outlineLevel="0" collapsed="false">
      <c r="A1103" s="10" t="s">
        <v>5495</v>
      </c>
      <c r="B1103" s="17" t="s">
        <v>121</v>
      </c>
      <c r="C1103" s="18" t="s">
        <v>122</v>
      </c>
      <c r="D1103" s="17" t="s">
        <v>19</v>
      </c>
      <c r="E1103" s="17" t="s">
        <v>229</v>
      </c>
      <c r="F1103" s="17" t="s">
        <v>4845</v>
      </c>
      <c r="G1103" s="17" t="s">
        <v>5160</v>
      </c>
      <c r="H1103" s="17" t="s">
        <v>30</v>
      </c>
      <c r="I1103" s="17" t="s">
        <v>277</v>
      </c>
      <c r="J1103" s="17" t="s">
        <v>233</v>
      </c>
      <c r="K1103" s="19"/>
      <c r="L1103" s="19"/>
      <c r="M1103" s="19"/>
      <c r="N1103" s="19"/>
      <c r="O1103" s="17" t="n">
        <v>2</v>
      </c>
      <c r="P1103" s="18" t="s">
        <v>5488</v>
      </c>
      <c r="Q1103" s="18" t="s">
        <v>5489</v>
      </c>
      <c r="R1103" s="18" t="s">
        <v>5496</v>
      </c>
      <c r="S1103" s="17" t="s">
        <v>5487</v>
      </c>
      <c r="T1103" s="18" t="s">
        <v>4132</v>
      </c>
      <c r="U1103" s="19"/>
      <c r="V1103" s="18" t="s">
        <v>5497</v>
      </c>
      <c r="W1103" s="17" t="s">
        <v>240</v>
      </c>
      <c r="X1103" s="17" t="s">
        <v>5087</v>
      </c>
      <c r="Y1103" s="17" t="s">
        <v>242</v>
      </c>
      <c r="Z1103" s="19"/>
      <c r="AA1103" s="19"/>
      <c r="AB1103" s="17"/>
      <c r="AC1103" s="19"/>
    </row>
    <row r="1104" customFormat="false" ht="22.35" hidden="false" customHeight="false" outlineLevel="0" collapsed="false">
      <c r="A1104" s="10" t="s">
        <v>5498</v>
      </c>
      <c r="B1104" s="17" t="s">
        <v>121</v>
      </c>
      <c r="C1104" s="18" t="s">
        <v>122</v>
      </c>
      <c r="D1104" s="17" t="s">
        <v>19</v>
      </c>
      <c r="E1104" s="17" t="s">
        <v>75</v>
      </c>
      <c r="F1104" s="17" t="s">
        <v>4845</v>
      </c>
      <c r="G1104" s="17" t="s">
        <v>5160</v>
      </c>
      <c r="H1104" s="17" t="s">
        <v>30</v>
      </c>
      <c r="I1104" s="17" t="s">
        <v>974</v>
      </c>
      <c r="J1104" s="17" t="s">
        <v>233</v>
      </c>
      <c r="K1104" s="19"/>
      <c r="L1104" s="19"/>
      <c r="M1104" s="19"/>
      <c r="N1104" s="19"/>
      <c r="O1104" s="17" t="n">
        <v>2</v>
      </c>
      <c r="P1104" s="18" t="s">
        <v>5488</v>
      </c>
      <c r="Q1104" s="18" t="s">
        <v>5489</v>
      </c>
      <c r="R1104" s="18" t="s">
        <v>5499</v>
      </c>
      <c r="S1104" s="17" t="s">
        <v>5030</v>
      </c>
      <c r="T1104" s="18" t="s">
        <v>5492</v>
      </c>
      <c r="U1104" s="19"/>
      <c r="V1104" s="18" t="s">
        <v>5500</v>
      </c>
      <c r="W1104" s="17" t="s">
        <v>240</v>
      </c>
      <c r="X1104" s="17" t="s">
        <v>5501</v>
      </c>
      <c r="Y1104" s="17" t="s">
        <v>242</v>
      </c>
      <c r="Z1104" s="19"/>
      <c r="AA1104" s="19"/>
      <c r="AB1104" s="17"/>
      <c r="AC1104" s="19"/>
    </row>
    <row r="1105" customFormat="false" ht="22.35" hidden="false" customHeight="false" outlineLevel="0" collapsed="false">
      <c r="A1105" s="10" t="s">
        <v>5502</v>
      </c>
      <c r="B1105" s="17" t="s">
        <v>121</v>
      </c>
      <c r="C1105" s="18" t="s">
        <v>122</v>
      </c>
      <c r="D1105" s="17" t="s">
        <v>19</v>
      </c>
      <c r="E1105" s="17" t="s">
        <v>75</v>
      </c>
      <c r="F1105" s="17" t="s">
        <v>4845</v>
      </c>
      <c r="G1105" s="17" t="s">
        <v>5160</v>
      </c>
      <c r="H1105" s="17" t="s">
        <v>30</v>
      </c>
      <c r="I1105" s="17" t="s">
        <v>289</v>
      </c>
      <c r="J1105" s="17" t="s">
        <v>233</v>
      </c>
      <c r="K1105" s="19"/>
      <c r="L1105" s="19"/>
      <c r="M1105" s="19"/>
      <c r="N1105" s="19"/>
      <c r="O1105" s="17" t="n">
        <v>2</v>
      </c>
      <c r="P1105" s="18" t="s">
        <v>5488</v>
      </c>
      <c r="Q1105" s="18" t="s">
        <v>5489</v>
      </c>
      <c r="R1105" s="18" t="s">
        <v>5503</v>
      </c>
      <c r="S1105" s="17" t="s">
        <v>4862</v>
      </c>
      <c r="T1105" s="18" t="s">
        <v>5504</v>
      </c>
      <c r="U1105" s="19"/>
      <c r="V1105" s="18" t="s">
        <v>5505</v>
      </c>
      <c r="W1105" s="17" t="s">
        <v>1217</v>
      </c>
      <c r="X1105" s="17" t="s">
        <v>5501</v>
      </c>
      <c r="Y1105" s="17" t="s">
        <v>242</v>
      </c>
      <c r="Z1105" s="19"/>
      <c r="AA1105" s="19"/>
      <c r="AB1105" s="17"/>
      <c r="AC1105" s="19"/>
    </row>
    <row r="1106" customFormat="false" ht="22.35" hidden="false" customHeight="false" outlineLevel="0" collapsed="false">
      <c r="A1106" s="10" t="s">
        <v>5506</v>
      </c>
      <c r="B1106" s="17" t="s">
        <v>121</v>
      </c>
      <c r="C1106" s="18" t="s">
        <v>122</v>
      </c>
      <c r="D1106" s="17" t="s">
        <v>19</v>
      </c>
      <c r="E1106" s="17" t="s">
        <v>75</v>
      </c>
      <c r="F1106" s="17" t="s">
        <v>4845</v>
      </c>
      <c r="G1106" s="17" t="s">
        <v>5160</v>
      </c>
      <c r="H1106" s="17" t="s">
        <v>30</v>
      </c>
      <c r="I1106" s="17" t="s">
        <v>5507</v>
      </c>
      <c r="J1106" s="17" t="s">
        <v>233</v>
      </c>
      <c r="K1106" s="19"/>
      <c r="L1106" s="19"/>
      <c r="M1106" s="19"/>
      <c r="N1106" s="19"/>
      <c r="O1106" s="17" t="n">
        <v>2</v>
      </c>
      <c r="P1106" s="18" t="s">
        <v>5488</v>
      </c>
      <c r="Q1106" s="18" t="s">
        <v>5489</v>
      </c>
      <c r="R1106" s="18" t="s">
        <v>5508</v>
      </c>
      <c r="S1106" s="17" t="s">
        <v>5502</v>
      </c>
      <c r="T1106" s="18" t="s">
        <v>5509</v>
      </c>
      <c r="U1106" s="19"/>
      <c r="V1106" s="18" t="s">
        <v>5510</v>
      </c>
      <c r="W1106" s="17" t="s">
        <v>5511</v>
      </c>
      <c r="X1106" s="17" t="s">
        <v>4946</v>
      </c>
      <c r="Y1106" s="17" t="s">
        <v>242</v>
      </c>
      <c r="Z1106" s="19"/>
      <c r="AA1106" s="19"/>
      <c r="AB1106" s="17"/>
      <c r="AC1106" s="19"/>
    </row>
    <row r="1107" customFormat="false" ht="22.35" hidden="false" customHeight="false" outlineLevel="0" collapsed="false">
      <c r="A1107" s="10" t="s">
        <v>5512</v>
      </c>
      <c r="B1107" s="17" t="s">
        <v>121</v>
      </c>
      <c r="C1107" s="18" t="s">
        <v>122</v>
      </c>
      <c r="D1107" s="17" t="s">
        <v>19</v>
      </c>
      <c r="E1107" s="17" t="s">
        <v>229</v>
      </c>
      <c r="F1107" s="17" t="s">
        <v>4845</v>
      </c>
      <c r="G1107" s="17" t="s">
        <v>5160</v>
      </c>
      <c r="H1107" s="17" t="s">
        <v>30</v>
      </c>
      <c r="I1107" s="17" t="s">
        <v>232</v>
      </c>
      <c r="J1107" s="17" t="s">
        <v>233</v>
      </c>
      <c r="K1107" s="19"/>
      <c r="L1107" s="19"/>
      <c r="M1107" s="19"/>
      <c r="N1107" s="19"/>
      <c r="O1107" s="17" t="n">
        <v>0</v>
      </c>
      <c r="P1107" s="18" t="s">
        <v>5488</v>
      </c>
      <c r="Q1107" s="18" t="s">
        <v>5513</v>
      </c>
      <c r="R1107" s="18" t="s">
        <v>5514</v>
      </c>
      <c r="S1107" s="17" t="s">
        <v>4927</v>
      </c>
      <c r="T1107" s="18" t="s">
        <v>788</v>
      </c>
      <c r="U1107" s="19"/>
      <c r="V1107" s="18" t="s">
        <v>5515</v>
      </c>
      <c r="W1107" s="17" t="s">
        <v>383</v>
      </c>
      <c r="X1107" s="17" t="s">
        <v>5501</v>
      </c>
      <c r="Y1107" s="17" t="s">
        <v>242</v>
      </c>
      <c r="Z1107" s="19"/>
      <c r="AA1107" s="19"/>
      <c r="AB1107" s="17" t="s">
        <v>1681</v>
      </c>
      <c r="AC1107" s="19"/>
    </row>
    <row r="1108" customFormat="false" ht="22.35" hidden="false" customHeight="false" outlineLevel="0" collapsed="false">
      <c r="A1108" s="10" t="s">
        <v>5516</v>
      </c>
      <c r="B1108" s="17" t="s">
        <v>121</v>
      </c>
      <c r="C1108" s="18" t="s">
        <v>122</v>
      </c>
      <c r="D1108" s="17" t="s">
        <v>19</v>
      </c>
      <c r="E1108" s="17" t="s">
        <v>75</v>
      </c>
      <c r="F1108" s="17" t="s">
        <v>4845</v>
      </c>
      <c r="G1108" s="17" t="s">
        <v>5160</v>
      </c>
      <c r="H1108" s="17" t="s">
        <v>30</v>
      </c>
      <c r="I1108" s="17" t="s">
        <v>289</v>
      </c>
      <c r="J1108" s="17" t="s">
        <v>233</v>
      </c>
      <c r="K1108" s="19"/>
      <c r="L1108" s="19"/>
      <c r="M1108" s="19"/>
      <c r="N1108" s="19"/>
      <c r="O1108" s="17" t="n">
        <v>3</v>
      </c>
      <c r="P1108" s="18" t="s">
        <v>5488</v>
      </c>
      <c r="Q1108" s="18" t="s">
        <v>5513</v>
      </c>
      <c r="R1108" s="18" t="s">
        <v>5517</v>
      </c>
      <c r="S1108" s="17" t="s">
        <v>5518</v>
      </c>
      <c r="T1108" s="18" t="s">
        <v>5519</v>
      </c>
      <c r="U1108" s="19"/>
      <c r="V1108" s="18" t="s">
        <v>5520</v>
      </c>
      <c r="W1108" s="17" t="s">
        <v>383</v>
      </c>
      <c r="X1108" s="17" t="s">
        <v>5521</v>
      </c>
      <c r="Y1108" s="17" t="s">
        <v>242</v>
      </c>
      <c r="Z1108" s="19"/>
      <c r="AA1108" s="19"/>
      <c r="AB1108" s="17"/>
      <c r="AC1108" s="19"/>
    </row>
    <row r="1109" customFormat="false" ht="22.35" hidden="false" customHeight="false" outlineLevel="0" collapsed="false">
      <c r="A1109" s="10" t="s">
        <v>5522</v>
      </c>
      <c r="B1109" s="17" t="s">
        <v>121</v>
      </c>
      <c r="C1109" s="18" t="s">
        <v>122</v>
      </c>
      <c r="D1109" s="17" t="s">
        <v>19</v>
      </c>
      <c r="E1109" s="17" t="s">
        <v>75</v>
      </c>
      <c r="F1109" s="17" t="s">
        <v>4845</v>
      </c>
      <c r="G1109" s="17" t="s">
        <v>5160</v>
      </c>
      <c r="H1109" s="17" t="s">
        <v>30</v>
      </c>
      <c r="I1109" s="17" t="s">
        <v>974</v>
      </c>
      <c r="J1109" s="17" t="s">
        <v>233</v>
      </c>
      <c r="K1109" s="19"/>
      <c r="L1109" s="19"/>
      <c r="M1109" s="19"/>
      <c r="N1109" s="19"/>
      <c r="O1109" s="17" t="n">
        <v>2</v>
      </c>
      <c r="P1109" s="18" t="s">
        <v>5488</v>
      </c>
      <c r="Q1109" s="18" t="s">
        <v>5523</v>
      </c>
      <c r="R1109" s="18" t="s">
        <v>5524</v>
      </c>
      <c r="S1109" s="17" t="s">
        <v>5112</v>
      </c>
      <c r="T1109" s="18" t="s">
        <v>5525</v>
      </c>
      <c r="U1109" s="19"/>
      <c r="V1109" s="18" t="s">
        <v>5526</v>
      </c>
      <c r="W1109" s="17" t="s">
        <v>240</v>
      </c>
      <c r="X1109" s="17" t="s">
        <v>5501</v>
      </c>
      <c r="Y1109" s="17" t="s">
        <v>242</v>
      </c>
      <c r="Z1109" s="19"/>
      <c r="AA1109" s="19"/>
      <c r="AB1109" s="17"/>
      <c r="AC1109" s="19"/>
    </row>
    <row r="1110" customFormat="false" ht="22.35" hidden="false" customHeight="false" outlineLevel="0" collapsed="false">
      <c r="A1110" s="10" t="s">
        <v>5527</v>
      </c>
      <c r="B1110" s="17" t="s">
        <v>121</v>
      </c>
      <c r="C1110" s="18" t="s">
        <v>122</v>
      </c>
      <c r="D1110" s="17" t="s">
        <v>19</v>
      </c>
      <c r="E1110" s="17" t="s">
        <v>229</v>
      </c>
      <c r="F1110" s="17" t="s">
        <v>4845</v>
      </c>
      <c r="G1110" s="17" t="s">
        <v>5160</v>
      </c>
      <c r="H1110" s="17" t="s">
        <v>30</v>
      </c>
      <c r="I1110" s="17" t="s">
        <v>316</v>
      </c>
      <c r="J1110" s="17" t="s">
        <v>233</v>
      </c>
      <c r="K1110" s="19"/>
      <c r="L1110" s="19"/>
      <c r="M1110" s="19"/>
      <c r="N1110" s="19"/>
      <c r="O1110" s="17" t="n">
        <v>2</v>
      </c>
      <c r="P1110" s="18" t="s">
        <v>5488</v>
      </c>
      <c r="Q1110" s="18" t="s">
        <v>5523</v>
      </c>
      <c r="R1110" s="18" t="s">
        <v>5528</v>
      </c>
      <c r="S1110" s="17" t="s">
        <v>5522</v>
      </c>
      <c r="T1110" s="18" t="s">
        <v>5529</v>
      </c>
      <c r="U1110" s="19"/>
      <c r="V1110" s="18" t="s">
        <v>5530</v>
      </c>
      <c r="W1110" s="17" t="s">
        <v>240</v>
      </c>
      <c r="X1110" s="17" t="s">
        <v>5531</v>
      </c>
      <c r="Y1110" s="17" t="s">
        <v>242</v>
      </c>
      <c r="Z1110" s="19"/>
      <c r="AA1110" s="19"/>
      <c r="AB1110" s="17"/>
      <c r="AC1110" s="19"/>
    </row>
    <row r="1111" customFormat="false" ht="22.35" hidden="false" customHeight="false" outlineLevel="0" collapsed="false">
      <c r="A1111" s="10" t="s">
        <v>5532</v>
      </c>
      <c r="B1111" s="17" t="s">
        <v>121</v>
      </c>
      <c r="C1111" s="18" t="s">
        <v>122</v>
      </c>
      <c r="D1111" s="17" t="s">
        <v>19</v>
      </c>
      <c r="E1111" s="17" t="s">
        <v>75</v>
      </c>
      <c r="F1111" s="17" t="s">
        <v>4845</v>
      </c>
      <c r="G1111" s="17" t="s">
        <v>5160</v>
      </c>
      <c r="H1111" s="17" t="s">
        <v>30</v>
      </c>
      <c r="I1111" s="17" t="s">
        <v>333</v>
      </c>
      <c r="J1111" s="17" t="s">
        <v>233</v>
      </c>
      <c r="K1111" s="19"/>
      <c r="L1111" s="19"/>
      <c r="M1111" s="19"/>
      <c r="N1111" s="19"/>
      <c r="O1111" s="17" t="n">
        <v>1</v>
      </c>
      <c r="P1111" s="18" t="s">
        <v>5488</v>
      </c>
      <c r="Q1111" s="18" t="s">
        <v>5523</v>
      </c>
      <c r="R1111" s="18" t="s">
        <v>5533</v>
      </c>
      <c r="S1111" s="17" t="s">
        <v>5038</v>
      </c>
      <c r="T1111" s="18" t="s">
        <v>5534</v>
      </c>
      <c r="U1111" s="19"/>
      <c r="V1111" s="18" t="s">
        <v>5535</v>
      </c>
      <c r="W1111" s="17" t="s">
        <v>240</v>
      </c>
      <c r="X1111" s="17" t="s">
        <v>5536</v>
      </c>
      <c r="Y1111" s="17" t="s">
        <v>242</v>
      </c>
      <c r="Z1111" s="19"/>
      <c r="AA1111" s="19"/>
      <c r="AB1111" s="17" t="s">
        <v>1681</v>
      </c>
      <c r="AC1111" s="19"/>
    </row>
    <row r="1112" customFormat="false" ht="22.35" hidden="false" customHeight="false" outlineLevel="0" collapsed="false">
      <c r="A1112" s="10" t="s">
        <v>5537</v>
      </c>
      <c r="B1112" s="17" t="s">
        <v>121</v>
      </c>
      <c r="C1112" s="18" t="s">
        <v>122</v>
      </c>
      <c r="D1112" s="17" t="s">
        <v>19</v>
      </c>
      <c r="E1112" s="17" t="s">
        <v>75</v>
      </c>
      <c r="F1112" s="17" t="s">
        <v>4845</v>
      </c>
      <c r="G1112" s="17" t="s">
        <v>5160</v>
      </c>
      <c r="H1112" s="17" t="s">
        <v>30</v>
      </c>
      <c r="I1112" s="17" t="s">
        <v>974</v>
      </c>
      <c r="J1112" s="17" t="s">
        <v>233</v>
      </c>
      <c r="K1112" s="19"/>
      <c r="L1112" s="19"/>
      <c r="M1112" s="19"/>
      <c r="N1112" s="19"/>
      <c r="O1112" s="17" t="n">
        <v>2</v>
      </c>
      <c r="P1112" s="18" t="s">
        <v>5488</v>
      </c>
      <c r="Q1112" s="18" t="s">
        <v>5523</v>
      </c>
      <c r="R1112" s="18" t="s">
        <v>5538</v>
      </c>
      <c r="S1112" s="17" t="s">
        <v>5532</v>
      </c>
      <c r="T1112" s="18" t="s">
        <v>5539</v>
      </c>
      <c r="U1112" s="19"/>
      <c r="V1112" s="18" t="s">
        <v>5540</v>
      </c>
      <c r="W1112" s="17" t="s">
        <v>240</v>
      </c>
      <c r="X1112" s="17" t="s">
        <v>5501</v>
      </c>
      <c r="Y1112" s="17" t="s">
        <v>242</v>
      </c>
      <c r="Z1112" s="19"/>
      <c r="AA1112" s="19"/>
      <c r="AB1112" s="17"/>
      <c r="AC1112" s="19"/>
    </row>
    <row r="1113" customFormat="false" ht="22.35" hidden="false" customHeight="false" outlineLevel="0" collapsed="false">
      <c r="A1113" s="10" t="s">
        <v>5541</v>
      </c>
      <c r="B1113" s="17" t="s">
        <v>121</v>
      </c>
      <c r="C1113" s="18" t="s">
        <v>122</v>
      </c>
      <c r="D1113" s="17" t="s">
        <v>19</v>
      </c>
      <c r="E1113" s="17" t="s">
        <v>229</v>
      </c>
      <c r="F1113" s="17" t="s">
        <v>4845</v>
      </c>
      <c r="G1113" s="17" t="s">
        <v>5160</v>
      </c>
      <c r="H1113" s="17" t="s">
        <v>30</v>
      </c>
      <c r="I1113" s="17" t="s">
        <v>277</v>
      </c>
      <c r="J1113" s="17" t="s">
        <v>233</v>
      </c>
      <c r="K1113" s="19"/>
      <c r="L1113" s="19"/>
      <c r="M1113" s="19"/>
      <c r="N1113" s="19"/>
      <c r="O1113" s="17" t="n">
        <v>2</v>
      </c>
      <c r="P1113" s="18" t="s">
        <v>5488</v>
      </c>
      <c r="Q1113" s="18" t="s">
        <v>5523</v>
      </c>
      <c r="R1113" s="18" t="s">
        <v>5542</v>
      </c>
      <c r="S1113" s="17" t="s">
        <v>5537</v>
      </c>
      <c r="T1113" s="18" t="s">
        <v>4132</v>
      </c>
      <c r="U1113" s="19"/>
      <c r="V1113" s="18" t="s">
        <v>5543</v>
      </c>
      <c r="W1113" s="17" t="s">
        <v>240</v>
      </c>
      <c r="X1113" s="17" t="s">
        <v>5087</v>
      </c>
      <c r="Y1113" s="17" t="s">
        <v>242</v>
      </c>
      <c r="Z1113" s="19"/>
      <c r="AA1113" s="19"/>
      <c r="AB1113" s="17"/>
      <c r="AC1113" s="19"/>
    </row>
    <row r="1114" customFormat="false" ht="22.35" hidden="false" customHeight="false" outlineLevel="0" collapsed="false">
      <c r="A1114" s="10" t="s">
        <v>5544</v>
      </c>
      <c r="B1114" s="17" t="s">
        <v>121</v>
      </c>
      <c r="C1114" s="18" t="s">
        <v>122</v>
      </c>
      <c r="D1114" s="17" t="s">
        <v>19</v>
      </c>
      <c r="E1114" s="17" t="s">
        <v>75</v>
      </c>
      <c r="F1114" s="17" t="s">
        <v>4845</v>
      </c>
      <c r="G1114" s="17" t="s">
        <v>5160</v>
      </c>
      <c r="H1114" s="17" t="s">
        <v>30</v>
      </c>
      <c r="I1114" s="17" t="s">
        <v>283</v>
      </c>
      <c r="J1114" s="17" t="s">
        <v>233</v>
      </c>
      <c r="K1114" s="19"/>
      <c r="L1114" s="19"/>
      <c r="M1114" s="19"/>
      <c r="N1114" s="19"/>
      <c r="O1114" s="17" t="n">
        <v>3</v>
      </c>
      <c r="P1114" s="18" t="s">
        <v>5488</v>
      </c>
      <c r="Q1114" s="18" t="s">
        <v>4948</v>
      </c>
      <c r="R1114" s="18" t="s">
        <v>5545</v>
      </c>
      <c r="S1114" s="17" t="s">
        <v>5546</v>
      </c>
      <c r="T1114" s="18" t="s">
        <v>4951</v>
      </c>
      <c r="U1114" s="19"/>
      <c r="V1114" s="18" t="s">
        <v>5547</v>
      </c>
      <c r="W1114" s="17" t="s">
        <v>240</v>
      </c>
      <c r="X1114" s="17" t="s">
        <v>4953</v>
      </c>
      <c r="Y1114" s="17" t="s">
        <v>242</v>
      </c>
      <c r="Z1114" s="19"/>
      <c r="AA1114" s="19"/>
      <c r="AB1114" s="17"/>
      <c r="AC1114" s="19"/>
    </row>
    <row r="1115" customFormat="false" ht="22.35" hidden="false" customHeight="false" outlineLevel="0" collapsed="false">
      <c r="A1115" s="10" t="s">
        <v>5548</v>
      </c>
      <c r="B1115" s="17" t="s">
        <v>121</v>
      </c>
      <c r="C1115" s="18" t="s">
        <v>122</v>
      </c>
      <c r="D1115" s="17" t="s">
        <v>19</v>
      </c>
      <c r="E1115" s="17" t="s">
        <v>75</v>
      </c>
      <c r="F1115" s="17" t="s">
        <v>4845</v>
      </c>
      <c r="G1115" s="17" t="s">
        <v>5160</v>
      </c>
      <c r="H1115" s="17" t="s">
        <v>30</v>
      </c>
      <c r="I1115" s="17" t="s">
        <v>974</v>
      </c>
      <c r="J1115" s="17" t="s">
        <v>233</v>
      </c>
      <c r="K1115" s="19"/>
      <c r="L1115" s="19"/>
      <c r="M1115" s="19"/>
      <c r="N1115" s="19"/>
      <c r="O1115" s="17" t="n">
        <v>1</v>
      </c>
      <c r="P1115" s="18" t="s">
        <v>5549</v>
      </c>
      <c r="Q1115" s="18" t="s">
        <v>5550</v>
      </c>
      <c r="R1115" s="18" t="s">
        <v>5551</v>
      </c>
      <c r="S1115" s="17" t="s">
        <v>5180</v>
      </c>
      <c r="T1115" s="18" t="s">
        <v>5552</v>
      </c>
      <c r="U1115" s="19"/>
      <c r="V1115" s="18" t="s">
        <v>5553</v>
      </c>
      <c r="W1115" s="17" t="s">
        <v>240</v>
      </c>
      <c r="X1115" s="17" t="s">
        <v>5554</v>
      </c>
      <c r="Y1115" s="17" t="s">
        <v>242</v>
      </c>
      <c r="Z1115" s="19"/>
      <c r="AA1115" s="19"/>
      <c r="AB1115" s="17" t="s">
        <v>1681</v>
      </c>
      <c r="AC1115" s="19"/>
    </row>
    <row r="1116" customFormat="false" ht="22.35" hidden="false" customHeight="false" outlineLevel="0" collapsed="false">
      <c r="A1116" s="10" t="s">
        <v>5555</v>
      </c>
      <c r="B1116" s="17" t="s">
        <v>121</v>
      </c>
      <c r="C1116" s="18" t="s">
        <v>122</v>
      </c>
      <c r="D1116" s="17" t="s">
        <v>19</v>
      </c>
      <c r="E1116" s="17" t="s">
        <v>75</v>
      </c>
      <c r="F1116" s="17" t="s">
        <v>4845</v>
      </c>
      <c r="G1116" s="17" t="s">
        <v>5160</v>
      </c>
      <c r="H1116" s="17" t="s">
        <v>30</v>
      </c>
      <c r="I1116" s="17" t="s">
        <v>1346</v>
      </c>
      <c r="J1116" s="17" t="s">
        <v>233</v>
      </c>
      <c r="K1116" s="19"/>
      <c r="L1116" s="19"/>
      <c r="M1116" s="19"/>
      <c r="N1116" s="19"/>
      <c r="O1116" s="17" t="n">
        <v>1</v>
      </c>
      <c r="P1116" s="18" t="s">
        <v>5549</v>
      </c>
      <c r="Q1116" s="18" t="s">
        <v>5550</v>
      </c>
      <c r="R1116" s="18" t="s">
        <v>5556</v>
      </c>
      <c r="S1116" s="17" t="s">
        <v>5548</v>
      </c>
      <c r="T1116" s="18" t="s">
        <v>5557</v>
      </c>
      <c r="U1116" s="19"/>
      <c r="V1116" s="18" t="s">
        <v>5558</v>
      </c>
      <c r="W1116" s="17" t="s">
        <v>240</v>
      </c>
      <c r="X1116" s="17" t="s">
        <v>5559</v>
      </c>
      <c r="Y1116" s="17" t="s">
        <v>242</v>
      </c>
      <c r="Z1116" s="19"/>
      <c r="AA1116" s="19"/>
      <c r="AB1116" s="17"/>
      <c r="AC1116" s="19"/>
    </row>
    <row r="1117" customFormat="false" ht="22.35" hidden="false" customHeight="false" outlineLevel="0" collapsed="false">
      <c r="A1117" s="10" t="s">
        <v>5560</v>
      </c>
      <c r="B1117" s="17" t="s">
        <v>121</v>
      </c>
      <c r="C1117" s="18" t="s">
        <v>122</v>
      </c>
      <c r="D1117" s="17" t="s">
        <v>19</v>
      </c>
      <c r="E1117" s="17" t="s">
        <v>75</v>
      </c>
      <c r="F1117" s="17" t="s">
        <v>4845</v>
      </c>
      <c r="G1117" s="17" t="s">
        <v>5160</v>
      </c>
      <c r="H1117" s="17" t="s">
        <v>30</v>
      </c>
      <c r="I1117" s="17" t="s">
        <v>974</v>
      </c>
      <c r="J1117" s="17" t="s">
        <v>233</v>
      </c>
      <c r="K1117" s="19"/>
      <c r="L1117" s="19"/>
      <c r="M1117" s="19"/>
      <c r="N1117" s="19"/>
      <c r="O1117" s="17" t="n">
        <v>1</v>
      </c>
      <c r="P1117" s="18" t="s">
        <v>5549</v>
      </c>
      <c r="Q1117" s="18" t="s">
        <v>5550</v>
      </c>
      <c r="R1117" s="18" t="s">
        <v>5561</v>
      </c>
      <c r="S1117" s="17" t="s">
        <v>5548</v>
      </c>
      <c r="T1117" s="18" t="s">
        <v>5562</v>
      </c>
      <c r="U1117" s="19"/>
      <c r="V1117" s="18" t="s">
        <v>5563</v>
      </c>
      <c r="W1117" s="17" t="s">
        <v>240</v>
      </c>
      <c r="X1117" s="17" t="s">
        <v>5554</v>
      </c>
      <c r="Y1117" s="17" t="s">
        <v>242</v>
      </c>
      <c r="Z1117" s="19"/>
      <c r="AA1117" s="19"/>
      <c r="AB1117" s="17"/>
      <c r="AC1117" s="19"/>
    </row>
    <row r="1118" customFormat="false" ht="22.35" hidden="false" customHeight="false" outlineLevel="0" collapsed="false">
      <c r="A1118" s="10" t="s">
        <v>5564</v>
      </c>
      <c r="B1118" s="17" t="s">
        <v>121</v>
      </c>
      <c r="C1118" s="18" t="s">
        <v>122</v>
      </c>
      <c r="D1118" s="17" t="s">
        <v>19</v>
      </c>
      <c r="E1118" s="17" t="s">
        <v>75</v>
      </c>
      <c r="F1118" s="17" t="s">
        <v>4845</v>
      </c>
      <c r="G1118" s="17" t="s">
        <v>5160</v>
      </c>
      <c r="H1118" s="17" t="s">
        <v>30</v>
      </c>
      <c r="I1118" s="17" t="s">
        <v>974</v>
      </c>
      <c r="J1118" s="17" t="s">
        <v>233</v>
      </c>
      <c r="K1118" s="19"/>
      <c r="L1118" s="19"/>
      <c r="M1118" s="19"/>
      <c r="N1118" s="19"/>
      <c r="O1118" s="17" t="n">
        <v>2</v>
      </c>
      <c r="P1118" s="18" t="s">
        <v>5549</v>
      </c>
      <c r="Q1118" s="18" t="s">
        <v>5550</v>
      </c>
      <c r="R1118" s="18" t="s">
        <v>5565</v>
      </c>
      <c r="S1118" s="17" t="s">
        <v>5548</v>
      </c>
      <c r="T1118" s="18" t="s">
        <v>5566</v>
      </c>
      <c r="U1118" s="19"/>
      <c r="V1118" s="18" t="s">
        <v>5567</v>
      </c>
      <c r="W1118" s="17" t="s">
        <v>240</v>
      </c>
      <c r="X1118" s="17" t="s">
        <v>5257</v>
      </c>
      <c r="Y1118" s="17" t="s">
        <v>242</v>
      </c>
      <c r="Z1118" s="19"/>
      <c r="AA1118" s="19"/>
      <c r="AB1118" s="17"/>
      <c r="AC1118" s="19"/>
    </row>
    <row r="1119" customFormat="false" ht="22.35" hidden="false" customHeight="false" outlineLevel="0" collapsed="false">
      <c r="A1119" s="10" t="s">
        <v>5568</v>
      </c>
      <c r="B1119" s="17" t="s">
        <v>121</v>
      </c>
      <c r="C1119" s="18" t="s">
        <v>122</v>
      </c>
      <c r="D1119" s="17" t="s">
        <v>19</v>
      </c>
      <c r="E1119" s="17" t="s">
        <v>75</v>
      </c>
      <c r="F1119" s="17" t="s">
        <v>4845</v>
      </c>
      <c r="G1119" s="17" t="s">
        <v>5160</v>
      </c>
      <c r="H1119" s="17" t="s">
        <v>30</v>
      </c>
      <c r="I1119" s="17" t="s">
        <v>974</v>
      </c>
      <c r="J1119" s="17" t="s">
        <v>233</v>
      </c>
      <c r="K1119" s="19"/>
      <c r="L1119" s="19"/>
      <c r="M1119" s="19"/>
      <c r="N1119" s="19"/>
      <c r="O1119" s="17" t="n">
        <v>2</v>
      </c>
      <c r="P1119" s="18" t="s">
        <v>5549</v>
      </c>
      <c r="Q1119" s="18" t="s">
        <v>5550</v>
      </c>
      <c r="R1119" s="18" t="s">
        <v>5569</v>
      </c>
      <c r="S1119" s="17" t="s">
        <v>5048</v>
      </c>
      <c r="T1119" s="18" t="s">
        <v>5552</v>
      </c>
      <c r="U1119" s="19"/>
      <c r="V1119" s="18" t="s">
        <v>5570</v>
      </c>
      <c r="W1119" s="17" t="s">
        <v>240</v>
      </c>
      <c r="X1119" s="17" t="s">
        <v>5571</v>
      </c>
      <c r="Y1119" s="17" t="s">
        <v>242</v>
      </c>
      <c r="Z1119" s="19"/>
      <c r="AA1119" s="19"/>
      <c r="AB1119" s="17" t="s">
        <v>1681</v>
      </c>
      <c r="AC1119" s="19"/>
    </row>
    <row r="1120" customFormat="false" ht="22.35" hidden="false" customHeight="false" outlineLevel="0" collapsed="false">
      <c r="A1120" s="10" t="s">
        <v>5572</v>
      </c>
      <c r="B1120" s="17" t="s">
        <v>121</v>
      </c>
      <c r="C1120" s="18" t="s">
        <v>122</v>
      </c>
      <c r="D1120" s="17" t="s">
        <v>19</v>
      </c>
      <c r="E1120" s="17" t="s">
        <v>75</v>
      </c>
      <c r="F1120" s="17" t="s">
        <v>4845</v>
      </c>
      <c r="G1120" s="17" t="s">
        <v>5160</v>
      </c>
      <c r="H1120" s="17" t="s">
        <v>30</v>
      </c>
      <c r="I1120" s="17" t="s">
        <v>283</v>
      </c>
      <c r="J1120" s="17" t="s">
        <v>233</v>
      </c>
      <c r="K1120" s="19"/>
      <c r="L1120" s="19"/>
      <c r="M1120" s="19"/>
      <c r="N1120" s="19"/>
      <c r="O1120" s="17" t="n">
        <v>2</v>
      </c>
      <c r="P1120" s="18" t="s">
        <v>5549</v>
      </c>
      <c r="Q1120" s="18" t="s">
        <v>5573</v>
      </c>
      <c r="R1120" s="18" t="s">
        <v>5574</v>
      </c>
      <c r="S1120" s="17" t="s">
        <v>5575</v>
      </c>
      <c r="T1120" s="18" t="s">
        <v>5576</v>
      </c>
      <c r="U1120" s="19"/>
      <c r="V1120" s="18" t="s">
        <v>5577</v>
      </c>
      <c r="W1120" s="17" t="s">
        <v>240</v>
      </c>
      <c r="X1120" s="17" t="s">
        <v>5247</v>
      </c>
      <c r="Y1120" s="17" t="s">
        <v>242</v>
      </c>
      <c r="Z1120" s="19"/>
      <c r="AA1120" s="19"/>
      <c r="AB1120" s="17"/>
      <c r="AC1120" s="19"/>
    </row>
    <row r="1121" customFormat="false" ht="22.35" hidden="false" customHeight="false" outlineLevel="0" collapsed="false">
      <c r="A1121" s="10" t="s">
        <v>5578</v>
      </c>
      <c r="B1121" s="17" t="s">
        <v>121</v>
      </c>
      <c r="C1121" s="18" t="s">
        <v>122</v>
      </c>
      <c r="D1121" s="17" t="s">
        <v>19</v>
      </c>
      <c r="E1121" s="17" t="s">
        <v>75</v>
      </c>
      <c r="F1121" s="17" t="s">
        <v>4845</v>
      </c>
      <c r="G1121" s="17" t="s">
        <v>5160</v>
      </c>
      <c r="H1121" s="17" t="s">
        <v>30</v>
      </c>
      <c r="I1121" s="17" t="s">
        <v>450</v>
      </c>
      <c r="J1121" s="17" t="s">
        <v>233</v>
      </c>
      <c r="K1121" s="19"/>
      <c r="L1121" s="19"/>
      <c r="M1121" s="19"/>
      <c r="N1121" s="19"/>
      <c r="O1121" s="17" t="n">
        <v>2</v>
      </c>
      <c r="P1121" s="18" t="s">
        <v>5549</v>
      </c>
      <c r="Q1121" s="18" t="s">
        <v>5573</v>
      </c>
      <c r="R1121" s="18" t="s">
        <v>5579</v>
      </c>
      <c r="S1121" s="17" t="s">
        <v>5564</v>
      </c>
      <c r="T1121" s="18" t="s">
        <v>5580</v>
      </c>
      <c r="U1121" s="19"/>
      <c r="V1121" s="18" t="s">
        <v>5581</v>
      </c>
      <c r="W1121" s="17" t="s">
        <v>240</v>
      </c>
      <c r="X1121" s="17" t="s">
        <v>5554</v>
      </c>
      <c r="Y1121" s="17" t="s">
        <v>242</v>
      </c>
      <c r="Z1121" s="19"/>
      <c r="AA1121" s="19"/>
      <c r="AB1121" s="17"/>
      <c r="AC1121" s="19"/>
    </row>
    <row r="1122" customFormat="false" ht="22.35" hidden="false" customHeight="false" outlineLevel="0" collapsed="false">
      <c r="A1122" s="10" t="s">
        <v>5582</v>
      </c>
      <c r="B1122" s="17" t="s">
        <v>121</v>
      </c>
      <c r="C1122" s="18" t="s">
        <v>122</v>
      </c>
      <c r="D1122" s="17" t="s">
        <v>19</v>
      </c>
      <c r="E1122" s="17" t="s">
        <v>75</v>
      </c>
      <c r="F1122" s="17" t="s">
        <v>4845</v>
      </c>
      <c r="G1122" s="17" t="s">
        <v>5160</v>
      </c>
      <c r="H1122" s="17" t="s">
        <v>30</v>
      </c>
      <c r="I1122" s="17" t="s">
        <v>450</v>
      </c>
      <c r="J1122" s="17" t="s">
        <v>233</v>
      </c>
      <c r="K1122" s="19"/>
      <c r="L1122" s="19"/>
      <c r="M1122" s="19"/>
      <c r="N1122" s="19"/>
      <c r="O1122" s="17" t="n">
        <v>2</v>
      </c>
      <c r="P1122" s="18" t="s">
        <v>5549</v>
      </c>
      <c r="Q1122" s="18" t="s">
        <v>5573</v>
      </c>
      <c r="R1122" s="18" t="s">
        <v>5583</v>
      </c>
      <c r="S1122" s="17" t="s">
        <v>5584</v>
      </c>
      <c r="T1122" s="18" t="s">
        <v>5585</v>
      </c>
      <c r="U1122" s="19"/>
      <c r="V1122" s="18" t="s">
        <v>5586</v>
      </c>
      <c r="W1122" s="17" t="s">
        <v>240</v>
      </c>
      <c r="X1122" s="17" t="s">
        <v>5554</v>
      </c>
      <c r="Y1122" s="17" t="s">
        <v>242</v>
      </c>
      <c r="Z1122" s="19"/>
      <c r="AA1122" s="19"/>
      <c r="AB1122" s="17"/>
      <c r="AC1122" s="19"/>
    </row>
    <row r="1123" customFormat="false" ht="22.35" hidden="false" customHeight="false" outlineLevel="0" collapsed="false">
      <c r="A1123" s="10" t="s">
        <v>5587</v>
      </c>
      <c r="B1123" s="17" t="s">
        <v>121</v>
      </c>
      <c r="C1123" s="18" t="s">
        <v>122</v>
      </c>
      <c r="D1123" s="17" t="s">
        <v>19</v>
      </c>
      <c r="E1123" s="17" t="s">
        <v>75</v>
      </c>
      <c r="F1123" s="17" t="s">
        <v>4845</v>
      </c>
      <c r="G1123" s="17" t="s">
        <v>5160</v>
      </c>
      <c r="H1123" s="17" t="s">
        <v>30</v>
      </c>
      <c r="I1123" s="17" t="s">
        <v>974</v>
      </c>
      <c r="J1123" s="17" t="s">
        <v>233</v>
      </c>
      <c r="K1123" s="19"/>
      <c r="L1123" s="19"/>
      <c r="M1123" s="19"/>
      <c r="N1123" s="19"/>
      <c r="O1123" s="17" t="n">
        <v>2</v>
      </c>
      <c r="P1123" s="18" t="s">
        <v>5549</v>
      </c>
      <c r="Q1123" s="18" t="s">
        <v>5573</v>
      </c>
      <c r="R1123" s="18" t="s">
        <v>5588</v>
      </c>
      <c r="S1123" s="17" t="s">
        <v>5578</v>
      </c>
      <c r="T1123" s="18" t="s">
        <v>5589</v>
      </c>
      <c r="U1123" s="19"/>
      <c r="V1123" s="18" t="s">
        <v>5590</v>
      </c>
      <c r="W1123" s="17" t="s">
        <v>240</v>
      </c>
      <c r="X1123" s="17" t="s">
        <v>5591</v>
      </c>
      <c r="Y1123" s="17" t="s">
        <v>242</v>
      </c>
      <c r="Z1123" s="19"/>
      <c r="AA1123" s="19"/>
      <c r="AB1123" s="17"/>
      <c r="AC1123" s="19"/>
    </row>
    <row r="1124" customFormat="false" ht="22.35" hidden="false" customHeight="false" outlineLevel="0" collapsed="false">
      <c r="A1124" s="10" t="s">
        <v>5592</v>
      </c>
      <c r="B1124" s="17" t="s">
        <v>121</v>
      </c>
      <c r="C1124" s="18" t="s">
        <v>122</v>
      </c>
      <c r="D1124" s="17" t="s">
        <v>19</v>
      </c>
      <c r="E1124" s="17" t="s">
        <v>75</v>
      </c>
      <c r="F1124" s="17" t="s">
        <v>4845</v>
      </c>
      <c r="G1124" s="17" t="s">
        <v>5160</v>
      </c>
      <c r="H1124" s="17" t="s">
        <v>30</v>
      </c>
      <c r="I1124" s="17" t="s">
        <v>974</v>
      </c>
      <c r="J1124" s="17" t="s">
        <v>233</v>
      </c>
      <c r="K1124" s="19"/>
      <c r="L1124" s="19"/>
      <c r="M1124" s="19"/>
      <c r="N1124" s="19"/>
      <c r="O1124" s="17" t="n">
        <v>4</v>
      </c>
      <c r="P1124" s="18" t="s">
        <v>5549</v>
      </c>
      <c r="Q1124" s="18" t="s">
        <v>5573</v>
      </c>
      <c r="R1124" s="18" t="s">
        <v>5593</v>
      </c>
      <c r="S1124" s="17" t="s">
        <v>5572</v>
      </c>
      <c r="T1124" s="18" t="s">
        <v>5594</v>
      </c>
      <c r="U1124" s="19"/>
      <c r="V1124" s="18" t="s">
        <v>5595</v>
      </c>
      <c r="W1124" s="17" t="s">
        <v>240</v>
      </c>
      <c r="X1124" s="17" t="s">
        <v>5554</v>
      </c>
      <c r="Y1124" s="17" t="s">
        <v>242</v>
      </c>
      <c r="Z1124" s="19"/>
      <c r="AA1124" s="19"/>
      <c r="AB1124" s="17"/>
      <c r="AC1124" s="19"/>
    </row>
    <row r="1125" customFormat="false" ht="22.35" hidden="false" customHeight="false" outlineLevel="0" collapsed="false">
      <c r="A1125" s="10" t="s">
        <v>5596</v>
      </c>
      <c r="B1125" s="17" t="s">
        <v>121</v>
      </c>
      <c r="C1125" s="18" t="s">
        <v>122</v>
      </c>
      <c r="D1125" s="17" t="s">
        <v>19</v>
      </c>
      <c r="E1125" s="17" t="s">
        <v>75</v>
      </c>
      <c r="F1125" s="17" t="s">
        <v>4845</v>
      </c>
      <c r="G1125" s="17" t="s">
        <v>5160</v>
      </c>
      <c r="H1125" s="17" t="s">
        <v>30</v>
      </c>
      <c r="I1125" s="17" t="s">
        <v>283</v>
      </c>
      <c r="J1125" s="17" t="s">
        <v>233</v>
      </c>
      <c r="K1125" s="19"/>
      <c r="L1125" s="19"/>
      <c r="M1125" s="19"/>
      <c r="N1125" s="19"/>
      <c r="O1125" s="17" t="n">
        <v>4</v>
      </c>
      <c r="P1125" s="18" t="s">
        <v>5549</v>
      </c>
      <c r="Q1125" s="18" t="s">
        <v>4948</v>
      </c>
      <c r="R1125" s="18" t="s">
        <v>5597</v>
      </c>
      <c r="S1125" s="17" t="s">
        <v>5598</v>
      </c>
      <c r="T1125" s="18" t="s">
        <v>4951</v>
      </c>
      <c r="U1125" s="19"/>
      <c r="V1125" s="18" t="s">
        <v>5599</v>
      </c>
      <c r="W1125" s="17" t="s">
        <v>240</v>
      </c>
      <c r="X1125" s="17" t="s">
        <v>4953</v>
      </c>
      <c r="Y1125" s="17" t="s">
        <v>242</v>
      </c>
      <c r="Z1125" s="19"/>
      <c r="AA1125" s="19"/>
      <c r="AB1125" s="17"/>
      <c r="AC1125" s="19"/>
    </row>
    <row r="1126" customFormat="false" ht="22.35" hidden="false" customHeight="false" outlineLevel="0" collapsed="false">
      <c r="A1126" s="10" t="s">
        <v>5600</v>
      </c>
      <c r="B1126" s="17" t="s">
        <v>121</v>
      </c>
      <c r="C1126" s="18" t="s">
        <v>122</v>
      </c>
      <c r="D1126" s="17" t="s">
        <v>19</v>
      </c>
      <c r="E1126" s="17" t="s">
        <v>75</v>
      </c>
      <c r="F1126" s="17" t="s">
        <v>4845</v>
      </c>
      <c r="G1126" s="17" t="s">
        <v>973</v>
      </c>
      <c r="H1126" s="17" t="s">
        <v>30</v>
      </c>
      <c r="I1126" s="17" t="s">
        <v>974</v>
      </c>
      <c r="J1126" s="17" t="s">
        <v>233</v>
      </c>
      <c r="K1126" s="19"/>
      <c r="L1126" s="19"/>
      <c r="M1126" s="19"/>
      <c r="N1126" s="19"/>
      <c r="O1126" s="17" t="n">
        <v>4</v>
      </c>
      <c r="P1126" s="18" t="s">
        <v>5601</v>
      </c>
      <c r="Q1126" s="18" t="s">
        <v>5602</v>
      </c>
      <c r="R1126" s="18" t="s">
        <v>5603</v>
      </c>
      <c r="S1126" s="17" t="s">
        <v>4954</v>
      </c>
      <c r="T1126" s="18" t="s">
        <v>5604</v>
      </c>
      <c r="U1126" s="19"/>
      <c r="V1126" s="18" t="s">
        <v>5605</v>
      </c>
      <c r="W1126" s="17" t="s">
        <v>240</v>
      </c>
      <c r="X1126" s="17" t="s">
        <v>5606</v>
      </c>
      <c r="Y1126" s="17" t="s">
        <v>242</v>
      </c>
      <c r="Z1126" s="19"/>
      <c r="AA1126" s="19"/>
      <c r="AB1126" s="17"/>
      <c r="AC1126" s="19"/>
    </row>
    <row r="1127" customFormat="false" ht="22.35" hidden="false" customHeight="false" outlineLevel="0" collapsed="false">
      <c r="A1127" s="10" t="s">
        <v>5607</v>
      </c>
      <c r="B1127" s="17" t="s">
        <v>121</v>
      </c>
      <c r="C1127" s="18" t="s">
        <v>122</v>
      </c>
      <c r="D1127" s="17" t="s">
        <v>19</v>
      </c>
      <c r="E1127" s="17" t="s">
        <v>75</v>
      </c>
      <c r="F1127" s="17" t="s">
        <v>4845</v>
      </c>
      <c r="G1127" s="17" t="s">
        <v>973</v>
      </c>
      <c r="H1127" s="17" t="s">
        <v>30</v>
      </c>
      <c r="I1127" s="17" t="s">
        <v>974</v>
      </c>
      <c r="J1127" s="17" t="s">
        <v>233</v>
      </c>
      <c r="K1127" s="19"/>
      <c r="L1127" s="19"/>
      <c r="M1127" s="19"/>
      <c r="N1127" s="19"/>
      <c r="O1127" s="17" t="n">
        <v>2</v>
      </c>
      <c r="P1127" s="18" t="s">
        <v>5601</v>
      </c>
      <c r="Q1127" s="18" t="s">
        <v>5602</v>
      </c>
      <c r="R1127" s="18" t="s">
        <v>5608</v>
      </c>
      <c r="S1127" s="17" t="s">
        <v>5020</v>
      </c>
      <c r="T1127" s="18" t="s">
        <v>5609</v>
      </c>
      <c r="U1127" s="19"/>
      <c r="V1127" s="18" t="s">
        <v>5610</v>
      </c>
      <c r="W1127" s="17" t="s">
        <v>240</v>
      </c>
      <c r="X1127" s="17" t="s">
        <v>5606</v>
      </c>
      <c r="Y1127" s="17" t="s">
        <v>242</v>
      </c>
      <c r="Z1127" s="19"/>
      <c r="AA1127" s="19"/>
      <c r="AB1127" s="17"/>
      <c r="AC1127" s="19"/>
    </row>
    <row r="1128" customFormat="false" ht="22.35" hidden="false" customHeight="false" outlineLevel="0" collapsed="false">
      <c r="A1128" s="10" t="s">
        <v>5611</v>
      </c>
      <c r="B1128" s="17" t="s">
        <v>121</v>
      </c>
      <c r="C1128" s="18" t="s">
        <v>122</v>
      </c>
      <c r="D1128" s="17" t="s">
        <v>19</v>
      </c>
      <c r="E1128" s="17" t="s">
        <v>75</v>
      </c>
      <c r="F1128" s="17" t="s">
        <v>4845</v>
      </c>
      <c r="G1128" s="17" t="s">
        <v>973</v>
      </c>
      <c r="H1128" s="17" t="s">
        <v>30</v>
      </c>
      <c r="I1128" s="17" t="s">
        <v>277</v>
      </c>
      <c r="J1128" s="17" t="s">
        <v>233</v>
      </c>
      <c r="K1128" s="19"/>
      <c r="L1128" s="19"/>
      <c r="M1128" s="19"/>
      <c r="N1128" s="19"/>
      <c r="O1128" s="17" t="n">
        <v>2</v>
      </c>
      <c r="P1128" s="18" t="s">
        <v>5601</v>
      </c>
      <c r="Q1128" s="18" t="s">
        <v>5602</v>
      </c>
      <c r="R1128" s="18" t="s">
        <v>5612</v>
      </c>
      <c r="S1128" s="17" t="s">
        <v>5607</v>
      </c>
      <c r="T1128" s="18" t="s">
        <v>5426</v>
      </c>
      <c r="U1128" s="19"/>
      <c r="V1128" s="18" t="s">
        <v>5613</v>
      </c>
      <c r="W1128" s="17" t="s">
        <v>240</v>
      </c>
      <c r="X1128" s="17" t="s">
        <v>5606</v>
      </c>
      <c r="Y1128" s="17" t="s">
        <v>242</v>
      </c>
      <c r="Z1128" s="19"/>
      <c r="AA1128" s="19"/>
      <c r="AB1128" s="17"/>
      <c r="AC1128" s="19"/>
    </row>
    <row r="1129" customFormat="false" ht="22.35" hidden="false" customHeight="false" outlineLevel="0" collapsed="false">
      <c r="A1129" s="10" t="s">
        <v>5614</v>
      </c>
      <c r="B1129" s="17" t="s">
        <v>121</v>
      </c>
      <c r="C1129" s="18" t="s">
        <v>122</v>
      </c>
      <c r="D1129" s="17" t="s">
        <v>19</v>
      </c>
      <c r="E1129" s="17" t="s">
        <v>75</v>
      </c>
      <c r="F1129" s="17" t="s">
        <v>4845</v>
      </c>
      <c r="G1129" s="17" t="s">
        <v>973</v>
      </c>
      <c r="H1129" s="17" t="s">
        <v>30</v>
      </c>
      <c r="I1129" s="17" t="s">
        <v>289</v>
      </c>
      <c r="J1129" s="17" t="s">
        <v>233</v>
      </c>
      <c r="K1129" s="19"/>
      <c r="L1129" s="19"/>
      <c r="M1129" s="19"/>
      <c r="N1129" s="19"/>
      <c r="O1129" s="17" t="n">
        <v>2</v>
      </c>
      <c r="P1129" s="18" t="s">
        <v>5601</v>
      </c>
      <c r="Q1129" s="18" t="s">
        <v>5615</v>
      </c>
      <c r="R1129" s="18" t="s">
        <v>5616</v>
      </c>
      <c r="S1129" s="17" t="s">
        <v>4899</v>
      </c>
      <c r="T1129" s="18" t="s">
        <v>5617</v>
      </c>
      <c r="U1129" s="19"/>
      <c r="V1129" s="18" t="s">
        <v>5618</v>
      </c>
      <c r="W1129" s="17" t="s">
        <v>240</v>
      </c>
      <c r="X1129" s="17" t="s">
        <v>5606</v>
      </c>
      <c r="Y1129" s="17" t="s">
        <v>242</v>
      </c>
      <c r="Z1129" s="19"/>
      <c r="AA1129" s="19"/>
      <c r="AB1129" s="17"/>
      <c r="AC1129" s="19"/>
    </row>
    <row r="1130" customFormat="false" ht="22.35" hidden="false" customHeight="false" outlineLevel="0" collapsed="false">
      <c r="A1130" s="10" t="s">
        <v>5619</v>
      </c>
      <c r="B1130" s="17" t="s">
        <v>121</v>
      </c>
      <c r="C1130" s="18" t="s">
        <v>122</v>
      </c>
      <c r="D1130" s="17" t="s">
        <v>19</v>
      </c>
      <c r="E1130" s="17" t="s">
        <v>75</v>
      </c>
      <c r="F1130" s="17" t="s">
        <v>4845</v>
      </c>
      <c r="G1130" s="17" t="s">
        <v>973</v>
      </c>
      <c r="H1130" s="17" t="s">
        <v>30</v>
      </c>
      <c r="I1130" s="17" t="s">
        <v>974</v>
      </c>
      <c r="J1130" s="17" t="s">
        <v>233</v>
      </c>
      <c r="K1130" s="19"/>
      <c r="L1130" s="19"/>
      <c r="M1130" s="19"/>
      <c r="N1130" s="19"/>
      <c r="O1130" s="17" t="n">
        <v>4</v>
      </c>
      <c r="P1130" s="18" t="s">
        <v>5601</v>
      </c>
      <c r="Q1130" s="18" t="s">
        <v>5615</v>
      </c>
      <c r="R1130" s="18" t="s">
        <v>5620</v>
      </c>
      <c r="S1130" s="17" t="s">
        <v>5614</v>
      </c>
      <c r="T1130" s="18" t="s">
        <v>5621</v>
      </c>
      <c r="U1130" s="19"/>
      <c r="V1130" s="18" t="s">
        <v>5622</v>
      </c>
      <c r="W1130" s="17" t="s">
        <v>240</v>
      </c>
      <c r="X1130" s="17" t="s">
        <v>1486</v>
      </c>
      <c r="Y1130" s="17" t="s">
        <v>242</v>
      </c>
      <c r="Z1130" s="19"/>
      <c r="AA1130" s="19"/>
      <c r="AB1130" s="17"/>
      <c r="AC1130" s="19"/>
    </row>
    <row r="1131" customFormat="false" ht="22.35" hidden="false" customHeight="false" outlineLevel="0" collapsed="false">
      <c r="A1131" s="10" t="s">
        <v>5623</v>
      </c>
      <c r="B1131" s="17" t="s">
        <v>121</v>
      </c>
      <c r="C1131" s="18" t="s">
        <v>122</v>
      </c>
      <c r="D1131" s="17" t="s">
        <v>19</v>
      </c>
      <c r="E1131" s="17" t="s">
        <v>75</v>
      </c>
      <c r="F1131" s="17" t="s">
        <v>4845</v>
      </c>
      <c r="G1131" s="17" t="s">
        <v>973</v>
      </c>
      <c r="H1131" s="17" t="s">
        <v>30</v>
      </c>
      <c r="I1131" s="17" t="s">
        <v>369</v>
      </c>
      <c r="J1131" s="17" t="s">
        <v>233</v>
      </c>
      <c r="K1131" s="19"/>
      <c r="L1131" s="19"/>
      <c r="M1131" s="19"/>
      <c r="N1131" s="19"/>
      <c r="O1131" s="17" t="n">
        <v>2</v>
      </c>
      <c r="P1131" s="18" t="s">
        <v>5601</v>
      </c>
      <c r="Q1131" s="18" t="s">
        <v>5615</v>
      </c>
      <c r="R1131" s="18" t="s">
        <v>5624</v>
      </c>
      <c r="S1131" s="17" t="s">
        <v>5614</v>
      </c>
      <c r="T1131" s="18" t="s">
        <v>5625</v>
      </c>
      <c r="U1131" s="19"/>
      <c r="V1131" s="18" t="s">
        <v>5626</v>
      </c>
      <c r="W1131" s="17" t="s">
        <v>240</v>
      </c>
      <c r="X1131" s="17" t="s">
        <v>5627</v>
      </c>
      <c r="Y1131" s="17" t="s">
        <v>242</v>
      </c>
      <c r="Z1131" s="19"/>
      <c r="AA1131" s="19"/>
      <c r="AB1131" s="17"/>
      <c r="AC1131" s="19"/>
    </row>
    <row r="1132" customFormat="false" ht="22.35" hidden="false" customHeight="false" outlineLevel="0" collapsed="false">
      <c r="A1132" s="10" t="s">
        <v>5209</v>
      </c>
      <c r="B1132" s="17" t="s">
        <v>121</v>
      </c>
      <c r="C1132" s="18" t="s">
        <v>122</v>
      </c>
      <c r="D1132" s="17" t="s">
        <v>19</v>
      </c>
      <c r="E1132" s="17" t="s">
        <v>75</v>
      </c>
      <c r="F1132" s="17" t="s">
        <v>4845</v>
      </c>
      <c r="G1132" s="17" t="s">
        <v>973</v>
      </c>
      <c r="H1132" s="17" t="s">
        <v>30</v>
      </c>
      <c r="I1132" s="17" t="s">
        <v>974</v>
      </c>
      <c r="J1132" s="17" t="s">
        <v>233</v>
      </c>
      <c r="K1132" s="19"/>
      <c r="L1132" s="19"/>
      <c r="M1132" s="19"/>
      <c r="N1132" s="19"/>
      <c r="O1132" s="17" t="n">
        <v>4</v>
      </c>
      <c r="P1132" s="18" t="s">
        <v>5601</v>
      </c>
      <c r="Q1132" s="18" t="s">
        <v>5628</v>
      </c>
      <c r="R1132" s="18" t="s">
        <v>5629</v>
      </c>
      <c r="S1132" s="17" t="s">
        <v>4932</v>
      </c>
      <c r="T1132" s="18" t="s">
        <v>5630</v>
      </c>
      <c r="U1132" s="19"/>
      <c r="V1132" s="18" t="s">
        <v>5631</v>
      </c>
      <c r="W1132" s="17" t="s">
        <v>240</v>
      </c>
      <c r="X1132" s="17" t="s">
        <v>5632</v>
      </c>
      <c r="Y1132" s="17" t="s">
        <v>242</v>
      </c>
      <c r="Z1132" s="19"/>
      <c r="AA1132" s="19"/>
      <c r="AB1132" s="17"/>
      <c r="AC1132" s="19"/>
    </row>
    <row r="1133" customFormat="false" ht="22.35" hidden="false" customHeight="false" outlineLevel="0" collapsed="false">
      <c r="A1133" s="10" t="s">
        <v>5633</v>
      </c>
      <c r="B1133" s="17" t="s">
        <v>121</v>
      </c>
      <c r="C1133" s="18" t="s">
        <v>122</v>
      </c>
      <c r="D1133" s="17" t="s">
        <v>19</v>
      </c>
      <c r="E1133" s="17" t="s">
        <v>75</v>
      </c>
      <c r="F1133" s="17" t="s">
        <v>4845</v>
      </c>
      <c r="G1133" s="17" t="s">
        <v>973</v>
      </c>
      <c r="H1133" s="17" t="s">
        <v>30</v>
      </c>
      <c r="I1133" s="17" t="s">
        <v>928</v>
      </c>
      <c r="J1133" s="17" t="s">
        <v>233</v>
      </c>
      <c r="K1133" s="19"/>
      <c r="L1133" s="19"/>
      <c r="M1133" s="19"/>
      <c r="N1133" s="19"/>
      <c r="O1133" s="17" t="n">
        <v>5</v>
      </c>
      <c r="P1133" s="18" t="s">
        <v>5601</v>
      </c>
      <c r="Q1133" s="18" t="s">
        <v>5628</v>
      </c>
      <c r="R1133" s="18" t="s">
        <v>5634</v>
      </c>
      <c r="S1133" s="17" t="s">
        <v>5209</v>
      </c>
      <c r="T1133" s="18" t="s">
        <v>5635</v>
      </c>
      <c r="U1133" s="19"/>
      <c r="V1133" s="18" t="s">
        <v>5636</v>
      </c>
      <c r="W1133" s="17" t="s">
        <v>240</v>
      </c>
      <c r="X1133" s="17" t="s">
        <v>5606</v>
      </c>
      <c r="Y1133" s="17" t="s">
        <v>242</v>
      </c>
      <c r="Z1133" s="19"/>
      <c r="AA1133" s="19"/>
      <c r="AB1133" s="17"/>
      <c r="AC1133" s="19"/>
    </row>
    <row r="1134" customFormat="false" ht="22.35" hidden="false" customHeight="false" outlineLevel="0" collapsed="false">
      <c r="A1134" s="10" t="s">
        <v>5637</v>
      </c>
      <c r="B1134" s="17" t="s">
        <v>121</v>
      </c>
      <c r="C1134" s="18" t="s">
        <v>122</v>
      </c>
      <c r="D1134" s="17" t="s">
        <v>19</v>
      </c>
      <c r="E1134" s="17" t="s">
        <v>75</v>
      </c>
      <c r="F1134" s="17" t="s">
        <v>4845</v>
      </c>
      <c r="G1134" s="17" t="s">
        <v>973</v>
      </c>
      <c r="H1134" s="17" t="s">
        <v>30</v>
      </c>
      <c r="I1134" s="17" t="s">
        <v>232</v>
      </c>
      <c r="J1134" s="17" t="s">
        <v>233</v>
      </c>
      <c r="K1134" s="19"/>
      <c r="L1134" s="19"/>
      <c r="M1134" s="19"/>
      <c r="N1134" s="19"/>
      <c r="O1134" s="17" t="n">
        <v>1</v>
      </c>
      <c r="P1134" s="18" t="s">
        <v>5601</v>
      </c>
      <c r="Q1134" s="18" t="s">
        <v>5638</v>
      </c>
      <c r="R1134" s="18" t="s">
        <v>5639</v>
      </c>
      <c r="S1134" s="17" t="s">
        <v>5152</v>
      </c>
      <c r="T1134" s="18" t="s">
        <v>5640</v>
      </c>
      <c r="U1134" s="19"/>
      <c r="V1134" s="18" t="s">
        <v>5641</v>
      </c>
      <c r="W1134" s="17" t="s">
        <v>240</v>
      </c>
      <c r="X1134" s="17" t="s">
        <v>5642</v>
      </c>
      <c r="Y1134" s="17" t="s">
        <v>242</v>
      </c>
      <c r="Z1134" s="19"/>
      <c r="AA1134" s="19"/>
      <c r="AB1134" s="17"/>
      <c r="AC1134" s="19"/>
    </row>
    <row r="1135" customFormat="false" ht="22.35" hidden="false" customHeight="false" outlineLevel="0" collapsed="false">
      <c r="A1135" s="10" t="s">
        <v>5643</v>
      </c>
      <c r="B1135" s="17" t="s">
        <v>121</v>
      </c>
      <c r="C1135" s="18" t="s">
        <v>122</v>
      </c>
      <c r="D1135" s="17" t="s">
        <v>19</v>
      </c>
      <c r="E1135" s="17" t="s">
        <v>75</v>
      </c>
      <c r="F1135" s="17" t="s">
        <v>4845</v>
      </c>
      <c r="G1135" s="17" t="s">
        <v>973</v>
      </c>
      <c r="H1135" s="17" t="s">
        <v>30</v>
      </c>
      <c r="I1135" s="17" t="s">
        <v>283</v>
      </c>
      <c r="J1135" s="17" t="s">
        <v>233</v>
      </c>
      <c r="K1135" s="19"/>
      <c r="L1135" s="19"/>
      <c r="M1135" s="19"/>
      <c r="N1135" s="19"/>
      <c r="O1135" s="17" t="n">
        <v>5</v>
      </c>
      <c r="P1135" s="18" t="s">
        <v>5601</v>
      </c>
      <c r="Q1135" s="18" t="s">
        <v>4948</v>
      </c>
      <c r="R1135" s="18" t="s">
        <v>5644</v>
      </c>
      <c r="S1135" s="17" t="s">
        <v>5645</v>
      </c>
      <c r="T1135" s="18" t="s">
        <v>4951</v>
      </c>
      <c r="U1135" s="19"/>
      <c r="V1135" s="18" t="s">
        <v>5646</v>
      </c>
      <c r="W1135" s="17" t="s">
        <v>240</v>
      </c>
      <c r="X1135" s="17" t="s">
        <v>4953</v>
      </c>
      <c r="Y1135" s="17" t="s">
        <v>242</v>
      </c>
      <c r="Z1135" s="19"/>
      <c r="AA1135" s="19"/>
      <c r="AB1135" s="17"/>
      <c r="AC1135" s="19"/>
    </row>
    <row r="1136" customFormat="false" ht="22.35" hidden="false" customHeight="false" outlineLevel="0" collapsed="false">
      <c r="A1136" s="10" t="s">
        <v>5011</v>
      </c>
      <c r="B1136" s="17" t="s">
        <v>116</v>
      </c>
      <c r="C1136" s="18" t="s">
        <v>117</v>
      </c>
      <c r="D1136" s="17" t="s">
        <v>19</v>
      </c>
      <c r="E1136" s="17" t="s">
        <v>229</v>
      </c>
      <c r="F1136" s="17" t="s">
        <v>5647</v>
      </c>
      <c r="G1136" s="17" t="s">
        <v>118</v>
      </c>
      <c r="H1136" s="17" t="s">
        <v>31</v>
      </c>
      <c r="I1136" s="17" t="s">
        <v>232</v>
      </c>
      <c r="J1136" s="17" t="s">
        <v>233</v>
      </c>
      <c r="K1136" s="19"/>
      <c r="L1136" s="19"/>
      <c r="M1136" s="19"/>
      <c r="N1136" s="19"/>
      <c r="O1136" s="17" t="n">
        <v>0</v>
      </c>
      <c r="P1136" s="18" t="s">
        <v>5648</v>
      </c>
      <c r="Q1136" s="18" t="s">
        <v>5649</v>
      </c>
      <c r="R1136" s="18" t="s">
        <v>5650</v>
      </c>
      <c r="S1136" s="17" t="s">
        <v>237</v>
      </c>
      <c r="T1136" s="18" t="s">
        <v>5651</v>
      </c>
      <c r="U1136" s="19"/>
      <c r="V1136" s="18" t="s">
        <v>5652</v>
      </c>
      <c r="W1136" s="17" t="s">
        <v>240</v>
      </c>
      <c r="X1136" s="17" t="s">
        <v>5653</v>
      </c>
      <c r="Y1136" s="17" t="s">
        <v>242</v>
      </c>
      <c r="Z1136" s="19"/>
      <c r="AA1136" s="19"/>
      <c r="AB1136" s="17"/>
      <c r="AC1136" s="19"/>
    </row>
    <row r="1137" customFormat="false" ht="22.35" hidden="false" customHeight="false" outlineLevel="0" collapsed="false">
      <c r="A1137" s="10" t="s">
        <v>5654</v>
      </c>
      <c r="B1137" s="17" t="s">
        <v>116</v>
      </c>
      <c r="C1137" s="18" t="s">
        <v>117</v>
      </c>
      <c r="D1137" s="17" t="s">
        <v>19</v>
      </c>
      <c r="E1137" s="17" t="s">
        <v>229</v>
      </c>
      <c r="F1137" s="17" t="s">
        <v>5647</v>
      </c>
      <c r="G1137" s="17" t="s">
        <v>118</v>
      </c>
      <c r="H1137" s="17" t="s">
        <v>31</v>
      </c>
      <c r="I1137" s="17" t="s">
        <v>232</v>
      </c>
      <c r="J1137" s="17" t="s">
        <v>233</v>
      </c>
      <c r="K1137" s="19"/>
      <c r="L1137" s="19"/>
      <c r="M1137" s="19"/>
      <c r="N1137" s="19"/>
      <c r="O1137" s="17" t="n">
        <v>0</v>
      </c>
      <c r="P1137" s="18" t="s">
        <v>5648</v>
      </c>
      <c r="Q1137" s="18" t="s">
        <v>5649</v>
      </c>
      <c r="R1137" s="18" t="s">
        <v>5655</v>
      </c>
      <c r="S1137" s="17" t="s">
        <v>5011</v>
      </c>
      <c r="T1137" s="18" t="s">
        <v>5656</v>
      </c>
      <c r="U1137" s="19"/>
      <c r="V1137" s="18" t="s">
        <v>5657</v>
      </c>
      <c r="W1137" s="17" t="s">
        <v>240</v>
      </c>
      <c r="X1137" s="17" t="s">
        <v>5658</v>
      </c>
      <c r="Y1137" s="17" t="s">
        <v>242</v>
      </c>
      <c r="Z1137" s="19"/>
      <c r="AA1137" s="19"/>
      <c r="AB1137" s="17"/>
      <c r="AC1137" s="19"/>
    </row>
    <row r="1138" customFormat="false" ht="22.35" hidden="false" customHeight="false" outlineLevel="0" collapsed="false">
      <c r="A1138" s="10" t="s">
        <v>5659</v>
      </c>
      <c r="B1138" s="17" t="s">
        <v>116</v>
      </c>
      <c r="C1138" s="18" t="s">
        <v>117</v>
      </c>
      <c r="D1138" s="17" t="s">
        <v>19</v>
      </c>
      <c r="E1138" s="17" t="s">
        <v>229</v>
      </c>
      <c r="F1138" s="17" t="s">
        <v>5647</v>
      </c>
      <c r="G1138" s="17" t="s">
        <v>118</v>
      </c>
      <c r="H1138" s="17" t="s">
        <v>31</v>
      </c>
      <c r="I1138" s="17" t="s">
        <v>1028</v>
      </c>
      <c r="J1138" s="17" t="s">
        <v>233</v>
      </c>
      <c r="K1138" s="19"/>
      <c r="L1138" s="19"/>
      <c r="M1138" s="19"/>
      <c r="N1138" s="19"/>
      <c r="O1138" s="17" t="n">
        <v>0</v>
      </c>
      <c r="P1138" s="18" t="s">
        <v>5648</v>
      </c>
      <c r="Q1138" s="18" t="s">
        <v>5649</v>
      </c>
      <c r="R1138" s="18" t="s">
        <v>5660</v>
      </c>
      <c r="S1138" s="17" t="s">
        <v>5011</v>
      </c>
      <c r="T1138" s="18" t="s">
        <v>5661</v>
      </c>
      <c r="U1138" s="19"/>
      <c r="V1138" s="18" t="s">
        <v>5662</v>
      </c>
      <c r="W1138" s="17" t="s">
        <v>240</v>
      </c>
      <c r="X1138" s="17" t="s">
        <v>5663</v>
      </c>
      <c r="Y1138" s="17" t="s">
        <v>242</v>
      </c>
      <c r="Z1138" s="19"/>
      <c r="AA1138" s="19"/>
      <c r="AB1138" s="17"/>
      <c r="AC1138" s="19"/>
    </row>
    <row r="1139" customFormat="false" ht="32.8" hidden="false" customHeight="false" outlineLevel="0" collapsed="false">
      <c r="A1139" s="10" t="s">
        <v>5664</v>
      </c>
      <c r="B1139" s="17" t="s">
        <v>116</v>
      </c>
      <c r="C1139" s="18" t="s">
        <v>117</v>
      </c>
      <c r="D1139" s="17" t="s">
        <v>19</v>
      </c>
      <c r="E1139" s="17" t="s">
        <v>229</v>
      </c>
      <c r="F1139" s="17" t="s">
        <v>5647</v>
      </c>
      <c r="G1139" s="17" t="s">
        <v>118</v>
      </c>
      <c r="H1139" s="17" t="s">
        <v>31</v>
      </c>
      <c r="I1139" s="17" t="s">
        <v>232</v>
      </c>
      <c r="J1139" s="17" t="s">
        <v>233</v>
      </c>
      <c r="K1139" s="19"/>
      <c r="L1139" s="19"/>
      <c r="M1139" s="19"/>
      <c r="N1139" s="19"/>
      <c r="O1139" s="17" t="n">
        <v>0</v>
      </c>
      <c r="P1139" s="18" t="s">
        <v>5648</v>
      </c>
      <c r="Q1139" s="18" t="s">
        <v>5665</v>
      </c>
      <c r="R1139" s="18" t="s">
        <v>5666</v>
      </c>
      <c r="S1139" s="17" t="s">
        <v>5011</v>
      </c>
      <c r="T1139" s="18" t="s">
        <v>5667</v>
      </c>
      <c r="U1139" s="19"/>
      <c r="V1139" s="18" t="s">
        <v>5668</v>
      </c>
      <c r="W1139" s="17" t="s">
        <v>240</v>
      </c>
      <c r="X1139" s="17" t="s">
        <v>5669</v>
      </c>
      <c r="Y1139" s="17" t="s">
        <v>242</v>
      </c>
      <c r="Z1139" s="19"/>
      <c r="AA1139" s="19"/>
      <c r="AB1139" s="17"/>
      <c r="AC1139" s="19"/>
    </row>
    <row r="1140" customFormat="false" ht="22.35" hidden="false" customHeight="false" outlineLevel="0" collapsed="false">
      <c r="A1140" s="10" t="s">
        <v>5670</v>
      </c>
      <c r="B1140" s="17" t="s">
        <v>116</v>
      </c>
      <c r="C1140" s="18" t="s">
        <v>117</v>
      </c>
      <c r="D1140" s="17" t="s">
        <v>19</v>
      </c>
      <c r="E1140" s="17" t="s">
        <v>229</v>
      </c>
      <c r="F1140" s="17" t="s">
        <v>5647</v>
      </c>
      <c r="G1140" s="17" t="s">
        <v>118</v>
      </c>
      <c r="H1140" s="17" t="s">
        <v>31</v>
      </c>
      <c r="I1140" s="17" t="s">
        <v>333</v>
      </c>
      <c r="J1140" s="17" t="s">
        <v>233</v>
      </c>
      <c r="K1140" s="19"/>
      <c r="L1140" s="19"/>
      <c r="M1140" s="19"/>
      <c r="N1140" s="19"/>
      <c r="O1140" s="17" t="n">
        <v>0</v>
      </c>
      <c r="P1140" s="18" t="s">
        <v>5648</v>
      </c>
      <c r="Q1140" s="18" t="s">
        <v>5665</v>
      </c>
      <c r="R1140" s="18" t="s">
        <v>5671</v>
      </c>
      <c r="S1140" s="17" t="s">
        <v>5664</v>
      </c>
      <c r="T1140" s="18" t="s">
        <v>5672</v>
      </c>
      <c r="U1140" s="19"/>
      <c r="V1140" s="18" t="s">
        <v>5673</v>
      </c>
      <c r="W1140" s="17" t="s">
        <v>240</v>
      </c>
      <c r="X1140" s="17" t="s">
        <v>5674</v>
      </c>
      <c r="Y1140" s="17" t="s">
        <v>242</v>
      </c>
      <c r="Z1140" s="19"/>
      <c r="AA1140" s="19"/>
      <c r="AB1140" s="17"/>
      <c r="AC1140" s="19"/>
    </row>
    <row r="1141" customFormat="false" ht="22.35" hidden="false" customHeight="false" outlineLevel="0" collapsed="false">
      <c r="A1141" s="10" t="s">
        <v>5675</v>
      </c>
      <c r="B1141" s="17" t="s">
        <v>116</v>
      </c>
      <c r="C1141" s="18" t="s">
        <v>117</v>
      </c>
      <c r="D1141" s="17" t="s">
        <v>19</v>
      </c>
      <c r="E1141" s="17" t="s">
        <v>229</v>
      </c>
      <c r="F1141" s="17" t="s">
        <v>5647</v>
      </c>
      <c r="G1141" s="17" t="s">
        <v>118</v>
      </c>
      <c r="H1141" s="17" t="s">
        <v>31</v>
      </c>
      <c r="I1141" s="17" t="s">
        <v>232</v>
      </c>
      <c r="J1141" s="17" t="s">
        <v>233</v>
      </c>
      <c r="K1141" s="19"/>
      <c r="L1141" s="19"/>
      <c r="M1141" s="19"/>
      <c r="N1141" s="19"/>
      <c r="O1141" s="17" t="n">
        <v>0</v>
      </c>
      <c r="P1141" s="18" t="s">
        <v>5648</v>
      </c>
      <c r="Q1141" s="18" t="s">
        <v>5665</v>
      </c>
      <c r="R1141" s="18" t="s">
        <v>5676</v>
      </c>
      <c r="S1141" s="17" t="s">
        <v>5664</v>
      </c>
      <c r="T1141" s="18" t="s">
        <v>5677</v>
      </c>
      <c r="U1141" s="19"/>
      <c r="V1141" s="18" t="s">
        <v>5678</v>
      </c>
      <c r="W1141" s="17" t="s">
        <v>240</v>
      </c>
      <c r="X1141" s="17" t="s">
        <v>5679</v>
      </c>
      <c r="Y1141" s="17" t="s">
        <v>242</v>
      </c>
      <c r="Z1141" s="19"/>
      <c r="AA1141" s="19"/>
      <c r="AB1141" s="17"/>
      <c r="AC1141" s="19"/>
    </row>
    <row r="1142" customFormat="false" ht="32.8" hidden="false" customHeight="false" outlineLevel="0" collapsed="false">
      <c r="A1142" s="10" t="s">
        <v>5680</v>
      </c>
      <c r="B1142" s="17" t="s">
        <v>116</v>
      </c>
      <c r="C1142" s="18" t="s">
        <v>117</v>
      </c>
      <c r="D1142" s="17" t="s">
        <v>19</v>
      </c>
      <c r="E1142" s="17" t="s">
        <v>229</v>
      </c>
      <c r="F1142" s="17" t="s">
        <v>5647</v>
      </c>
      <c r="G1142" s="17" t="s">
        <v>118</v>
      </c>
      <c r="H1142" s="17" t="s">
        <v>31</v>
      </c>
      <c r="I1142" s="17" t="s">
        <v>333</v>
      </c>
      <c r="J1142" s="17" t="s">
        <v>233</v>
      </c>
      <c r="K1142" s="19"/>
      <c r="L1142" s="19"/>
      <c r="M1142" s="19"/>
      <c r="N1142" s="19"/>
      <c r="O1142" s="17" t="n">
        <v>0</v>
      </c>
      <c r="P1142" s="18" t="s">
        <v>5648</v>
      </c>
      <c r="Q1142" s="18" t="s">
        <v>5665</v>
      </c>
      <c r="R1142" s="18" t="s">
        <v>5681</v>
      </c>
      <c r="S1142" s="17" t="s">
        <v>5664</v>
      </c>
      <c r="T1142" s="18" t="s">
        <v>5682</v>
      </c>
      <c r="U1142" s="19"/>
      <c r="V1142" s="18" t="s">
        <v>5683</v>
      </c>
      <c r="W1142" s="17" t="s">
        <v>240</v>
      </c>
      <c r="X1142" s="17" t="s">
        <v>5684</v>
      </c>
      <c r="Y1142" s="17" t="s">
        <v>242</v>
      </c>
      <c r="Z1142" s="19"/>
      <c r="AA1142" s="19"/>
      <c r="AB1142" s="17"/>
      <c r="AC1142" s="19"/>
    </row>
    <row r="1143" customFormat="false" ht="22.35" hidden="false" customHeight="false" outlineLevel="0" collapsed="false">
      <c r="A1143" s="10" t="s">
        <v>5685</v>
      </c>
      <c r="B1143" s="17" t="s">
        <v>116</v>
      </c>
      <c r="C1143" s="18" t="s">
        <v>117</v>
      </c>
      <c r="D1143" s="17" t="s">
        <v>19</v>
      </c>
      <c r="E1143" s="17" t="s">
        <v>229</v>
      </c>
      <c r="F1143" s="17" t="s">
        <v>5647</v>
      </c>
      <c r="G1143" s="17" t="s">
        <v>118</v>
      </c>
      <c r="H1143" s="17" t="s">
        <v>31</v>
      </c>
      <c r="I1143" s="17" t="s">
        <v>277</v>
      </c>
      <c r="J1143" s="17" t="s">
        <v>233</v>
      </c>
      <c r="K1143" s="19"/>
      <c r="L1143" s="19"/>
      <c r="M1143" s="19"/>
      <c r="N1143" s="19"/>
      <c r="O1143" s="17" t="n">
        <v>0</v>
      </c>
      <c r="P1143" s="18" t="s">
        <v>5648</v>
      </c>
      <c r="Q1143" s="18" t="s">
        <v>5665</v>
      </c>
      <c r="R1143" s="18" t="s">
        <v>5686</v>
      </c>
      <c r="S1143" s="17" t="s">
        <v>5687</v>
      </c>
      <c r="T1143" s="18" t="s">
        <v>3163</v>
      </c>
      <c r="U1143" s="19"/>
      <c r="V1143" s="18" t="s">
        <v>5688</v>
      </c>
      <c r="W1143" s="17" t="s">
        <v>240</v>
      </c>
      <c r="X1143" s="17" t="s">
        <v>5689</v>
      </c>
      <c r="Y1143" s="17" t="s">
        <v>242</v>
      </c>
      <c r="Z1143" s="19"/>
      <c r="AA1143" s="19"/>
      <c r="AB1143" s="17"/>
      <c r="AC1143" s="19"/>
    </row>
    <row r="1144" customFormat="false" ht="32.8" hidden="false" customHeight="false" outlineLevel="0" collapsed="false">
      <c r="A1144" s="10" t="s">
        <v>5690</v>
      </c>
      <c r="B1144" s="17" t="s">
        <v>116</v>
      </c>
      <c r="C1144" s="18" t="s">
        <v>117</v>
      </c>
      <c r="D1144" s="17" t="s">
        <v>19</v>
      </c>
      <c r="E1144" s="17" t="s">
        <v>244</v>
      </c>
      <c r="F1144" s="17" t="s">
        <v>5647</v>
      </c>
      <c r="G1144" s="17" t="s">
        <v>118</v>
      </c>
      <c r="H1144" s="17" t="s">
        <v>31</v>
      </c>
      <c r="I1144" s="17" t="s">
        <v>232</v>
      </c>
      <c r="J1144" s="17" t="s">
        <v>233</v>
      </c>
      <c r="K1144" s="19"/>
      <c r="L1144" s="19"/>
      <c r="M1144" s="19"/>
      <c r="N1144" s="19"/>
      <c r="O1144" s="17" t="n">
        <v>0</v>
      </c>
      <c r="P1144" s="18" t="s">
        <v>5648</v>
      </c>
      <c r="Q1144" s="18" t="s">
        <v>5691</v>
      </c>
      <c r="R1144" s="18" t="s">
        <v>5692</v>
      </c>
      <c r="S1144" s="17" t="s">
        <v>5659</v>
      </c>
      <c r="T1144" s="18" t="s">
        <v>5693</v>
      </c>
      <c r="U1144" s="19"/>
      <c r="V1144" s="18" t="s">
        <v>5694</v>
      </c>
      <c r="W1144" s="17" t="s">
        <v>240</v>
      </c>
      <c r="X1144" s="17" t="s">
        <v>5695</v>
      </c>
      <c r="Y1144" s="17" t="s">
        <v>242</v>
      </c>
      <c r="Z1144" s="19"/>
      <c r="AA1144" s="19"/>
      <c r="AB1144" s="17"/>
      <c r="AC1144" s="19"/>
    </row>
    <row r="1145" customFormat="false" ht="22.35" hidden="false" customHeight="false" outlineLevel="0" collapsed="false">
      <c r="A1145" s="10" t="s">
        <v>5696</v>
      </c>
      <c r="B1145" s="17" t="s">
        <v>116</v>
      </c>
      <c r="C1145" s="18" t="s">
        <v>117</v>
      </c>
      <c r="D1145" s="17" t="s">
        <v>19</v>
      </c>
      <c r="E1145" s="17" t="s">
        <v>229</v>
      </c>
      <c r="F1145" s="17" t="s">
        <v>5647</v>
      </c>
      <c r="G1145" s="17" t="s">
        <v>118</v>
      </c>
      <c r="H1145" s="17" t="s">
        <v>31</v>
      </c>
      <c r="I1145" s="17" t="s">
        <v>232</v>
      </c>
      <c r="J1145" s="17" t="s">
        <v>233</v>
      </c>
      <c r="K1145" s="19"/>
      <c r="L1145" s="19"/>
      <c r="M1145" s="19"/>
      <c r="N1145" s="19"/>
      <c r="O1145" s="17" t="n">
        <v>0</v>
      </c>
      <c r="P1145" s="18" t="s">
        <v>5648</v>
      </c>
      <c r="Q1145" s="18" t="s">
        <v>5691</v>
      </c>
      <c r="R1145" s="18" t="s">
        <v>5697</v>
      </c>
      <c r="S1145" s="17" t="s">
        <v>5690</v>
      </c>
      <c r="T1145" s="18" t="s">
        <v>5698</v>
      </c>
      <c r="U1145" s="19"/>
      <c r="V1145" s="18" t="s">
        <v>5699</v>
      </c>
      <c r="W1145" s="17" t="s">
        <v>240</v>
      </c>
      <c r="X1145" s="17" t="s">
        <v>5700</v>
      </c>
      <c r="Y1145" s="17" t="s">
        <v>242</v>
      </c>
      <c r="Z1145" s="19"/>
      <c r="AA1145" s="19"/>
      <c r="AB1145" s="17"/>
      <c r="AC1145" s="19"/>
    </row>
    <row r="1146" customFormat="false" ht="22.35" hidden="false" customHeight="false" outlineLevel="0" collapsed="false">
      <c r="A1146" s="10" t="s">
        <v>5701</v>
      </c>
      <c r="B1146" s="17" t="s">
        <v>116</v>
      </c>
      <c r="C1146" s="18" t="s">
        <v>117</v>
      </c>
      <c r="D1146" s="17" t="s">
        <v>19</v>
      </c>
      <c r="E1146" s="17" t="s">
        <v>229</v>
      </c>
      <c r="F1146" s="17" t="s">
        <v>5647</v>
      </c>
      <c r="G1146" s="17" t="s">
        <v>118</v>
      </c>
      <c r="H1146" s="17" t="s">
        <v>31</v>
      </c>
      <c r="I1146" s="17" t="s">
        <v>277</v>
      </c>
      <c r="J1146" s="17" t="s">
        <v>233</v>
      </c>
      <c r="K1146" s="19"/>
      <c r="L1146" s="19"/>
      <c r="M1146" s="19"/>
      <c r="N1146" s="19"/>
      <c r="O1146" s="17" t="n">
        <v>3</v>
      </c>
      <c r="P1146" s="18" t="s">
        <v>5648</v>
      </c>
      <c r="Q1146" s="18" t="s">
        <v>5691</v>
      </c>
      <c r="R1146" s="18" t="s">
        <v>5702</v>
      </c>
      <c r="S1146" s="17" t="s">
        <v>5696</v>
      </c>
      <c r="T1146" s="18" t="s">
        <v>5703</v>
      </c>
      <c r="U1146" s="19"/>
      <c r="V1146" s="18" t="s">
        <v>5704</v>
      </c>
      <c r="W1146" s="17" t="s">
        <v>240</v>
      </c>
      <c r="X1146" s="17" t="s">
        <v>5705</v>
      </c>
      <c r="Y1146" s="17" t="s">
        <v>242</v>
      </c>
      <c r="Z1146" s="19"/>
      <c r="AA1146" s="19"/>
      <c r="AB1146" s="17"/>
      <c r="AC1146" s="19"/>
    </row>
    <row r="1147" customFormat="false" ht="22.35" hidden="false" customHeight="false" outlineLevel="0" collapsed="false">
      <c r="A1147" s="10" t="s">
        <v>5706</v>
      </c>
      <c r="B1147" s="17" t="s">
        <v>116</v>
      </c>
      <c r="C1147" s="18" t="s">
        <v>117</v>
      </c>
      <c r="D1147" s="17" t="s">
        <v>19</v>
      </c>
      <c r="E1147" s="17" t="s">
        <v>229</v>
      </c>
      <c r="F1147" s="17" t="s">
        <v>5647</v>
      </c>
      <c r="G1147" s="17" t="s">
        <v>118</v>
      </c>
      <c r="H1147" s="17" t="s">
        <v>31</v>
      </c>
      <c r="I1147" s="17" t="s">
        <v>232</v>
      </c>
      <c r="J1147" s="17" t="s">
        <v>233</v>
      </c>
      <c r="K1147" s="19"/>
      <c r="L1147" s="19"/>
      <c r="M1147" s="19"/>
      <c r="N1147" s="19"/>
      <c r="O1147" s="17" t="n">
        <v>0</v>
      </c>
      <c r="P1147" s="18" t="s">
        <v>5648</v>
      </c>
      <c r="Q1147" s="18" t="s">
        <v>5691</v>
      </c>
      <c r="R1147" s="18" t="s">
        <v>5707</v>
      </c>
      <c r="S1147" s="17" t="s">
        <v>5708</v>
      </c>
      <c r="T1147" s="18" t="s">
        <v>5709</v>
      </c>
      <c r="U1147" s="19"/>
      <c r="V1147" s="18" t="s">
        <v>5710</v>
      </c>
      <c r="W1147" s="17" t="s">
        <v>240</v>
      </c>
      <c r="X1147" s="17" t="s">
        <v>5711</v>
      </c>
      <c r="Y1147" s="17" t="s">
        <v>242</v>
      </c>
      <c r="Z1147" s="19"/>
      <c r="AA1147" s="19"/>
      <c r="AB1147" s="17"/>
      <c r="AC1147" s="19"/>
    </row>
    <row r="1148" customFormat="false" ht="22.35" hidden="false" customHeight="false" outlineLevel="0" collapsed="false">
      <c r="A1148" s="10" t="s">
        <v>5712</v>
      </c>
      <c r="B1148" s="17" t="s">
        <v>116</v>
      </c>
      <c r="C1148" s="18" t="s">
        <v>117</v>
      </c>
      <c r="D1148" s="17" t="s">
        <v>19</v>
      </c>
      <c r="E1148" s="17" t="s">
        <v>229</v>
      </c>
      <c r="F1148" s="17" t="s">
        <v>5647</v>
      </c>
      <c r="G1148" s="17" t="s">
        <v>118</v>
      </c>
      <c r="H1148" s="17" t="s">
        <v>31</v>
      </c>
      <c r="I1148" s="17" t="s">
        <v>283</v>
      </c>
      <c r="J1148" s="17" t="s">
        <v>233</v>
      </c>
      <c r="K1148" s="19"/>
      <c r="L1148" s="19"/>
      <c r="M1148" s="19"/>
      <c r="N1148" s="19"/>
      <c r="O1148" s="17" t="n">
        <v>0</v>
      </c>
      <c r="P1148" s="18" t="s">
        <v>5648</v>
      </c>
      <c r="Q1148" s="18" t="s">
        <v>5691</v>
      </c>
      <c r="R1148" s="18" t="s">
        <v>5713</v>
      </c>
      <c r="S1148" s="17" t="s">
        <v>5706</v>
      </c>
      <c r="T1148" s="18" t="s">
        <v>2849</v>
      </c>
      <c r="U1148" s="19"/>
      <c r="V1148" s="18" t="s">
        <v>5714</v>
      </c>
      <c r="W1148" s="17" t="s">
        <v>240</v>
      </c>
      <c r="X1148" s="17" t="s">
        <v>2851</v>
      </c>
      <c r="Y1148" s="17" t="s">
        <v>242</v>
      </c>
      <c r="Z1148" s="19"/>
      <c r="AA1148" s="19"/>
      <c r="AB1148" s="17"/>
      <c r="AC1148" s="19"/>
    </row>
    <row r="1149" customFormat="false" ht="22.35" hidden="false" customHeight="false" outlineLevel="0" collapsed="false">
      <c r="A1149" s="10" t="s">
        <v>5715</v>
      </c>
      <c r="B1149" s="17" t="s">
        <v>116</v>
      </c>
      <c r="C1149" s="18" t="s">
        <v>117</v>
      </c>
      <c r="D1149" s="17" t="s">
        <v>19</v>
      </c>
      <c r="E1149" s="17" t="s">
        <v>229</v>
      </c>
      <c r="F1149" s="17" t="s">
        <v>5647</v>
      </c>
      <c r="G1149" s="17" t="s">
        <v>118</v>
      </c>
      <c r="H1149" s="17" t="s">
        <v>31</v>
      </c>
      <c r="I1149" s="17" t="s">
        <v>5507</v>
      </c>
      <c r="J1149" s="17" t="s">
        <v>233</v>
      </c>
      <c r="K1149" s="19"/>
      <c r="L1149" s="19"/>
      <c r="M1149" s="19"/>
      <c r="N1149" s="19"/>
      <c r="O1149" s="17" t="n">
        <v>0</v>
      </c>
      <c r="P1149" s="18" t="s">
        <v>5716</v>
      </c>
      <c r="Q1149" s="18" t="s">
        <v>5717</v>
      </c>
      <c r="R1149" s="18" t="s">
        <v>5718</v>
      </c>
      <c r="S1149" s="17" t="s">
        <v>237</v>
      </c>
      <c r="T1149" s="18" t="s">
        <v>5719</v>
      </c>
      <c r="U1149" s="19"/>
      <c r="V1149" s="18" t="s">
        <v>5720</v>
      </c>
      <c r="W1149" s="17" t="s">
        <v>240</v>
      </c>
      <c r="X1149" s="17" t="s">
        <v>5721</v>
      </c>
      <c r="Y1149" s="17" t="s">
        <v>242</v>
      </c>
      <c r="Z1149" s="19"/>
      <c r="AA1149" s="19"/>
      <c r="AB1149" s="17"/>
      <c r="AC1149" s="19"/>
    </row>
    <row r="1150" customFormat="false" ht="32.8" hidden="false" customHeight="false" outlineLevel="0" collapsed="false">
      <c r="A1150" s="10" t="s">
        <v>5722</v>
      </c>
      <c r="B1150" s="17" t="s">
        <v>116</v>
      </c>
      <c r="C1150" s="18" t="s">
        <v>117</v>
      </c>
      <c r="D1150" s="17" t="s">
        <v>19</v>
      </c>
      <c r="E1150" s="17" t="s">
        <v>229</v>
      </c>
      <c r="F1150" s="17" t="s">
        <v>5647</v>
      </c>
      <c r="G1150" s="17" t="s">
        <v>118</v>
      </c>
      <c r="H1150" s="17" t="s">
        <v>31</v>
      </c>
      <c r="I1150" s="17" t="s">
        <v>232</v>
      </c>
      <c r="J1150" s="17" t="s">
        <v>233</v>
      </c>
      <c r="K1150" s="19"/>
      <c r="L1150" s="19"/>
      <c r="M1150" s="19"/>
      <c r="N1150" s="19"/>
      <c r="O1150" s="17" t="n">
        <v>0</v>
      </c>
      <c r="P1150" s="18" t="s">
        <v>5716</v>
      </c>
      <c r="Q1150" s="18" t="s">
        <v>5717</v>
      </c>
      <c r="R1150" s="18" t="s">
        <v>5723</v>
      </c>
      <c r="S1150" s="17" t="s">
        <v>5715</v>
      </c>
      <c r="T1150" s="18" t="s">
        <v>5724</v>
      </c>
      <c r="U1150" s="19"/>
      <c r="V1150" s="18" t="s">
        <v>5725</v>
      </c>
      <c r="W1150" s="17" t="s">
        <v>240</v>
      </c>
      <c r="X1150" s="17" t="s">
        <v>5726</v>
      </c>
      <c r="Y1150" s="17" t="s">
        <v>242</v>
      </c>
      <c r="Z1150" s="19"/>
      <c r="AA1150" s="19"/>
      <c r="AB1150" s="17"/>
      <c r="AC1150" s="19"/>
    </row>
    <row r="1151" customFormat="false" ht="22.35" hidden="false" customHeight="false" outlineLevel="0" collapsed="false">
      <c r="A1151" s="10" t="s">
        <v>5727</v>
      </c>
      <c r="B1151" s="17" t="s">
        <v>116</v>
      </c>
      <c r="C1151" s="18" t="s">
        <v>117</v>
      </c>
      <c r="D1151" s="17" t="s">
        <v>19</v>
      </c>
      <c r="E1151" s="17" t="s">
        <v>229</v>
      </c>
      <c r="F1151" s="17" t="s">
        <v>5647</v>
      </c>
      <c r="G1151" s="17" t="s">
        <v>118</v>
      </c>
      <c r="H1151" s="17" t="s">
        <v>31</v>
      </c>
      <c r="I1151" s="17" t="s">
        <v>333</v>
      </c>
      <c r="J1151" s="17" t="s">
        <v>233</v>
      </c>
      <c r="K1151" s="19"/>
      <c r="L1151" s="19"/>
      <c r="M1151" s="19"/>
      <c r="N1151" s="19"/>
      <c r="O1151" s="17" t="n">
        <v>0</v>
      </c>
      <c r="P1151" s="18" t="s">
        <v>5716</v>
      </c>
      <c r="Q1151" s="18" t="s">
        <v>5717</v>
      </c>
      <c r="R1151" s="18" t="s">
        <v>5728</v>
      </c>
      <c r="S1151" s="17" t="s">
        <v>5722</v>
      </c>
      <c r="T1151" s="18" t="s">
        <v>5729</v>
      </c>
      <c r="U1151" s="19"/>
      <c r="V1151" s="18" t="s">
        <v>5730</v>
      </c>
      <c r="W1151" s="17" t="s">
        <v>240</v>
      </c>
      <c r="X1151" s="17" t="s">
        <v>5731</v>
      </c>
      <c r="Y1151" s="17" t="s">
        <v>242</v>
      </c>
      <c r="Z1151" s="19"/>
      <c r="AA1151" s="19"/>
      <c r="AB1151" s="17"/>
      <c r="AC1151" s="19"/>
    </row>
    <row r="1152" customFormat="false" ht="32.8" hidden="false" customHeight="false" outlineLevel="0" collapsed="false">
      <c r="A1152" s="10" t="s">
        <v>5732</v>
      </c>
      <c r="B1152" s="17" t="s">
        <v>116</v>
      </c>
      <c r="C1152" s="18" t="s">
        <v>117</v>
      </c>
      <c r="D1152" s="17" t="s">
        <v>19</v>
      </c>
      <c r="E1152" s="17" t="s">
        <v>229</v>
      </c>
      <c r="F1152" s="17" t="s">
        <v>5647</v>
      </c>
      <c r="G1152" s="17" t="s">
        <v>118</v>
      </c>
      <c r="H1152" s="17" t="s">
        <v>31</v>
      </c>
      <c r="I1152" s="17" t="s">
        <v>232</v>
      </c>
      <c r="J1152" s="17" t="s">
        <v>233</v>
      </c>
      <c r="K1152" s="19"/>
      <c r="L1152" s="19"/>
      <c r="M1152" s="19"/>
      <c r="N1152" s="19"/>
      <c r="O1152" s="17" t="n">
        <v>0</v>
      </c>
      <c r="P1152" s="18" t="s">
        <v>5716</v>
      </c>
      <c r="Q1152" s="18" t="s">
        <v>5717</v>
      </c>
      <c r="R1152" s="18" t="s">
        <v>5733</v>
      </c>
      <c r="S1152" s="17" t="s">
        <v>5722</v>
      </c>
      <c r="T1152" s="18" t="s">
        <v>5734</v>
      </c>
      <c r="U1152" s="19"/>
      <c r="V1152" s="18" t="s">
        <v>5735</v>
      </c>
      <c r="W1152" s="17" t="s">
        <v>240</v>
      </c>
      <c r="X1152" s="17" t="s">
        <v>5736</v>
      </c>
      <c r="Y1152" s="17" t="s">
        <v>242</v>
      </c>
      <c r="Z1152" s="19"/>
      <c r="AA1152" s="19"/>
      <c r="AB1152" s="17"/>
      <c r="AC1152" s="19"/>
    </row>
    <row r="1153" customFormat="false" ht="32.8" hidden="false" customHeight="false" outlineLevel="0" collapsed="false">
      <c r="A1153" s="10" t="s">
        <v>5737</v>
      </c>
      <c r="B1153" s="17" t="s">
        <v>116</v>
      </c>
      <c r="C1153" s="18" t="s">
        <v>117</v>
      </c>
      <c r="D1153" s="17" t="s">
        <v>19</v>
      </c>
      <c r="E1153" s="17" t="s">
        <v>75</v>
      </c>
      <c r="F1153" s="17" t="s">
        <v>5647</v>
      </c>
      <c r="G1153" s="17" t="s">
        <v>118</v>
      </c>
      <c r="H1153" s="17" t="s">
        <v>31</v>
      </c>
      <c r="I1153" s="17" t="s">
        <v>289</v>
      </c>
      <c r="J1153" s="17" t="s">
        <v>233</v>
      </c>
      <c r="K1153" s="19"/>
      <c r="L1153" s="19"/>
      <c r="M1153" s="19"/>
      <c r="N1153" s="19"/>
      <c r="O1153" s="17" t="n">
        <v>3</v>
      </c>
      <c r="P1153" s="18" t="s">
        <v>5716</v>
      </c>
      <c r="Q1153" s="18" t="s">
        <v>5738</v>
      </c>
      <c r="R1153" s="18" t="s">
        <v>5739</v>
      </c>
      <c r="S1153" s="17" t="s">
        <v>5740</v>
      </c>
      <c r="T1153" s="18" t="s">
        <v>5741</v>
      </c>
      <c r="U1153" s="19"/>
      <c r="V1153" s="18" t="s">
        <v>5742</v>
      </c>
      <c r="W1153" s="17" t="s">
        <v>383</v>
      </c>
      <c r="X1153" s="17" t="s">
        <v>5743</v>
      </c>
      <c r="Y1153" s="17" t="s">
        <v>242</v>
      </c>
      <c r="Z1153" s="19"/>
      <c r="AA1153" s="19"/>
      <c r="AB1153" s="17"/>
      <c r="AC1153" s="19"/>
    </row>
    <row r="1154" customFormat="false" ht="32.8" hidden="false" customHeight="false" outlineLevel="0" collapsed="false">
      <c r="A1154" s="10" t="s">
        <v>5744</v>
      </c>
      <c r="B1154" s="17" t="s">
        <v>116</v>
      </c>
      <c r="C1154" s="18" t="s">
        <v>117</v>
      </c>
      <c r="D1154" s="17" t="s">
        <v>19</v>
      </c>
      <c r="E1154" s="17" t="s">
        <v>75</v>
      </c>
      <c r="F1154" s="17" t="s">
        <v>5647</v>
      </c>
      <c r="G1154" s="17" t="s">
        <v>118</v>
      </c>
      <c r="H1154" s="17" t="s">
        <v>31</v>
      </c>
      <c r="I1154" s="17" t="s">
        <v>316</v>
      </c>
      <c r="J1154" s="17" t="s">
        <v>233</v>
      </c>
      <c r="K1154" s="19"/>
      <c r="L1154" s="19"/>
      <c r="M1154" s="19"/>
      <c r="N1154" s="19"/>
      <c r="O1154" s="17" t="n">
        <v>3</v>
      </c>
      <c r="P1154" s="18" t="s">
        <v>5716</v>
      </c>
      <c r="Q1154" s="18" t="s">
        <v>5738</v>
      </c>
      <c r="R1154" s="18" t="s">
        <v>5745</v>
      </c>
      <c r="S1154" s="17" t="s">
        <v>5740</v>
      </c>
      <c r="T1154" s="18" t="s">
        <v>5746</v>
      </c>
      <c r="U1154" s="19"/>
      <c r="V1154" s="18" t="s">
        <v>5747</v>
      </c>
      <c r="W1154" s="17" t="s">
        <v>5511</v>
      </c>
      <c r="X1154" s="17" t="s">
        <v>5748</v>
      </c>
      <c r="Y1154" s="17" t="s">
        <v>242</v>
      </c>
      <c r="Z1154" s="19"/>
      <c r="AA1154" s="19"/>
      <c r="AB1154" s="17"/>
      <c r="AC1154" s="19"/>
    </row>
    <row r="1155" customFormat="false" ht="22.35" hidden="false" customHeight="false" outlineLevel="0" collapsed="false">
      <c r="A1155" s="10" t="s">
        <v>5749</v>
      </c>
      <c r="B1155" s="17" t="s">
        <v>116</v>
      </c>
      <c r="C1155" s="18" t="s">
        <v>117</v>
      </c>
      <c r="D1155" s="17" t="s">
        <v>19</v>
      </c>
      <c r="E1155" s="17" t="s">
        <v>75</v>
      </c>
      <c r="F1155" s="17" t="s">
        <v>5647</v>
      </c>
      <c r="G1155" s="17" t="s">
        <v>118</v>
      </c>
      <c r="H1155" s="17" t="s">
        <v>31</v>
      </c>
      <c r="I1155" s="17" t="s">
        <v>316</v>
      </c>
      <c r="J1155" s="17" t="s">
        <v>233</v>
      </c>
      <c r="K1155" s="19"/>
      <c r="L1155" s="19"/>
      <c r="M1155" s="19"/>
      <c r="N1155" s="19"/>
      <c r="O1155" s="17" t="n">
        <v>3</v>
      </c>
      <c r="P1155" s="18" t="s">
        <v>5716</v>
      </c>
      <c r="Q1155" s="18" t="s">
        <v>5738</v>
      </c>
      <c r="R1155" s="18" t="s">
        <v>5750</v>
      </c>
      <c r="S1155" s="17" t="s">
        <v>5740</v>
      </c>
      <c r="T1155" s="18" t="s">
        <v>5751</v>
      </c>
      <c r="U1155" s="19"/>
      <c r="V1155" s="18" t="s">
        <v>5752</v>
      </c>
      <c r="W1155" s="17" t="s">
        <v>1217</v>
      </c>
      <c r="X1155" s="17" t="s">
        <v>5753</v>
      </c>
      <c r="Y1155" s="17" t="s">
        <v>242</v>
      </c>
      <c r="Z1155" s="19"/>
      <c r="AA1155" s="19"/>
      <c r="AB1155" s="17"/>
      <c r="AC1155" s="19"/>
    </row>
    <row r="1156" customFormat="false" ht="32.8" hidden="false" customHeight="false" outlineLevel="0" collapsed="false">
      <c r="A1156" s="10" t="s">
        <v>5754</v>
      </c>
      <c r="B1156" s="17" t="s">
        <v>116</v>
      </c>
      <c r="C1156" s="18" t="s">
        <v>117</v>
      </c>
      <c r="D1156" s="17" t="s">
        <v>19</v>
      </c>
      <c r="E1156" s="17" t="s">
        <v>229</v>
      </c>
      <c r="F1156" s="17" t="s">
        <v>5647</v>
      </c>
      <c r="G1156" s="17" t="s">
        <v>118</v>
      </c>
      <c r="H1156" s="17" t="s">
        <v>31</v>
      </c>
      <c r="I1156" s="17" t="s">
        <v>232</v>
      </c>
      <c r="J1156" s="17" t="s">
        <v>233</v>
      </c>
      <c r="K1156" s="19"/>
      <c r="L1156" s="19"/>
      <c r="M1156" s="19"/>
      <c r="N1156" s="19"/>
      <c r="O1156" s="17" t="n">
        <v>0</v>
      </c>
      <c r="P1156" s="18" t="s">
        <v>5716</v>
      </c>
      <c r="Q1156" s="18" t="s">
        <v>5738</v>
      </c>
      <c r="R1156" s="18" t="s">
        <v>5755</v>
      </c>
      <c r="S1156" s="17" t="s">
        <v>5706</v>
      </c>
      <c r="T1156" s="18" t="s">
        <v>5756</v>
      </c>
      <c r="U1156" s="19"/>
      <c r="V1156" s="18" t="s">
        <v>5757</v>
      </c>
      <c r="W1156" s="17" t="s">
        <v>240</v>
      </c>
      <c r="X1156" s="17" t="s">
        <v>5758</v>
      </c>
      <c r="Y1156" s="17" t="s">
        <v>242</v>
      </c>
      <c r="Z1156" s="19"/>
      <c r="AA1156" s="19"/>
      <c r="AB1156" s="17"/>
      <c r="AC1156" s="19"/>
    </row>
    <row r="1157" customFormat="false" ht="22.35" hidden="false" customHeight="false" outlineLevel="0" collapsed="false">
      <c r="A1157" s="10" t="s">
        <v>5759</v>
      </c>
      <c r="B1157" s="17" t="s">
        <v>116</v>
      </c>
      <c r="C1157" s="18" t="s">
        <v>117</v>
      </c>
      <c r="D1157" s="17" t="s">
        <v>19</v>
      </c>
      <c r="E1157" s="17" t="s">
        <v>75</v>
      </c>
      <c r="F1157" s="17" t="s">
        <v>5647</v>
      </c>
      <c r="G1157" s="17" t="s">
        <v>118</v>
      </c>
      <c r="H1157" s="17" t="s">
        <v>31</v>
      </c>
      <c r="I1157" s="17" t="s">
        <v>277</v>
      </c>
      <c r="J1157" s="17" t="s">
        <v>233</v>
      </c>
      <c r="K1157" s="19"/>
      <c r="L1157" s="19"/>
      <c r="M1157" s="19"/>
      <c r="N1157" s="19"/>
      <c r="O1157" s="17" t="n">
        <v>3</v>
      </c>
      <c r="P1157" s="18" t="s">
        <v>5716</v>
      </c>
      <c r="Q1157" s="18" t="s">
        <v>5738</v>
      </c>
      <c r="R1157" s="18" t="s">
        <v>5760</v>
      </c>
      <c r="S1157" s="17" t="s">
        <v>5761</v>
      </c>
      <c r="T1157" s="18" t="s">
        <v>5762</v>
      </c>
      <c r="U1157" s="19"/>
      <c r="V1157" s="18" t="s">
        <v>5763</v>
      </c>
      <c r="W1157" s="17" t="s">
        <v>383</v>
      </c>
      <c r="X1157" s="17" t="s">
        <v>5764</v>
      </c>
      <c r="Y1157" s="17" t="s">
        <v>242</v>
      </c>
      <c r="Z1157" s="19"/>
      <c r="AA1157" s="19"/>
      <c r="AB1157" s="17"/>
      <c r="AC1157" s="19"/>
    </row>
    <row r="1158" customFormat="false" ht="22.35" hidden="false" customHeight="false" outlineLevel="0" collapsed="false">
      <c r="A1158" s="10" t="s">
        <v>5765</v>
      </c>
      <c r="B1158" s="17" t="s">
        <v>116</v>
      </c>
      <c r="C1158" s="18" t="s">
        <v>117</v>
      </c>
      <c r="D1158" s="17" t="s">
        <v>19</v>
      </c>
      <c r="E1158" s="17" t="s">
        <v>229</v>
      </c>
      <c r="F1158" s="17" t="s">
        <v>5647</v>
      </c>
      <c r="G1158" s="17" t="s">
        <v>118</v>
      </c>
      <c r="H1158" s="17" t="s">
        <v>31</v>
      </c>
      <c r="I1158" s="17" t="s">
        <v>232</v>
      </c>
      <c r="J1158" s="17" t="s">
        <v>233</v>
      </c>
      <c r="K1158" s="19"/>
      <c r="L1158" s="19"/>
      <c r="M1158" s="19"/>
      <c r="N1158" s="19"/>
      <c r="O1158" s="17" t="n">
        <v>3</v>
      </c>
      <c r="P1158" s="18" t="s">
        <v>5716</v>
      </c>
      <c r="Q1158" s="18" t="s">
        <v>5738</v>
      </c>
      <c r="R1158" s="18" t="s">
        <v>5766</v>
      </c>
      <c r="S1158" s="17" t="s">
        <v>5722</v>
      </c>
      <c r="T1158" s="18" t="s">
        <v>5767</v>
      </c>
      <c r="U1158" s="19"/>
      <c r="V1158" s="18" t="s">
        <v>5768</v>
      </c>
      <c r="W1158" s="17" t="s">
        <v>383</v>
      </c>
      <c r="X1158" s="17" t="s">
        <v>5769</v>
      </c>
      <c r="Y1158" s="17" t="s">
        <v>242</v>
      </c>
      <c r="Z1158" s="19"/>
      <c r="AA1158" s="19"/>
      <c r="AB1158" s="17"/>
      <c r="AC1158" s="19"/>
    </row>
    <row r="1159" customFormat="false" ht="22.35" hidden="false" customHeight="false" outlineLevel="0" collapsed="false">
      <c r="A1159" s="10" t="s">
        <v>5770</v>
      </c>
      <c r="B1159" s="17" t="s">
        <v>116</v>
      </c>
      <c r="C1159" s="18" t="s">
        <v>117</v>
      </c>
      <c r="D1159" s="17" t="s">
        <v>19</v>
      </c>
      <c r="E1159" s="17" t="s">
        <v>75</v>
      </c>
      <c r="F1159" s="17" t="s">
        <v>5647</v>
      </c>
      <c r="G1159" s="17" t="s">
        <v>118</v>
      </c>
      <c r="H1159" s="17" t="s">
        <v>31</v>
      </c>
      <c r="I1159" s="17" t="s">
        <v>283</v>
      </c>
      <c r="J1159" s="17" t="s">
        <v>233</v>
      </c>
      <c r="K1159" s="19"/>
      <c r="L1159" s="19"/>
      <c r="M1159" s="19"/>
      <c r="N1159" s="19"/>
      <c r="O1159" s="17" t="n">
        <v>3</v>
      </c>
      <c r="P1159" s="18" t="s">
        <v>5716</v>
      </c>
      <c r="Q1159" s="18" t="s">
        <v>5738</v>
      </c>
      <c r="R1159" s="18" t="s">
        <v>5771</v>
      </c>
      <c r="S1159" s="17" t="s">
        <v>5772</v>
      </c>
      <c r="T1159" s="18" t="s">
        <v>2849</v>
      </c>
      <c r="U1159" s="19"/>
      <c r="V1159" s="18" t="s">
        <v>5773</v>
      </c>
      <c r="W1159" s="17" t="s">
        <v>240</v>
      </c>
      <c r="X1159" s="17" t="s">
        <v>2851</v>
      </c>
      <c r="Y1159" s="17" t="s">
        <v>242</v>
      </c>
      <c r="Z1159" s="19"/>
      <c r="AA1159" s="19"/>
      <c r="AB1159" s="17"/>
      <c r="AC1159" s="19"/>
    </row>
    <row r="1160" customFormat="false" ht="22.35" hidden="false" customHeight="false" outlineLevel="0" collapsed="false">
      <c r="A1160" s="10" t="s">
        <v>5774</v>
      </c>
      <c r="B1160" s="17" t="s">
        <v>116</v>
      </c>
      <c r="C1160" s="18" t="s">
        <v>117</v>
      </c>
      <c r="D1160" s="17" t="s">
        <v>19</v>
      </c>
      <c r="E1160" s="17" t="s">
        <v>75</v>
      </c>
      <c r="F1160" s="17" t="s">
        <v>5647</v>
      </c>
      <c r="G1160" s="17" t="s">
        <v>118</v>
      </c>
      <c r="H1160" s="17" t="s">
        <v>31</v>
      </c>
      <c r="I1160" s="17" t="s">
        <v>316</v>
      </c>
      <c r="J1160" s="17" t="s">
        <v>233</v>
      </c>
      <c r="K1160" s="19"/>
      <c r="L1160" s="19"/>
      <c r="M1160" s="19"/>
      <c r="N1160" s="19"/>
      <c r="O1160" s="17" t="n">
        <v>3</v>
      </c>
      <c r="P1160" s="18" t="s">
        <v>5775</v>
      </c>
      <c r="Q1160" s="18" t="s">
        <v>5776</v>
      </c>
      <c r="R1160" s="18" t="s">
        <v>5777</v>
      </c>
      <c r="S1160" s="17" t="s">
        <v>5706</v>
      </c>
      <c r="T1160" s="18" t="s">
        <v>5778</v>
      </c>
      <c r="U1160" s="19"/>
      <c r="V1160" s="18" t="s">
        <v>5779</v>
      </c>
      <c r="W1160" s="17" t="s">
        <v>240</v>
      </c>
      <c r="X1160" s="17" t="s">
        <v>5780</v>
      </c>
      <c r="Y1160" s="17" t="s">
        <v>242</v>
      </c>
      <c r="Z1160" s="19"/>
      <c r="AA1160" s="19"/>
      <c r="AB1160" s="17"/>
      <c r="AC1160" s="19"/>
    </row>
    <row r="1161" customFormat="false" ht="22.35" hidden="false" customHeight="false" outlineLevel="0" collapsed="false">
      <c r="A1161" s="10" t="s">
        <v>5781</v>
      </c>
      <c r="B1161" s="17" t="s">
        <v>116</v>
      </c>
      <c r="C1161" s="18" t="s">
        <v>117</v>
      </c>
      <c r="D1161" s="17" t="s">
        <v>19</v>
      </c>
      <c r="E1161" s="17" t="s">
        <v>75</v>
      </c>
      <c r="F1161" s="17" t="s">
        <v>5647</v>
      </c>
      <c r="G1161" s="17" t="s">
        <v>118</v>
      </c>
      <c r="H1161" s="17" t="s">
        <v>31</v>
      </c>
      <c r="I1161" s="17" t="s">
        <v>277</v>
      </c>
      <c r="J1161" s="17" t="s">
        <v>233</v>
      </c>
      <c r="K1161" s="19"/>
      <c r="L1161" s="19"/>
      <c r="M1161" s="19"/>
      <c r="N1161" s="19"/>
      <c r="O1161" s="17" t="n">
        <v>3</v>
      </c>
      <c r="P1161" s="18" t="s">
        <v>5775</v>
      </c>
      <c r="Q1161" s="18" t="s">
        <v>5776</v>
      </c>
      <c r="R1161" s="18" t="s">
        <v>5782</v>
      </c>
      <c r="S1161" s="17" t="s">
        <v>5774</v>
      </c>
      <c r="T1161" s="18" t="s">
        <v>999</v>
      </c>
      <c r="U1161" s="19"/>
      <c r="V1161" s="18" t="s">
        <v>5783</v>
      </c>
      <c r="W1161" s="17" t="s">
        <v>240</v>
      </c>
      <c r="X1161" s="17" t="s">
        <v>5784</v>
      </c>
      <c r="Y1161" s="17" t="s">
        <v>242</v>
      </c>
      <c r="Z1161" s="19"/>
      <c r="AA1161" s="19"/>
      <c r="AB1161" s="17"/>
      <c r="AC1161" s="19"/>
    </row>
    <row r="1162" customFormat="false" ht="22.35" hidden="false" customHeight="false" outlineLevel="0" collapsed="false">
      <c r="A1162" s="10" t="s">
        <v>5785</v>
      </c>
      <c r="B1162" s="17" t="s">
        <v>116</v>
      </c>
      <c r="C1162" s="18" t="s">
        <v>117</v>
      </c>
      <c r="D1162" s="17" t="s">
        <v>19</v>
      </c>
      <c r="E1162" s="17" t="s">
        <v>75</v>
      </c>
      <c r="F1162" s="17" t="s">
        <v>5647</v>
      </c>
      <c r="G1162" s="17" t="s">
        <v>118</v>
      </c>
      <c r="H1162" s="17" t="s">
        <v>31</v>
      </c>
      <c r="I1162" s="17" t="s">
        <v>316</v>
      </c>
      <c r="J1162" s="17" t="s">
        <v>233</v>
      </c>
      <c r="K1162" s="19"/>
      <c r="L1162" s="19"/>
      <c r="M1162" s="19"/>
      <c r="N1162" s="19"/>
      <c r="O1162" s="17" t="n">
        <v>3</v>
      </c>
      <c r="P1162" s="18" t="s">
        <v>5775</v>
      </c>
      <c r="Q1162" s="18" t="s">
        <v>5776</v>
      </c>
      <c r="R1162" s="18" t="s">
        <v>5786</v>
      </c>
      <c r="S1162" s="17" t="s">
        <v>5774</v>
      </c>
      <c r="T1162" s="18" t="s">
        <v>5787</v>
      </c>
      <c r="U1162" s="19"/>
      <c r="V1162" s="18" t="s">
        <v>5788</v>
      </c>
      <c r="W1162" s="17" t="s">
        <v>240</v>
      </c>
      <c r="X1162" s="17" t="s">
        <v>5789</v>
      </c>
      <c r="Y1162" s="17" t="s">
        <v>242</v>
      </c>
      <c r="Z1162" s="19"/>
      <c r="AA1162" s="19"/>
      <c r="AB1162" s="17"/>
      <c r="AC1162" s="19"/>
    </row>
    <row r="1163" customFormat="false" ht="22.35" hidden="false" customHeight="false" outlineLevel="0" collapsed="false">
      <c r="A1163" s="10" t="s">
        <v>5790</v>
      </c>
      <c r="B1163" s="17" t="s">
        <v>116</v>
      </c>
      <c r="C1163" s="18" t="s">
        <v>117</v>
      </c>
      <c r="D1163" s="17" t="s">
        <v>19</v>
      </c>
      <c r="E1163" s="17" t="s">
        <v>75</v>
      </c>
      <c r="F1163" s="17" t="s">
        <v>5647</v>
      </c>
      <c r="G1163" s="17" t="s">
        <v>118</v>
      </c>
      <c r="H1163" s="17" t="s">
        <v>31</v>
      </c>
      <c r="I1163" s="17" t="s">
        <v>450</v>
      </c>
      <c r="J1163" s="17" t="s">
        <v>233</v>
      </c>
      <c r="K1163" s="19"/>
      <c r="L1163" s="19"/>
      <c r="M1163" s="19"/>
      <c r="N1163" s="19"/>
      <c r="O1163" s="17" t="n">
        <v>3</v>
      </c>
      <c r="P1163" s="18" t="s">
        <v>5775</v>
      </c>
      <c r="Q1163" s="18" t="s">
        <v>5776</v>
      </c>
      <c r="R1163" s="18" t="s">
        <v>5791</v>
      </c>
      <c r="S1163" s="17" t="s">
        <v>5774</v>
      </c>
      <c r="T1163" s="18" t="s">
        <v>5792</v>
      </c>
      <c r="U1163" s="19"/>
      <c r="V1163" s="18" t="s">
        <v>5793</v>
      </c>
      <c r="W1163" s="17" t="s">
        <v>240</v>
      </c>
      <c r="X1163" s="17" t="s">
        <v>5794</v>
      </c>
      <c r="Y1163" s="17" t="s">
        <v>242</v>
      </c>
      <c r="Z1163" s="19"/>
      <c r="AA1163" s="19"/>
      <c r="AB1163" s="17"/>
      <c r="AC1163" s="19"/>
    </row>
    <row r="1164" customFormat="false" ht="22.35" hidden="false" customHeight="false" outlineLevel="0" collapsed="false">
      <c r="A1164" s="10" t="s">
        <v>5795</v>
      </c>
      <c r="B1164" s="17" t="s">
        <v>116</v>
      </c>
      <c r="C1164" s="18" t="s">
        <v>117</v>
      </c>
      <c r="D1164" s="17" t="s">
        <v>19</v>
      </c>
      <c r="E1164" s="17" t="s">
        <v>75</v>
      </c>
      <c r="F1164" s="17" t="s">
        <v>5647</v>
      </c>
      <c r="G1164" s="17" t="s">
        <v>118</v>
      </c>
      <c r="H1164" s="17" t="s">
        <v>31</v>
      </c>
      <c r="I1164" s="17" t="s">
        <v>316</v>
      </c>
      <c r="J1164" s="17" t="s">
        <v>233</v>
      </c>
      <c r="K1164" s="19"/>
      <c r="L1164" s="19"/>
      <c r="M1164" s="19"/>
      <c r="N1164" s="19"/>
      <c r="O1164" s="17" t="n">
        <v>3</v>
      </c>
      <c r="P1164" s="18" t="s">
        <v>5775</v>
      </c>
      <c r="Q1164" s="18" t="s">
        <v>5796</v>
      </c>
      <c r="R1164" s="18" t="s">
        <v>5797</v>
      </c>
      <c r="S1164" s="17" t="s">
        <v>5785</v>
      </c>
      <c r="T1164" s="18" t="s">
        <v>5798</v>
      </c>
      <c r="U1164" s="19"/>
      <c r="V1164" s="18" t="s">
        <v>5799</v>
      </c>
      <c r="W1164" s="17" t="s">
        <v>240</v>
      </c>
      <c r="X1164" s="17" t="s">
        <v>5800</v>
      </c>
      <c r="Y1164" s="17" t="s">
        <v>242</v>
      </c>
      <c r="Z1164" s="19"/>
      <c r="AA1164" s="19"/>
      <c r="AB1164" s="17"/>
      <c r="AC1164" s="19"/>
    </row>
    <row r="1165" customFormat="false" ht="22.35" hidden="false" customHeight="false" outlineLevel="0" collapsed="false">
      <c r="A1165" s="10" t="s">
        <v>5801</v>
      </c>
      <c r="B1165" s="17" t="s">
        <v>116</v>
      </c>
      <c r="C1165" s="18" t="s">
        <v>117</v>
      </c>
      <c r="D1165" s="17" t="s">
        <v>19</v>
      </c>
      <c r="E1165" s="17" t="s">
        <v>75</v>
      </c>
      <c r="F1165" s="17" t="s">
        <v>5647</v>
      </c>
      <c r="G1165" s="17" t="s">
        <v>118</v>
      </c>
      <c r="H1165" s="17" t="s">
        <v>31</v>
      </c>
      <c r="I1165" s="17" t="s">
        <v>316</v>
      </c>
      <c r="J1165" s="17" t="s">
        <v>233</v>
      </c>
      <c r="K1165" s="19"/>
      <c r="L1165" s="19"/>
      <c r="M1165" s="19"/>
      <c r="N1165" s="19"/>
      <c r="O1165" s="17" t="n">
        <v>3</v>
      </c>
      <c r="P1165" s="18" t="s">
        <v>5775</v>
      </c>
      <c r="Q1165" s="18" t="s">
        <v>5796</v>
      </c>
      <c r="R1165" s="18" t="s">
        <v>5802</v>
      </c>
      <c r="S1165" s="17" t="s">
        <v>5795</v>
      </c>
      <c r="T1165" s="18" t="s">
        <v>5803</v>
      </c>
      <c r="U1165" s="19"/>
      <c r="V1165" s="18" t="s">
        <v>5804</v>
      </c>
      <c r="W1165" s="17" t="s">
        <v>240</v>
      </c>
      <c r="X1165" s="17" t="s">
        <v>5805</v>
      </c>
      <c r="Y1165" s="17" t="s">
        <v>242</v>
      </c>
      <c r="Z1165" s="19"/>
      <c r="AA1165" s="19"/>
      <c r="AB1165" s="17"/>
      <c r="AC1165" s="19"/>
    </row>
    <row r="1166" customFormat="false" ht="22.35" hidden="false" customHeight="false" outlineLevel="0" collapsed="false">
      <c r="A1166" s="10" t="s">
        <v>5806</v>
      </c>
      <c r="B1166" s="17" t="s">
        <v>116</v>
      </c>
      <c r="C1166" s="18" t="s">
        <v>117</v>
      </c>
      <c r="D1166" s="17" t="s">
        <v>19</v>
      </c>
      <c r="E1166" s="17" t="s">
        <v>75</v>
      </c>
      <c r="F1166" s="17" t="s">
        <v>5647</v>
      </c>
      <c r="G1166" s="17" t="s">
        <v>118</v>
      </c>
      <c r="H1166" s="17" t="s">
        <v>31</v>
      </c>
      <c r="I1166" s="17" t="s">
        <v>277</v>
      </c>
      <c r="J1166" s="17" t="s">
        <v>233</v>
      </c>
      <c r="K1166" s="19"/>
      <c r="L1166" s="19"/>
      <c r="M1166" s="19"/>
      <c r="N1166" s="19"/>
      <c r="O1166" s="17" t="n">
        <v>3</v>
      </c>
      <c r="P1166" s="18" t="s">
        <v>5775</v>
      </c>
      <c r="Q1166" s="18" t="s">
        <v>5796</v>
      </c>
      <c r="R1166" s="18" t="s">
        <v>5807</v>
      </c>
      <c r="S1166" s="17" t="s">
        <v>5801</v>
      </c>
      <c r="T1166" s="18" t="s">
        <v>5808</v>
      </c>
      <c r="U1166" s="19"/>
      <c r="V1166" s="18" t="s">
        <v>5809</v>
      </c>
      <c r="W1166" s="17" t="s">
        <v>240</v>
      </c>
      <c r="X1166" s="17" t="s">
        <v>5810</v>
      </c>
      <c r="Y1166" s="17" t="s">
        <v>242</v>
      </c>
      <c r="Z1166" s="19"/>
      <c r="AA1166" s="19"/>
      <c r="AB1166" s="17"/>
      <c r="AC1166" s="19"/>
    </row>
    <row r="1167" customFormat="false" ht="22.35" hidden="false" customHeight="false" outlineLevel="0" collapsed="false">
      <c r="A1167" s="10" t="s">
        <v>5811</v>
      </c>
      <c r="B1167" s="17" t="s">
        <v>116</v>
      </c>
      <c r="C1167" s="18" t="s">
        <v>117</v>
      </c>
      <c r="D1167" s="17" t="s">
        <v>19</v>
      </c>
      <c r="E1167" s="17" t="s">
        <v>75</v>
      </c>
      <c r="F1167" s="17" t="s">
        <v>5647</v>
      </c>
      <c r="G1167" s="17" t="s">
        <v>118</v>
      </c>
      <c r="H1167" s="17" t="s">
        <v>31</v>
      </c>
      <c r="I1167" s="17" t="s">
        <v>316</v>
      </c>
      <c r="J1167" s="17" t="s">
        <v>233</v>
      </c>
      <c r="K1167" s="19"/>
      <c r="L1167" s="19"/>
      <c r="M1167" s="19"/>
      <c r="N1167" s="19"/>
      <c r="O1167" s="17" t="n">
        <v>3</v>
      </c>
      <c r="P1167" s="18" t="s">
        <v>5775</v>
      </c>
      <c r="Q1167" s="18" t="s">
        <v>5796</v>
      </c>
      <c r="R1167" s="18" t="s">
        <v>5812</v>
      </c>
      <c r="S1167" s="17" t="s">
        <v>5795</v>
      </c>
      <c r="T1167" s="18" t="s">
        <v>5813</v>
      </c>
      <c r="U1167" s="19"/>
      <c r="V1167" s="18" t="s">
        <v>5814</v>
      </c>
      <c r="W1167" s="17" t="s">
        <v>240</v>
      </c>
      <c r="X1167" s="17" t="s">
        <v>5810</v>
      </c>
      <c r="Y1167" s="17" t="s">
        <v>242</v>
      </c>
      <c r="Z1167" s="19"/>
      <c r="AA1167" s="19"/>
      <c r="AB1167" s="17"/>
      <c r="AC1167" s="19"/>
    </row>
    <row r="1168" customFormat="false" ht="22.35" hidden="false" customHeight="false" outlineLevel="0" collapsed="false">
      <c r="A1168" s="10" t="s">
        <v>5815</v>
      </c>
      <c r="B1168" s="17" t="s">
        <v>116</v>
      </c>
      <c r="C1168" s="18" t="s">
        <v>117</v>
      </c>
      <c r="D1168" s="17" t="s">
        <v>19</v>
      </c>
      <c r="E1168" s="17" t="s">
        <v>75</v>
      </c>
      <c r="F1168" s="17" t="s">
        <v>5647</v>
      </c>
      <c r="G1168" s="17" t="s">
        <v>118</v>
      </c>
      <c r="H1168" s="17" t="s">
        <v>31</v>
      </c>
      <c r="I1168" s="17" t="s">
        <v>450</v>
      </c>
      <c r="J1168" s="17" t="s">
        <v>233</v>
      </c>
      <c r="K1168" s="19"/>
      <c r="L1168" s="19"/>
      <c r="M1168" s="19"/>
      <c r="N1168" s="19"/>
      <c r="O1168" s="17" t="n">
        <v>3</v>
      </c>
      <c r="P1168" s="18" t="s">
        <v>5775</v>
      </c>
      <c r="Q1168" s="18" t="s">
        <v>5796</v>
      </c>
      <c r="R1168" s="18" t="s">
        <v>5816</v>
      </c>
      <c r="S1168" s="17" t="s">
        <v>5774</v>
      </c>
      <c r="T1168" s="18" t="s">
        <v>3081</v>
      </c>
      <c r="U1168" s="19"/>
      <c r="V1168" s="18" t="s">
        <v>5817</v>
      </c>
      <c r="W1168" s="17" t="s">
        <v>240</v>
      </c>
      <c r="X1168" s="17" t="s">
        <v>5818</v>
      </c>
      <c r="Y1168" s="17" t="s">
        <v>242</v>
      </c>
      <c r="Z1168" s="19"/>
      <c r="AA1168" s="19"/>
      <c r="AB1168" s="17"/>
      <c r="AC1168" s="19"/>
    </row>
    <row r="1169" customFormat="false" ht="22.35" hidden="false" customHeight="false" outlineLevel="0" collapsed="false">
      <c r="A1169" s="10" t="s">
        <v>5819</v>
      </c>
      <c r="B1169" s="17" t="s">
        <v>116</v>
      </c>
      <c r="C1169" s="18" t="s">
        <v>117</v>
      </c>
      <c r="D1169" s="17" t="s">
        <v>19</v>
      </c>
      <c r="E1169" s="17" t="s">
        <v>75</v>
      </c>
      <c r="F1169" s="17" t="s">
        <v>5647</v>
      </c>
      <c r="G1169" s="17" t="s">
        <v>118</v>
      </c>
      <c r="H1169" s="17" t="s">
        <v>31</v>
      </c>
      <c r="I1169" s="17" t="s">
        <v>283</v>
      </c>
      <c r="J1169" s="17" t="s">
        <v>233</v>
      </c>
      <c r="K1169" s="19"/>
      <c r="L1169" s="19"/>
      <c r="M1169" s="19"/>
      <c r="N1169" s="19"/>
      <c r="O1169" s="17" t="n">
        <v>3</v>
      </c>
      <c r="P1169" s="18" t="s">
        <v>5775</v>
      </c>
      <c r="Q1169" s="18" t="s">
        <v>5796</v>
      </c>
      <c r="R1169" s="18" t="s">
        <v>5820</v>
      </c>
      <c r="S1169" s="17" t="s">
        <v>5821</v>
      </c>
      <c r="T1169" s="18" t="s">
        <v>2849</v>
      </c>
      <c r="U1169" s="19"/>
      <c r="V1169" s="18" t="s">
        <v>5822</v>
      </c>
      <c r="W1169" s="17" t="s">
        <v>240</v>
      </c>
      <c r="X1169" s="17" t="s">
        <v>2851</v>
      </c>
      <c r="Y1169" s="17" t="s">
        <v>242</v>
      </c>
      <c r="Z1169" s="19"/>
      <c r="AA1169" s="19"/>
      <c r="AB1169" s="17"/>
      <c r="AC1169" s="19"/>
    </row>
    <row r="1170" customFormat="false" ht="32.8" hidden="false" customHeight="false" outlineLevel="0" collapsed="false">
      <c r="A1170" s="10" t="s">
        <v>5823</v>
      </c>
      <c r="B1170" s="17" t="s">
        <v>116</v>
      </c>
      <c r="C1170" s="18" t="s">
        <v>117</v>
      </c>
      <c r="D1170" s="17" t="s">
        <v>19</v>
      </c>
      <c r="E1170" s="17" t="s">
        <v>229</v>
      </c>
      <c r="F1170" s="17" t="s">
        <v>5647</v>
      </c>
      <c r="G1170" s="17" t="s">
        <v>118</v>
      </c>
      <c r="H1170" s="17" t="s">
        <v>31</v>
      </c>
      <c r="I1170" s="17" t="s">
        <v>316</v>
      </c>
      <c r="J1170" s="17" t="s">
        <v>233</v>
      </c>
      <c r="K1170" s="19"/>
      <c r="L1170" s="19"/>
      <c r="M1170" s="19"/>
      <c r="N1170" s="19"/>
      <c r="O1170" s="17" t="n">
        <v>3</v>
      </c>
      <c r="P1170" s="18" t="s">
        <v>5824</v>
      </c>
      <c r="Q1170" s="18" t="s">
        <v>5825</v>
      </c>
      <c r="R1170" s="18" t="s">
        <v>5826</v>
      </c>
      <c r="S1170" s="17" t="s">
        <v>5827</v>
      </c>
      <c r="T1170" s="18" t="s">
        <v>5828</v>
      </c>
      <c r="U1170" s="19"/>
      <c r="V1170" s="18" t="s">
        <v>5829</v>
      </c>
      <c r="W1170" s="17" t="s">
        <v>240</v>
      </c>
      <c r="X1170" s="17" t="s">
        <v>5830</v>
      </c>
      <c r="Y1170" s="17" t="s">
        <v>242</v>
      </c>
      <c r="Z1170" s="19"/>
      <c r="AA1170" s="19"/>
      <c r="AB1170" s="17"/>
      <c r="AC1170" s="19"/>
    </row>
    <row r="1171" customFormat="false" ht="32.8" hidden="false" customHeight="false" outlineLevel="0" collapsed="false">
      <c r="A1171" s="10" t="s">
        <v>5831</v>
      </c>
      <c r="B1171" s="17" t="s">
        <v>116</v>
      </c>
      <c r="C1171" s="18" t="s">
        <v>117</v>
      </c>
      <c r="D1171" s="17" t="s">
        <v>19</v>
      </c>
      <c r="E1171" s="17" t="s">
        <v>229</v>
      </c>
      <c r="F1171" s="17" t="s">
        <v>5647</v>
      </c>
      <c r="G1171" s="17" t="s">
        <v>118</v>
      </c>
      <c r="H1171" s="17" t="s">
        <v>31</v>
      </c>
      <c r="I1171" s="17" t="s">
        <v>316</v>
      </c>
      <c r="J1171" s="17" t="s">
        <v>233</v>
      </c>
      <c r="K1171" s="19"/>
      <c r="L1171" s="19"/>
      <c r="M1171" s="19"/>
      <c r="N1171" s="19"/>
      <c r="O1171" s="17" t="n">
        <v>3</v>
      </c>
      <c r="P1171" s="18" t="s">
        <v>5824</v>
      </c>
      <c r="Q1171" s="18" t="s">
        <v>5825</v>
      </c>
      <c r="R1171" s="18" t="s">
        <v>5832</v>
      </c>
      <c r="S1171" s="17" t="s">
        <v>5833</v>
      </c>
      <c r="T1171" s="18" t="s">
        <v>5834</v>
      </c>
      <c r="U1171" s="19"/>
      <c r="V1171" s="18" t="s">
        <v>5835</v>
      </c>
      <c r="W1171" s="17" t="s">
        <v>240</v>
      </c>
      <c r="X1171" s="17" t="s">
        <v>5836</v>
      </c>
      <c r="Y1171" s="17" t="s">
        <v>242</v>
      </c>
      <c r="Z1171" s="19"/>
      <c r="AA1171" s="19"/>
      <c r="AB1171" s="17"/>
      <c r="AC1171" s="19"/>
    </row>
    <row r="1172" customFormat="false" ht="22.35" hidden="false" customHeight="false" outlineLevel="0" collapsed="false">
      <c r="A1172" s="10" t="s">
        <v>5837</v>
      </c>
      <c r="B1172" s="17" t="s">
        <v>116</v>
      </c>
      <c r="C1172" s="18" t="s">
        <v>117</v>
      </c>
      <c r="D1172" s="17" t="s">
        <v>19</v>
      </c>
      <c r="E1172" s="17" t="s">
        <v>229</v>
      </c>
      <c r="F1172" s="17" t="s">
        <v>5647</v>
      </c>
      <c r="G1172" s="17" t="s">
        <v>118</v>
      </c>
      <c r="H1172" s="17" t="s">
        <v>31</v>
      </c>
      <c r="I1172" s="17" t="s">
        <v>232</v>
      </c>
      <c r="J1172" s="17" t="s">
        <v>233</v>
      </c>
      <c r="K1172" s="19"/>
      <c r="L1172" s="19"/>
      <c r="M1172" s="19"/>
      <c r="N1172" s="19"/>
      <c r="O1172" s="17" t="n">
        <v>3</v>
      </c>
      <c r="P1172" s="18" t="s">
        <v>5824</v>
      </c>
      <c r="Q1172" s="18" t="s">
        <v>5825</v>
      </c>
      <c r="R1172" s="18" t="s">
        <v>5838</v>
      </c>
      <c r="S1172" s="17" t="s">
        <v>5839</v>
      </c>
      <c r="T1172" s="18" t="s">
        <v>5840</v>
      </c>
      <c r="U1172" s="19"/>
      <c r="V1172" s="18" t="s">
        <v>5841</v>
      </c>
      <c r="W1172" s="17" t="s">
        <v>240</v>
      </c>
      <c r="X1172" s="17" t="s">
        <v>3067</v>
      </c>
      <c r="Y1172" s="17" t="s">
        <v>242</v>
      </c>
      <c r="Z1172" s="19"/>
      <c r="AA1172" s="19"/>
      <c r="AB1172" s="17"/>
      <c r="AC1172" s="19"/>
    </row>
    <row r="1173" customFormat="false" ht="32.8" hidden="false" customHeight="false" outlineLevel="0" collapsed="false">
      <c r="A1173" s="10" t="s">
        <v>5842</v>
      </c>
      <c r="B1173" s="17" t="s">
        <v>116</v>
      </c>
      <c r="C1173" s="18" t="s">
        <v>117</v>
      </c>
      <c r="D1173" s="17" t="s">
        <v>19</v>
      </c>
      <c r="E1173" s="17" t="s">
        <v>229</v>
      </c>
      <c r="F1173" s="17" t="s">
        <v>5647</v>
      </c>
      <c r="G1173" s="17" t="s">
        <v>118</v>
      </c>
      <c r="H1173" s="17" t="s">
        <v>31</v>
      </c>
      <c r="I1173" s="17" t="s">
        <v>232</v>
      </c>
      <c r="J1173" s="17" t="s">
        <v>233</v>
      </c>
      <c r="K1173" s="19"/>
      <c r="L1173" s="19"/>
      <c r="M1173" s="19"/>
      <c r="N1173" s="19"/>
      <c r="O1173" s="17" t="n">
        <v>0</v>
      </c>
      <c r="P1173" s="18" t="s">
        <v>5824</v>
      </c>
      <c r="Q1173" s="18" t="s">
        <v>5843</v>
      </c>
      <c r="R1173" s="18" t="s">
        <v>5844</v>
      </c>
      <c r="S1173" s="17" t="s">
        <v>5654</v>
      </c>
      <c r="T1173" s="18" t="s">
        <v>5845</v>
      </c>
      <c r="U1173" s="19"/>
      <c r="V1173" s="18" t="s">
        <v>5846</v>
      </c>
      <c r="W1173" s="17" t="s">
        <v>240</v>
      </c>
      <c r="X1173" s="17" t="s">
        <v>5847</v>
      </c>
      <c r="Y1173" s="17" t="s">
        <v>242</v>
      </c>
      <c r="Z1173" s="19"/>
      <c r="AA1173" s="19"/>
      <c r="AB1173" s="17"/>
      <c r="AC1173" s="19"/>
    </row>
    <row r="1174" customFormat="false" ht="32.8" hidden="false" customHeight="false" outlineLevel="0" collapsed="false">
      <c r="A1174" s="10" t="s">
        <v>5848</v>
      </c>
      <c r="B1174" s="17" t="s">
        <v>116</v>
      </c>
      <c r="C1174" s="18" t="s">
        <v>117</v>
      </c>
      <c r="D1174" s="17" t="s">
        <v>19</v>
      </c>
      <c r="E1174" s="17" t="s">
        <v>229</v>
      </c>
      <c r="F1174" s="17" t="s">
        <v>5647</v>
      </c>
      <c r="G1174" s="17" t="s">
        <v>118</v>
      </c>
      <c r="H1174" s="17" t="s">
        <v>31</v>
      </c>
      <c r="I1174" s="17" t="s">
        <v>316</v>
      </c>
      <c r="J1174" s="17" t="s">
        <v>233</v>
      </c>
      <c r="K1174" s="19"/>
      <c r="L1174" s="19"/>
      <c r="M1174" s="19"/>
      <c r="N1174" s="19"/>
      <c r="O1174" s="17" t="n">
        <v>3</v>
      </c>
      <c r="P1174" s="18" t="s">
        <v>5824</v>
      </c>
      <c r="Q1174" s="18" t="s">
        <v>5843</v>
      </c>
      <c r="R1174" s="18" t="s">
        <v>5849</v>
      </c>
      <c r="S1174" s="17" t="s">
        <v>5850</v>
      </c>
      <c r="T1174" s="18" t="s">
        <v>5851</v>
      </c>
      <c r="U1174" s="19"/>
      <c r="V1174" s="18" t="s">
        <v>5852</v>
      </c>
      <c r="W1174" s="17" t="s">
        <v>240</v>
      </c>
      <c r="X1174" s="17" t="s">
        <v>5853</v>
      </c>
      <c r="Y1174" s="17" t="s">
        <v>242</v>
      </c>
      <c r="Z1174" s="19"/>
      <c r="AA1174" s="19"/>
      <c r="AB1174" s="17"/>
      <c r="AC1174" s="19"/>
    </row>
    <row r="1175" customFormat="false" ht="22.35" hidden="false" customHeight="false" outlineLevel="0" collapsed="false">
      <c r="A1175" s="10" t="s">
        <v>5854</v>
      </c>
      <c r="B1175" s="17" t="s">
        <v>116</v>
      </c>
      <c r="C1175" s="18" t="s">
        <v>117</v>
      </c>
      <c r="D1175" s="17" t="s">
        <v>19</v>
      </c>
      <c r="E1175" s="17" t="s">
        <v>229</v>
      </c>
      <c r="F1175" s="17" t="s">
        <v>5647</v>
      </c>
      <c r="G1175" s="17" t="s">
        <v>118</v>
      </c>
      <c r="H1175" s="17" t="s">
        <v>31</v>
      </c>
      <c r="I1175" s="17" t="s">
        <v>316</v>
      </c>
      <c r="J1175" s="17" t="s">
        <v>233</v>
      </c>
      <c r="K1175" s="19"/>
      <c r="L1175" s="19"/>
      <c r="M1175" s="19"/>
      <c r="N1175" s="19"/>
      <c r="O1175" s="17" t="n">
        <v>3</v>
      </c>
      <c r="P1175" s="18" t="s">
        <v>5824</v>
      </c>
      <c r="Q1175" s="18" t="s">
        <v>5843</v>
      </c>
      <c r="R1175" s="18" t="s">
        <v>5855</v>
      </c>
      <c r="S1175" s="17" t="s">
        <v>5801</v>
      </c>
      <c r="T1175" s="18" t="s">
        <v>3297</v>
      </c>
      <c r="U1175" s="19"/>
      <c r="V1175" s="18" t="s">
        <v>5856</v>
      </c>
      <c r="W1175" s="17" t="s">
        <v>240</v>
      </c>
      <c r="X1175" s="17" t="s">
        <v>5857</v>
      </c>
      <c r="Y1175" s="17" t="s">
        <v>242</v>
      </c>
      <c r="Z1175" s="19"/>
      <c r="AA1175" s="19"/>
      <c r="AB1175" s="17"/>
      <c r="AC1175" s="19"/>
    </row>
    <row r="1176" customFormat="false" ht="32.8" hidden="false" customHeight="false" outlineLevel="0" collapsed="false">
      <c r="A1176" s="10" t="s">
        <v>5858</v>
      </c>
      <c r="B1176" s="17" t="s">
        <v>116</v>
      </c>
      <c r="C1176" s="18" t="s">
        <v>117</v>
      </c>
      <c r="D1176" s="17" t="s">
        <v>19</v>
      </c>
      <c r="E1176" s="17" t="s">
        <v>75</v>
      </c>
      <c r="F1176" s="17" t="s">
        <v>5647</v>
      </c>
      <c r="G1176" s="17" t="s">
        <v>118</v>
      </c>
      <c r="H1176" s="17" t="s">
        <v>31</v>
      </c>
      <c r="I1176" s="17" t="s">
        <v>316</v>
      </c>
      <c r="J1176" s="17" t="s">
        <v>233</v>
      </c>
      <c r="K1176" s="19"/>
      <c r="L1176" s="19"/>
      <c r="M1176" s="19"/>
      <c r="N1176" s="19"/>
      <c r="O1176" s="17" t="n">
        <v>3</v>
      </c>
      <c r="P1176" s="18" t="s">
        <v>5824</v>
      </c>
      <c r="Q1176" s="18" t="s">
        <v>5843</v>
      </c>
      <c r="R1176" s="18" t="s">
        <v>5859</v>
      </c>
      <c r="S1176" s="17" t="s">
        <v>5860</v>
      </c>
      <c r="T1176" s="18" t="s">
        <v>5861</v>
      </c>
      <c r="U1176" s="19"/>
      <c r="V1176" s="18" t="s">
        <v>5862</v>
      </c>
      <c r="W1176" s="17" t="s">
        <v>240</v>
      </c>
      <c r="X1176" s="17" t="s">
        <v>5863</v>
      </c>
      <c r="Y1176" s="17" t="s">
        <v>242</v>
      </c>
      <c r="Z1176" s="19"/>
      <c r="AA1176" s="19"/>
      <c r="AB1176" s="17"/>
      <c r="AC1176" s="19"/>
    </row>
    <row r="1177" customFormat="false" ht="22.35" hidden="false" customHeight="false" outlineLevel="0" collapsed="false">
      <c r="A1177" s="10" t="s">
        <v>5864</v>
      </c>
      <c r="B1177" s="17" t="s">
        <v>116</v>
      </c>
      <c r="C1177" s="18" t="s">
        <v>117</v>
      </c>
      <c r="D1177" s="17" t="s">
        <v>19</v>
      </c>
      <c r="E1177" s="17" t="s">
        <v>229</v>
      </c>
      <c r="F1177" s="17" t="s">
        <v>5647</v>
      </c>
      <c r="G1177" s="17" t="s">
        <v>118</v>
      </c>
      <c r="H1177" s="17" t="s">
        <v>31</v>
      </c>
      <c r="I1177" s="17" t="s">
        <v>277</v>
      </c>
      <c r="J1177" s="17" t="s">
        <v>233</v>
      </c>
      <c r="K1177" s="19"/>
      <c r="L1177" s="19"/>
      <c r="M1177" s="19"/>
      <c r="N1177" s="19"/>
      <c r="O1177" s="17" t="n">
        <v>3</v>
      </c>
      <c r="P1177" s="18" t="s">
        <v>5824</v>
      </c>
      <c r="Q1177" s="18" t="s">
        <v>5843</v>
      </c>
      <c r="R1177" s="18" t="s">
        <v>5865</v>
      </c>
      <c r="S1177" s="17" t="s">
        <v>5848</v>
      </c>
      <c r="T1177" s="18" t="s">
        <v>5866</v>
      </c>
      <c r="U1177" s="19"/>
      <c r="V1177" s="18" t="s">
        <v>5867</v>
      </c>
      <c r="W1177" s="17" t="s">
        <v>240</v>
      </c>
      <c r="X1177" s="17" t="s">
        <v>5868</v>
      </c>
      <c r="Y1177" s="17" t="s">
        <v>242</v>
      </c>
      <c r="Z1177" s="19"/>
      <c r="AA1177" s="19"/>
      <c r="AB1177" s="17"/>
      <c r="AC1177" s="19"/>
    </row>
    <row r="1178" customFormat="false" ht="32.8" hidden="false" customHeight="false" outlineLevel="0" collapsed="false">
      <c r="A1178" s="10" t="s">
        <v>5869</v>
      </c>
      <c r="B1178" s="17" t="s">
        <v>116</v>
      </c>
      <c r="C1178" s="18" t="s">
        <v>117</v>
      </c>
      <c r="D1178" s="17" t="s">
        <v>19</v>
      </c>
      <c r="E1178" s="17" t="s">
        <v>229</v>
      </c>
      <c r="F1178" s="17" t="s">
        <v>5647</v>
      </c>
      <c r="G1178" s="17" t="s">
        <v>118</v>
      </c>
      <c r="H1178" s="17" t="s">
        <v>31</v>
      </c>
      <c r="I1178" s="17" t="s">
        <v>283</v>
      </c>
      <c r="J1178" s="17" t="s">
        <v>233</v>
      </c>
      <c r="K1178" s="19"/>
      <c r="L1178" s="19"/>
      <c r="M1178" s="19"/>
      <c r="N1178" s="19"/>
      <c r="O1178" s="17" t="n">
        <v>3</v>
      </c>
      <c r="P1178" s="18" t="s">
        <v>5824</v>
      </c>
      <c r="Q1178" s="18" t="s">
        <v>5843</v>
      </c>
      <c r="R1178" s="18" t="s">
        <v>5870</v>
      </c>
      <c r="S1178" s="17" t="s">
        <v>5871</v>
      </c>
      <c r="T1178" s="18" t="s">
        <v>5872</v>
      </c>
      <c r="U1178" s="19"/>
      <c r="V1178" s="18" t="s">
        <v>5873</v>
      </c>
      <c r="W1178" s="17" t="s">
        <v>240</v>
      </c>
      <c r="X1178" s="17" t="s">
        <v>5874</v>
      </c>
      <c r="Y1178" s="17" t="s">
        <v>242</v>
      </c>
      <c r="Z1178" s="19"/>
      <c r="AA1178" s="19"/>
      <c r="AB1178" s="17"/>
      <c r="AC1178" s="19"/>
    </row>
    <row r="1179" customFormat="false" ht="32.8" hidden="false" customHeight="false" outlineLevel="0" collapsed="false">
      <c r="A1179" s="10" t="s">
        <v>5875</v>
      </c>
      <c r="B1179" s="17" t="s">
        <v>116</v>
      </c>
      <c r="C1179" s="18" t="s">
        <v>117</v>
      </c>
      <c r="D1179" s="17" t="s">
        <v>19</v>
      </c>
      <c r="E1179" s="17" t="s">
        <v>75</v>
      </c>
      <c r="F1179" s="17" t="s">
        <v>5647</v>
      </c>
      <c r="G1179" s="17" t="s">
        <v>118</v>
      </c>
      <c r="H1179" s="17" t="s">
        <v>31</v>
      </c>
      <c r="I1179" s="17" t="s">
        <v>283</v>
      </c>
      <c r="J1179" s="17" t="s">
        <v>233</v>
      </c>
      <c r="K1179" s="19"/>
      <c r="L1179" s="19"/>
      <c r="M1179" s="19"/>
      <c r="N1179" s="19"/>
      <c r="O1179" s="17" t="n">
        <v>3</v>
      </c>
      <c r="P1179" s="18" t="s">
        <v>5824</v>
      </c>
      <c r="Q1179" s="18" t="s">
        <v>5843</v>
      </c>
      <c r="R1179" s="18" t="s">
        <v>5876</v>
      </c>
      <c r="S1179" s="17" t="s">
        <v>5869</v>
      </c>
      <c r="T1179" s="18" t="s">
        <v>2849</v>
      </c>
      <c r="U1179" s="19"/>
      <c r="V1179" s="18" t="s">
        <v>5877</v>
      </c>
      <c r="W1179" s="17" t="s">
        <v>240</v>
      </c>
      <c r="X1179" s="17" t="s">
        <v>2851</v>
      </c>
      <c r="Y1179" s="17" t="s">
        <v>242</v>
      </c>
      <c r="Z1179" s="19"/>
      <c r="AA1179" s="19"/>
      <c r="AB1179" s="17"/>
      <c r="AC1179" s="19"/>
    </row>
    <row r="1180" customFormat="false" ht="32.8" hidden="false" customHeight="false" outlineLevel="0" collapsed="false">
      <c r="A1180" s="10" t="s">
        <v>5878</v>
      </c>
      <c r="B1180" s="17" t="s">
        <v>116</v>
      </c>
      <c r="C1180" s="18" t="s">
        <v>117</v>
      </c>
      <c r="D1180" s="17" t="s">
        <v>19</v>
      </c>
      <c r="E1180" s="17" t="s">
        <v>75</v>
      </c>
      <c r="F1180" s="17" t="s">
        <v>5647</v>
      </c>
      <c r="G1180" s="17" t="s">
        <v>118</v>
      </c>
      <c r="H1180" s="17" t="s">
        <v>31</v>
      </c>
      <c r="I1180" s="17" t="s">
        <v>450</v>
      </c>
      <c r="J1180" s="17" t="s">
        <v>233</v>
      </c>
      <c r="K1180" s="19"/>
      <c r="L1180" s="19"/>
      <c r="M1180" s="19"/>
      <c r="N1180" s="19"/>
      <c r="O1180" s="17" t="n">
        <v>3</v>
      </c>
      <c r="P1180" s="18" t="s">
        <v>5879</v>
      </c>
      <c r="Q1180" s="18" t="s">
        <v>5880</v>
      </c>
      <c r="R1180" s="18" t="s">
        <v>5881</v>
      </c>
      <c r="S1180" s="17" t="s">
        <v>5811</v>
      </c>
      <c r="T1180" s="18" t="s">
        <v>5882</v>
      </c>
      <c r="U1180" s="19"/>
      <c r="V1180" s="18" t="s">
        <v>5883</v>
      </c>
      <c r="W1180" s="17" t="s">
        <v>240</v>
      </c>
      <c r="X1180" s="17" t="s">
        <v>5884</v>
      </c>
      <c r="Y1180" s="17" t="s">
        <v>242</v>
      </c>
      <c r="Z1180" s="19"/>
      <c r="AA1180" s="19"/>
      <c r="AB1180" s="17"/>
      <c r="AC1180" s="19"/>
    </row>
    <row r="1181" customFormat="false" ht="22.35" hidden="false" customHeight="false" outlineLevel="0" collapsed="false">
      <c r="A1181" s="10" t="s">
        <v>5885</v>
      </c>
      <c r="B1181" s="17" t="s">
        <v>116</v>
      </c>
      <c r="C1181" s="18" t="s">
        <v>117</v>
      </c>
      <c r="D1181" s="17" t="s">
        <v>19</v>
      </c>
      <c r="E1181" s="17" t="s">
        <v>75</v>
      </c>
      <c r="F1181" s="17" t="s">
        <v>5647</v>
      </c>
      <c r="G1181" s="17" t="s">
        <v>118</v>
      </c>
      <c r="H1181" s="17" t="s">
        <v>31</v>
      </c>
      <c r="I1181" s="17" t="s">
        <v>316</v>
      </c>
      <c r="J1181" s="17" t="s">
        <v>233</v>
      </c>
      <c r="K1181" s="19"/>
      <c r="L1181" s="19"/>
      <c r="M1181" s="19"/>
      <c r="N1181" s="19"/>
      <c r="O1181" s="17" t="n">
        <v>3</v>
      </c>
      <c r="P1181" s="18" t="s">
        <v>5879</v>
      </c>
      <c r="Q1181" s="18" t="s">
        <v>5880</v>
      </c>
      <c r="R1181" s="18" t="s">
        <v>5886</v>
      </c>
      <c r="S1181" s="17" t="s">
        <v>5878</v>
      </c>
      <c r="T1181" s="18" t="s">
        <v>5887</v>
      </c>
      <c r="U1181" s="19"/>
      <c r="V1181" s="18" t="s">
        <v>5888</v>
      </c>
      <c r="W1181" s="17" t="s">
        <v>240</v>
      </c>
      <c r="X1181" s="17" t="s">
        <v>5889</v>
      </c>
      <c r="Y1181" s="17" t="s">
        <v>242</v>
      </c>
      <c r="Z1181" s="19"/>
      <c r="AA1181" s="19"/>
      <c r="AB1181" s="17"/>
      <c r="AC1181" s="19"/>
    </row>
    <row r="1182" customFormat="false" ht="22.35" hidden="false" customHeight="false" outlineLevel="0" collapsed="false">
      <c r="A1182" s="10" t="s">
        <v>5890</v>
      </c>
      <c r="B1182" s="17" t="s">
        <v>116</v>
      </c>
      <c r="C1182" s="18" t="s">
        <v>117</v>
      </c>
      <c r="D1182" s="17" t="s">
        <v>19</v>
      </c>
      <c r="E1182" s="17" t="s">
        <v>75</v>
      </c>
      <c r="F1182" s="17" t="s">
        <v>5647</v>
      </c>
      <c r="G1182" s="17" t="s">
        <v>118</v>
      </c>
      <c r="H1182" s="17" t="s">
        <v>31</v>
      </c>
      <c r="I1182" s="17" t="s">
        <v>450</v>
      </c>
      <c r="J1182" s="17" t="s">
        <v>233</v>
      </c>
      <c r="K1182" s="19"/>
      <c r="L1182" s="19"/>
      <c r="M1182" s="19"/>
      <c r="N1182" s="19"/>
      <c r="O1182" s="17" t="n">
        <v>4</v>
      </c>
      <c r="P1182" s="18" t="s">
        <v>5879</v>
      </c>
      <c r="Q1182" s="18" t="s">
        <v>5880</v>
      </c>
      <c r="R1182" s="18" t="s">
        <v>5891</v>
      </c>
      <c r="S1182" s="17" t="s">
        <v>5878</v>
      </c>
      <c r="T1182" s="18" t="s">
        <v>5892</v>
      </c>
      <c r="U1182" s="19"/>
      <c r="V1182" s="18" t="s">
        <v>5893</v>
      </c>
      <c r="W1182" s="17" t="s">
        <v>240</v>
      </c>
      <c r="X1182" s="17" t="s">
        <v>5894</v>
      </c>
      <c r="Y1182" s="17" t="s">
        <v>242</v>
      </c>
      <c r="Z1182" s="19"/>
      <c r="AA1182" s="19"/>
      <c r="AB1182" s="17"/>
      <c r="AC1182" s="19"/>
    </row>
    <row r="1183" customFormat="false" ht="22.35" hidden="false" customHeight="false" outlineLevel="0" collapsed="false">
      <c r="A1183" s="10" t="s">
        <v>5895</v>
      </c>
      <c r="B1183" s="17" t="s">
        <v>116</v>
      </c>
      <c r="C1183" s="18" t="s">
        <v>117</v>
      </c>
      <c r="D1183" s="17" t="s">
        <v>19</v>
      </c>
      <c r="E1183" s="17" t="s">
        <v>75</v>
      </c>
      <c r="F1183" s="17" t="s">
        <v>5647</v>
      </c>
      <c r="G1183" s="17" t="s">
        <v>118</v>
      </c>
      <c r="H1183" s="17" t="s">
        <v>31</v>
      </c>
      <c r="I1183" s="17" t="s">
        <v>1028</v>
      </c>
      <c r="J1183" s="17" t="s">
        <v>233</v>
      </c>
      <c r="K1183" s="19"/>
      <c r="L1183" s="19"/>
      <c r="M1183" s="19"/>
      <c r="N1183" s="19"/>
      <c r="O1183" s="17" t="n">
        <v>4</v>
      </c>
      <c r="P1183" s="18" t="s">
        <v>5879</v>
      </c>
      <c r="Q1183" s="18" t="s">
        <v>5880</v>
      </c>
      <c r="R1183" s="18" t="s">
        <v>5896</v>
      </c>
      <c r="S1183" s="17" t="s">
        <v>5878</v>
      </c>
      <c r="T1183" s="18" t="s">
        <v>5897</v>
      </c>
      <c r="U1183" s="19"/>
      <c r="V1183" s="18" t="s">
        <v>5898</v>
      </c>
      <c r="W1183" s="17" t="s">
        <v>240</v>
      </c>
      <c r="X1183" s="17" t="s">
        <v>5899</v>
      </c>
      <c r="Y1183" s="17" t="s">
        <v>242</v>
      </c>
      <c r="Z1183" s="19"/>
      <c r="AA1183" s="19"/>
      <c r="AB1183" s="17"/>
      <c r="AC1183" s="19"/>
    </row>
    <row r="1184" customFormat="false" ht="32.8" hidden="false" customHeight="false" outlineLevel="0" collapsed="false">
      <c r="A1184" s="10" t="s">
        <v>5900</v>
      </c>
      <c r="B1184" s="17" t="s">
        <v>116</v>
      </c>
      <c r="C1184" s="18" t="s">
        <v>117</v>
      </c>
      <c r="D1184" s="17" t="s">
        <v>19</v>
      </c>
      <c r="E1184" s="17" t="s">
        <v>75</v>
      </c>
      <c r="F1184" s="17" t="s">
        <v>5647</v>
      </c>
      <c r="G1184" s="17" t="s">
        <v>118</v>
      </c>
      <c r="H1184" s="17" t="s">
        <v>31</v>
      </c>
      <c r="I1184" s="17" t="s">
        <v>316</v>
      </c>
      <c r="J1184" s="17" t="s">
        <v>233</v>
      </c>
      <c r="K1184" s="19"/>
      <c r="L1184" s="19"/>
      <c r="M1184" s="19"/>
      <c r="N1184" s="19"/>
      <c r="O1184" s="17" t="n">
        <v>3</v>
      </c>
      <c r="P1184" s="18" t="s">
        <v>5879</v>
      </c>
      <c r="Q1184" s="18" t="s">
        <v>5901</v>
      </c>
      <c r="R1184" s="18" t="s">
        <v>5902</v>
      </c>
      <c r="S1184" s="17" t="s">
        <v>5811</v>
      </c>
      <c r="T1184" s="18" t="s">
        <v>5903</v>
      </c>
      <c r="U1184" s="19"/>
      <c r="V1184" s="18" t="s">
        <v>5904</v>
      </c>
      <c r="W1184" s="17" t="s">
        <v>240</v>
      </c>
      <c r="X1184" s="17" t="s">
        <v>5905</v>
      </c>
      <c r="Y1184" s="17" t="s">
        <v>242</v>
      </c>
      <c r="Z1184" s="19"/>
      <c r="AA1184" s="19"/>
      <c r="AB1184" s="17"/>
      <c r="AC1184" s="19"/>
    </row>
    <row r="1185" customFormat="false" ht="22.35" hidden="false" customHeight="false" outlineLevel="0" collapsed="false">
      <c r="A1185" s="10" t="s">
        <v>5906</v>
      </c>
      <c r="B1185" s="17" t="s">
        <v>116</v>
      </c>
      <c r="C1185" s="18" t="s">
        <v>117</v>
      </c>
      <c r="D1185" s="17" t="s">
        <v>19</v>
      </c>
      <c r="E1185" s="17" t="s">
        <v>75</v>
      </c>
      <c r="F1185" s="17" t="s">
        <v>5647</v>
      </c>
      <c r="G1185" s="17" t="s">
        <v>118</v>
      </c>
      <c r="H1185" s="17" t="s">
        <v>31</v>
      </c>
      <c r="I1185" s="17" t="s">
        <v>316</v>
      </c>
      <c r="J1185" s="17" t="s">
        <v>233</v>
      </c>
      <c r="K1185" s="19"/>
      <c r="L1185" s="19"/>
      <c r="M1185" s="19"/>
      <c r="N1185" s="19"/>
      <c r="O1185" s="17" t="n">
        <v>3</v>
      </c>
      <c r="P1185" s="18" t="s">
        <v>5879</v>
      </c>
      <c r="Q1185" s="18" t="s">
        <v>5901</v>
      </c>
      <c r="R1185" s="18" t="s">
        <v>5907</v>
      </c>
      <c r="S1185" s="17" t="s">
        <v>5900</v>
      </c>
      <c r="T1185" s="18" t="s">
        <v>5908</v>
      </c>
      <c r="U1185" s="19"/>
      <c r="V1185" s="18" t="s">
        <v>5909</v>
      </c>
      <c r="W1185" s="17" t="s">
        <v>240</v>
      </c>
      <c r="X1185" s="17" t="s">
        <v>5910</v>
      </c>
      <c r="Y1185" s="17" t="s">
        <v>242</v>
      </c>
      <c r="Z1185" s="19"/>
      <c r="AA1185" s="19"/>
      <c r="AB1185" s="17"/>
      <c r="AC1185" s="19"/>
    </row>
    <row r="1186" customFormat="false" ht="22.35" hidden="false" customHeight="false" outlineLevel="0" collapsed="false">
      <c r="A1186" s="10" t="s">
        <v>5911</v>
      </c>
      <c r="B1186" s="17" t="s">
        <v>116</v>
      </c>
      <c r="C1186" s="18" t="s">
        <v>117</v>
      </c>
      <c r="D1186" s="17" t="s">
        <v>19</v>
      </c>
      <c r="E1186" s="17" t="s">
        <v>229</v>
      </c>
      <c r="F1186" s="17" t="s">
        <v>5647</v>
      </c>
      <c r="G1186" s="17" t="s">
        <v>118</v>
      </c>
      <c r="H1186" s="17" t="s">
        <v>31</v>
      </c>
      <c r="I1186" s="17" t="s">
        <v>316</v>
      </c>
      <c r="J1186" s="17" t="s">
        <v>233</v>
      </c>
      <c r="K1186" s="19"/>
      <c r="L1186" s="19"/>
      <c r="M1186" s="19"/>
      <c r="N1186" s="19"/>
      <c r="O1186" s="17" t="n">
        <v>3</v>
      </c>
      <c r="P1186" s="18" t="s">
        <v>5879</v>
      </c>
      <c r="Q1186" s="18" t="s">
        <v>5901</v>
      </c>
      <c r="R1186" s="18" t="s">
        <v>5912</v>
      </c>
      <c r="S1186" s="17" t="s">
        <v>5831</v>
      </c>
      <c r="T1186" s="18" t="s">
        <v>5913</v>
      </c>
      <c r="U1186" s="19"/>
      <c r="V1186" s="18" t="s">
        <v>5914</v>
      </c>
      <c r="W1186" s="17" t="s">
        <v>240</v>
      </c>
      <c r="X1186" s="17" t="s">
        <v>5915</v>
      </c>
      <c r="Y1186" s="17" t="s">
        <v>242</v>
      </c>
      <c r="Z1186" s="19"/>
      <c r="AA1186" s="19"/>
      <c r="AB1186" s="17"/>
      <c r="AC1186" s="19"/>
    </row>
    <row r="1187" customFormat="false" ht="22.35" hidden="false" customHeight="false" outlineLevel="0" collapsed="false">
      <c r="A1187" s="10" t="s">
        <v>5916</v>
      </c>
      <c r="B1187" s="17" t="s">
        <v>116</v>
      </c>
      <c r="C1187" s="18" t="s">
        <v>117</v>
      </c>
      <c r="D1187" s="17" t="s">
        <v>19</v>
      </c>
      <c r="E1187" s="17" t="s">
        <v>75</v>
      </c>
      <c r="F1187" s="17" t="s">
        <v>5647</v>
      </c>
      <c r="G1187" s="17" t="s">
        <v>118</v>
      </c>
      <c r="H1187" s="17" t="s">
        <v>31</v>
      </c>
      <c r="I1187" s="17" t="s">
        <v>283</v>
      </c>
      <c r="J1187" s="17" t="s">
        <v>233</v>
      </c>
      <c r="K1187" s="19"/>
      <c r="L1187" s="19"/>
      <c r="M1187" s="19"/>
      <c r="N1187" s="19"/>
      <c r="O1187" s="17" t="n">
        <v>3</v>
      </c>
      <c r="P1187" s="18" t="s">
        <v>5879</v>
      </c>
      <c r="Q1187" s="18" t="s">
        <v>5901</v>
      </c>
      <c r="R1187" s="18" t="s">
        <v>5917</v>
      </c>
      <c r="S1187" s="17" t="s">
        <v>5918</v>
      </c>
      <c r="T1187" s="18" t="s">
        <v>2849</v>
      </c>
      <c r="U1187" s="19"/>
      <c r="V1187" s="18" t="s">
        <v>5919</v>
      </c>
      <c r="W1187" s="17" t="s">
        <v>240</v>
      </c>
      <c r="X1187" s="17" t="s">
        <v>2851</v>
      </c>
      <c r="Y1187" s="17" t="s">
        <v>242</v>
      </c>
      <c r="Z1187" s="19"/>
      <c r="AA1187" s="19"/>
      <c r="AB1187" s="17"/>
      <c r="AC1187" s="19"/>
    </row>
    <row r="1188" customFormat="false" ht="22.35" hidden="false" customHeight="false" outlineLevel="0" collapsed="false">
      <c r="A1188" s="10" t="s">
        <v>5920</v>
      </c>
      <c r="B1188" s="17" t="s">
        <v>116</v>
      </c>
      <c r="C1188" s="18" t="s">
        <v>117</v>
      </c>
      <c r="D1188" s="17" t="s">
        <v>19</v>
      </c>
      <c r="E1188" s="17" t="s">
        <v>229</v>
      </c>
      <c r="F1188" s="17" t="s">
        <v>5647</v>
      </c>
      <c r="G1188" s="17" t="s">
        <v>118</v>
      </c>
      <c r="H1188" s="17" t="s">
        <v>31</v>
      </c>
      <c r="I1188" s="17" t="s">
        <v>450</v>
      </c>
      <c r="J1188" s="17" t="s">
        <v>233</v>
      </c>
      <c r="K1188" s="19"/>
      <c r="L1188" s="19"/>
      <c r="M1188" s="19"/>
      <c r="N1188" s="19"/>
      <c r="O1188" s="17" t="n">
        <v>3</v>
      </c>
      <c r="P1188" s="18" t="s">
        <v>5921</v>
      </c>
      <c r="Q1188" s="18" t="s">
        <v>2918</v>
      </c>
      <c r="R1188" s="18" t="s">
        <v>5922</v>
      </c>
      <c r="S1188" s="17" t="s">
        <v>5811</v>
      </c>
      <c r="T1188" s="18" t="s">
        <v>5923</v>
      </c>
      <c r="U1188" s="19"/>
      <c r="V1188" s="18" t="s">
        <v>5924</v>
      </c>
      <c r="W1188" s="17" t="s">
        <v>240</v>
      </c>
      <c r="X1188" s="17" t="s">
        <v>5925</v>
      </c>
      <c r="Y1188" s="17" t="s">
        <v>242</v>
      </c>
      <c r="Z1188" s="19"/>
      <c r="AA1188" s="19"/>
      <c r="AB1188" s="17"/>
      <c r="AC1188" s="19"/>
    </row>
    <row r="1189" customFormat="false" ht="22.35" hidden="false" customHeight="false" outlineLevel="0" collapsed="false">
      <c r="A1189" s="10" t="s">
        <v>5926</v>
      </c>
      <c r="B1189" s="17" t="s">
        <v>116</v>
      </c>
      <c r="C1189" s="18" t="s">
        <v>117</v>
      </c>
      <c r="D1189" s="17" t="s">
        <v>19</v>
      </c>
      <c r="E1189" s="17" t="s">
        <v>75</v>
      </c>
      <c r="F1189" s="17" t="s">
        <v>5647</v>
      </c>
      <c r="G1189" s="17" t="s">
        <v>118</v>
      </c>
      <c r="H1189" s="17" t="s">
        <v>31</v>
      </c>
      <c r="I1189" s="17" t="s">
        <v>450</v>
      </c>
      <c r="J1189" s="17" t="s">
        <v>233</v>
      </c>
      <c r="K1189" s="19"/>
      <c r="L1189" s="19"/>
      <c r="M1189" s="19"/>
      <c r="N1189" s="19"/>
      <c r="O1189" s="17" t="n">
        <v>3</v>
      </c>
      <c r="P1189" s="18" t="s">
        <v>5921</v>
      </c>
      <c r="Q1189" s="18" t="s">
        <v>2918</v>
      </c>
      <c r="R1189" s="18" t="s">
        <v>5927</v>
      </c>
      <c r="S1189" s="17" t="s">
        <v>5811</v>
      </c>
      <c r="T1189" s="18" t="s">
        <v>3212</v>
      </c>
      <c r="U1189" s="19"/>
      <c r="V1189" s="18" t="s">
        <v>5928</v>
      </c>
      <c r="W1189" s="17" t="s">
        <v>240</v>
      </c>
      <c r="X1189" s="17" t="s">
        <v>529</v>
      </c>
      <c r="Y1189" s="17" t="s">
        <v>242</v>
      </c>
      <c r="Z1189" s="19"/>
      <c r="AA1189" s="19"/>
      <c r="AB1189" s="17"/>
      <c r="AC1189" s="19"/>
    </row>
    <row r="1190" customFormat="false" ht="22.35" hidden="false" customHeight="false" outlineLevel="0" collapsed="false">
      <c r="A1190" s="10" t="s">
        <v>5929</v>
      </c>
      <c r="B1190" s="17" t="s">
        <v>116</v>
      </c>
      <c r="C1190" s="18" t="s">
        <v>117</v>
      </c>
      <c r="D1190" s="17" t="s">
        <v>19</v>
      </c>
      <c r="E1190" s="17" t="s">
        <v>75</v>
      </c>
      <c r="F1190" s="17" t="s">
        <v>5647</v>
      </c>
      <c r="G1190" s="17" t="s">
        <v>118</v>
      </c>
      <c r="H1190" s="17" t="s">
        <v>31</v>
      </c>
      <c r="I1190" s="17" t="s">
        <v>333</v>
      </c>
      <c r="J1190" s="17" t="s">
        <v>233</v>
      </c>
      <c r="K1190" s="19"/>
      <c r="L1190" s="19"/>
      <c r="M1190" s="19"/>
      <c r="N1190" s="19"/>
      <c r="O1190" s="17" t="n">
        <v>3</v>
      </c>
      <c r="P1190" s="18" t="s">
        <v>5921</v>
      </c>
      <c r="Q1190" s="18" t="s">
        <v>2933</v>
      </c>
      <c r="R1190" s="18" t="s">
        <v>5930</v>
      </c>
      <c r="S1190" s="17" t="s">
        <v>5670</v>
      </c>
      <c r="T1190" s="18" t="s">
        <v>5931</v>
      </c>
      <c r="U1190" s="19"/>
      <c r="V1190" s="18" t="s">
        <v>5932</v>
      </c>
      <c r="W1190" s="17" t="s">
        <v>240</v>
      </c>
      <c r="X1190" s="17" t="s">
        <v>5933</v>
      </c>
      <c r="Y1190" s="17" t="s">
        <v>242</v>
      </c>
      <c r="Z1190" s="19"/>
      <c r="AA1190" s="19"/>
      <c r="AB1190" s="17"/>
      <c r="AC1190" s="19"/>
    </row>
    <row r="1191" customFormat="false" ht="22.35" hidden="false" customHeight="false" outlineLevel="0" collapsed="false">
      <c r="A1191" s="10" t="s">
        <v>5934</v>
      </c>
      <c r="B1191" s="17" t="s">
        <v>116</v>
      </c>
      <c r="C1191" s="18" t="s">
        <v>117</v>
      </c>
      <c r="D1191" s="17" t="s">
        <v>19</v>
      </c>
      <c r="E1191" s="17" t="s">
        <v>75</v>
      </c>
      <c r="F1191" s="17" t="s">
        <v>5647</v>
      </c>
      <c r="G1191" s="17" t="s">
        <v>118</v>
      </c>
      <c r="H1191" s="17" t="s">
        <v>31</v>
      </c>
      <c r="I1191" s="17" t="s">
        <v>333</v>
      </c>
      <c r="J1191" s="17" t="s">
        <v>233</v>
      </c>
      <c r="K1191" s="19"/>
      <c r="L1191" s="19"/>
      <c r="M1191" s="19"/>
      <c r="N1191" s="19"/>
      <c r="O1191" s="17" t="n">
        <v>3</v>
      </c>
      <c r="P1191" s="18" t="s">
        <v>5921</v>
      </c>
      <c r="Q1191" s="18" t="s">
        <v>2933</v>
      </c>
      <c r="R1191" s="18" t="s">
        <v>5935</v>
      </c>
      <c r="S1191" s="17" t="s">
        <v>5936</v>
      </c>
      <c r="T1191" s="18" t="s">
        <v>3096</v>
      </c>
      <c r="U1191" s="19"/>
      <c r="V1191" s="18" t="s">
        <v>5937</v>
      </c>
      <c r="W1191" s="17" t="s">
        <v>240</v>
      </c>
      <c r="X1191" s="17" t="s">
        <v>5938</v>
      </c>
      <c r="Y1191" s="17" t="s">
        <v>242</v>
      </c>
      <c r="Z1191" s="19"/>
      <c r="AA1191" s="19"/>
      <c r="AB1191" s="17"/>
      <c r="AC1191" s="19"/>
    </row>
    <row r="1192" customFormat="false" ht="22.35" hidden="false" customHeight="false" outlineLevel="0" collapsed="false">
      <c r="A1192" s="10" t="s">
        <v>5939</v>
      </c>
      <c r="B1192" s="17" t="s">
        <v>116</v>
      </c>
      <c r="C1192" s="18" t="s">
        <v>117</v>
      </c>
      <c r="D1192" s="17" t="s">
        <v>19</v>
      </c>
      <c r="E1192" s="17" t="s">
        <v>75</v>
      </c>
      <c r="F1192" s="17" t="s">
        <v>5647</v>
      </c>
      <c r="G1192" s="17" t="s">
        <v>118</v>
      </c>
      <c r="H1192" s="17" t="s">
        <v>31</v>
      </c>
      <c r="I1192" s="17" t="s">
        <v>333</v>
      </c>
      <c r="J1192" s="17" t="s">
        <v>233</v>
      </c>
      <c r="K1192" s="19"/>
      <c r="L1192" s="19"/>
      <c r="M1192" s="19"/>
      <c r="N1192" s="19"/>
      <c r="O1192" s="17" t="n">
        <v>3</v>
      </c>
      <c r="P1192" s="18" t="s">
        <v>5921</v>
      </c>
      <c r="Q1192" s="18" t="s">
        <v>2933</v>
      </c>
      <c r="R1192" s="18" t="s">
        <v>5940</v>
      </c>
      <c r="S1192" s="17" t="s">
        <v>5737</v>
      </c>
      <c r="T1192" s="18" t="s">
        <v>5941</v>
      </c>
      <c r="U1192" s="19"/>
      <c r="V1192" s="18" t="s">
        <v>5942</v>
      </c>
      <c r="W1192" s="17" t="s">
        <v>383</v>
      </c>
      <c r="X1192" s="17" t="s">
        <v>5943</v>
      </c>
      <c r="Y1192" s="17" t="s">
        <v>242</v>
      </c>
      <c r="Z1192" s="19"/>
      <c r="AA1192" s="19"/>
      <c r="AB1192" s="17"/>
      <c r="AC1192" s="19"/>
    </row>
    <row r="1193" customFormat="false" ht="22.35" hidden="false" customHeight="false" outlineLevel="0" collapsed="false">
      <c r="A1193" s="10" t="s">
        <v>5944</v>
      </c>
      <c r="B1193" s="17" t="s">
        <v>116</v>
      </c>
      <c r="C1193" s="18" t="s">
        <v>117</v>
      </c>
      <c r="D1193" s="17" t="s">
        <v>19</v>
      </c>
      <c r="E1193" s="17" t="s">
        <v>229</v>
      </c>
      <c r="F1193" s="17" t="s">
        <v>5647</v>
      </c>
      <c r="G1193" s="17" t="s">
        <v>118</v>
      </c>
      <c r="H1193" s="17" t="s">
        <v>31</v>
      </c>
      <c r="I1193" s="17" t="s">
        <v>333</v>
      </c>
      <c r="J1193" s="17" t="s">
        <v>233</v>
      </c>
      <c r="K1193" s="19"/>
      <c r="L1193" s="19"/>
      <c r="M1193" s="19"/>
      <c r="N1193" s="19"/>
      <c r="O1193" s="17" t="n">
        <v>3</v>
      </c>
      <c r="P1193" s="18" t="s">
        <v>5921</v>
      </c>
      <c r="Q1193" s="18" t="s">
        <v>2933</v>
      </c>
      <c r="R1193" s="18" t="s">
        <v>5945</v>
      </c>
      <c r="S1193" s="17" t="s">
        <v>5785</v>
      </c>
      <c r="T1193" s="18" t="s">
        <v>5946</v>
      </c>
      <c r="U1193" s="19"/>
      <c r="V1193" s="18" t="s">
        <v>5947</v>
      </c>
      <c r="W1193" s="17" t="s">
        <v>240</v>
      </c>
      <c r="X1193" s="17" t="s">
        <v>5948</v>
      </c>
      <c r="Y1193" s="17" t="s">
        <v>242</v>
      </c>
      <c r="Z1193" s="19"/>
      <c r="AA1193" s="19"/>
      <c r="AB1193" s="17"/>
      <c r="AC1193" s="19"/>
    </row>
    <row r="1194" customFormat="false" ht="22.35" hidden="false" customHeight="false" outlineLevel="0" collapsed="false">
      <c r="A1194" s="10" t="s">
        <v>5949</v>
      </c>
      <c r="B1194" s="17" t="s">
        <v>116</v>
      </c>
      <c r="C1194" s="18" t="s">
        <v>117</v>
      </c>
      <c r="D1194" s="17" t="s">
        <v>19</v>
      </c>
      <c r="E1194" s="17" t="s">
        <v>75</v>
      </c>
      <c r="F1194" s="17" t="s">
        <v>5647</v>
      </c>
      <c r="G1194" s="17" t="s">
        <v>118</v>
      </c>
      <c r="H1194" s="17" t="s">
        <v>31</v>
      </c>
      <c r="I1194" s="17" t="s">
        <v>283</v>
      </c>
      <c r="J1194" s="17" t="s">
        <v>233</v>
      </c>
      <c r="K1194" s="19"/>
      <c r="L1194" s="19"/>
      <c r="M1194" s="19"/>
      <c r="N1194" s="19"/>
      <c r="O1194" s="17" t="n">
        <v>3</v>
      </c>
      <c r="P1194" s="18" t="s">
        <v>5921</v>
      </c>
      <c r="Q1194" s="18" t="s">
        <v>2933</v>
      </c>
      <c r="R1194" s="18" t="s">
        <v>5950</v>
      </c>
      <c r="S1194" s="17" t="s">
        <v>5951</v>
      </c>
      <c r="T1194" s="18" t="s">
        <v>2849</v>
      </c>
      <c r="U1194" s="19"/>
      <c r="V1194" s="18" t="s">
        <v>5952</v>
      </c>
      <c r="W1194" s="17" t="s">
        <v>240</v>
      </c>
      <c r="X1194" s="17" t="s">
        <v>2851</v>
      </c>
      <c r="Y1194" s="17" t="s">
        <v>242</v>
      </c>
      <c r="Z1194" s="19"/>
      <c r="AA1194" s="19"/>
      <c r="AB1194" s="17"/>
      <c r="AC1194" s="19"/>
    </row>
    <row r="1195" customFormat="false" ht="22.35" hidden="false" customHeight="false" outlineLevel="0" collapsed="false">
      <c r="A1195" s="10" t="s">
        <v>5953</v>
      </c>
      <c r="B1195" s="17" t="s">
        <v>116</v>
      </c>
      <c r="C1195" s="18" t="s">
        <v>117</v>
      </c>
      <c r="D1195" s="17" t="s">
        <v>19</v>
      </c>
      <c r="E1195" s="17" t="s">
        <v>75</v>
      </c>
      <c r="F1195" s="17" t="s">
        <v>5647</v>
      </c>
      <c r="G1195" s="17" t="s">
        <v>118</v>
      </c>
      <c r="H1195" s="17" t="s">
        <v>31</v>
      </c>
      <c r="I1195" s="17" t="s">
        <v>316</v>
      </c>
      <c r="J1195" s="17" t="s">
        <v>233</v>
      </c>
      <c r="K1195" s="19"/>
      <c r="L1195" s="19"/>
      <c r="M1195" s="19"/>
      <c r="N1195" s="19"/>
      <c r="O1195" s="17" t="n">
        <v>3</v>
      </c>
      <c r="P1195" s="18" t="s">
        <v>5954</v>
      </c>
      <c r="Q1195" s="18" t="s">
        <v>5955</v>
      </c>
      <c r="R1195" s="18" t="s">
        <v>5956</v>
      </c>
      <c r="S1195" s="17" t="s">
        <v>5811</v>
      </c>
      <c r="T1195" s="18" t="s">
        <v>5957</v>
      </c>
      <c r="U1195" s="19"/>
      <c r="V1195" s="18" t="s">
        <v>5958</v>
      </c>
      <c r="W1195" s="17" t="s">
        <v>240</v>
      </c>
      <c r="X1195" s="17" t="s">
        <v>5959</v>
      </c>
      <c r="Y1195" s="17" t="s">
        <v>242</v>
      </c>
      <c r="Z1195" s="19"/>
      <c r="AA1195" s="19"/>
      <c r="AB1195" s="17"/>
      <c r="AC1195" s="19"/>
    </row>
    <row r="1196" customFormat="false" ht="22.35" hidden="false" customHeight="false" outlineLevel="0" collapsed="false">
      <c r="A1196" s="10" t="s">
        <v>5960</v>
      </c>
      <c r="B1196" s="17" t="s">
        <v>116</v>
      </c>
      <c r="C1196" s="18" t="s">
        <v>117</v>
      </c>
      <c r="D1196" s="17" t="s">
        <v>19</v>
      </c>
      <c r="E1196" s="17" t="s">
        <v>75</v>
      </c>
      <c r="F1196" s="17" t="s">
        <v>5647</v>
      </c>
      <c r="G1196" s="17" t="s">
        <v>118</v>
      </c>
      <c r="H1196" s="17" t="s">
        <v>31</v>
      </c>
      <c r="I1196" s="17" t="s">
        <v>316</v>
      </c>
      <c r="J1196" s="17" t="s">
        <v>233</v>
      </c>
      <c r="K1196" s="19"/>
      <c r="L1196" s="19"/>
      <c r="M1196" s="19"/>
      <c r="N1196" s="19"/>
      <c r="O1196" s="17" t="n">
        <v>3</v>
      </c>
      <c r="P1196" s="18" t="s">
        <v>5954</v>
      </c>
      <c r="Q1196" s="18" t="s">
        <v>5955</v>
      </c>
      <c r="R1196" s="18" t="s">
        <v>5961</v>
      </c>
      <c r="S1196" s="17" t="s">
        <v>5900</v>
      </c>
      <c r="T1196" s="18" t="s">
        <v>5962</v>
      </c>
      <c r="U1196" s="19"/>
      <c r="V1196" s="18" t="s">
        <v>5963</v>
      </c>
      <c r="W1196" s="17" t="s">
        <v>240</v>
      </c>
      <c r="X1196" s="17" t="s">
        <v>2948</v>
      </c>
      <c r="Y1196" s="17" t="s">
        <v>242</v>
      </c>
      <c r="Z1196" s="19"/>
      <c r="AA1196" s="19"/>
      <c r="AB1196" s="17"/>
      <c r="AC1196" s="19"/>
    </row>
    <row r="1197" customFormat="false" ht="22.35" hidden="false" customHeight="false" outlineLevel="0" collapsed="false">
      <c r="A1197" s="10" t="s">
        <v>5964</v>
      </c>
      <c r="B1197" s="17" t="s">
        <v>116</v>
      </c>
      <c r="C1197" s="18" t="s">
        <v>117</v>
      </c>
      <c r="D1197" s="17" t="s">
        <v>19</v>
      </c>
      <c r="E1197" s="17" t="s">
        <v>229</v>
      </c>
      <c r="F1197" s="17" t="s">
        <v>5647</v>
      </c>
      <c r="G1197" s="17" t="s">
        <v>118</v>
      </c>
      <c r="H1197" s="17" t="s">
        <v>31</v>
      </c>
      <c r="I1197" s="17" t="s">
        <v>289</v>
      </c>
      <c r="J1197" s="17" t="s">
        <v>233</v>
      </c>
      <c r="K1197" s="19"/>
      <c r="L1197" s="19"/>
      <c r="M1197" s="19"/>
      <c r="N1197" s="19"/>
      <c r="O1197" s="17" t="n">
        <v>3</v>
      </c>
      <c r="P1197" s="18" t="s">
        <v>5954</v>
      </c>
      <c r="Q1197" s="18" t="s">
        <v>5955</v>
      </c>
      <c r="R1197" s="18" t="s">
        <v>5965</v>
      </c>
      <c r="S1197" s="17" t="s">
        <v>5801</v>
      </c>
      <c r="T1197" s="18" t="s">
        <v>5966</v>
      </c>
      <c r="U1197" s="19"/>
      <c r="V1197" s="18" t="s">
        <v>5967</v>
      </c>
      <c r="W1197" s="17" t="s">
        <v>240</v>
      </c>
      <c r="X1197" s="17" t="s">
        <v>5968</v>
      </c>
      <c r="Y1197" s="17" t="s">
        <v>242</v>
      </c>
      <c r="Z1197" s="19"/>
      <c r="AA1197" s="19"/>
      <c r="AB1197" s="17"/>
      <c r="AC1197" s="19"/>
    </row>
    <row r="1198" customFormat="false" ht="22.35" hidden="false" customHeight="false" outlineLevel="0" collapsed="false">
      <c r="A1198" s="10" t="s">
        <v>5969</v>
      </c>
      <c r="B1198" s="17" t="s">
        <v>116</v>
      </c>
      <c r="C1198" s="18" t="s">
        <v>117</v>
      </c>
      <c r="D1198" s="17" t="s">
        <v>19</v>
      </c>
      <c r="E1198" s="17" t="s">
        <v>229</v>
      </c>
      <c r="F1198" s="17" t="s">
        <v>5647</v>
      </c>
      <c r="G1198" s="17" t="s">
        <v>118</v>
      </c>
      <c r="H1198" s="17" t="s">
        <v>31</v>
      </c>
      <c r="I1198" s="17" t="s">
        <v>289</v>
      </c>
      <c r="J1198" s="17" t="s">
        <v>233</v>
      </c>
      <c r="K1198" s="19"/>
      <c r="L1198" s="19"/>
      <c r="M1198" s="19"/>
      <c r="N1198" s="19"/>
      <c r="O1198" s="17" t="n">
        <v>3</v>
      </c>
      <c r="P1198" s="18" t="s">
        <v>5954</v>
      </c>
      <c r="Q1198" s="18" t="s">
        <v>374</v>
      </c>
      <c r="R1198" s="18" t="s">
        <v>5970</v>
      </c>
      <c r="S1198" s="17" t="s">
        <v>5964</v>
      </c>
      <c r="T1198" s="18" t="s">
        <v>5971</v>
      </c>
      <c r="U1198" s="19"/>
      <c r="V1198" s="18" t="s">
        <v>3112</v>
      </c>
      <c r="W1198" s="17" t="s">
        <v>383</v>
      </c>
      <c r="X1198" s="17" t="s">
        <v>378</v>
      </c>
      <c r="Y1198" s="17" t="s">
        <v>242</v>
      </c>
      <c r="Z1198" s="19"/>
      <c r="AA1198" s="19"/>
      <c r="AB1198" s="17"/>
      <c r="AC1198" s="19"/>
    </row>
    <row r="1199" customFormat="false" ht="22.35" hidden="false" customHeight="false" outlineLevel="0" collapsed="false">
      <c r="A1199" s="10" t="s">
        <v>5972</v>
      </c>
      <c r="B1199" s="17" t="s">
        <v>116</v>
      </c>
      <c r="C1199" s="18" t="s">
        <v>117</v>
      </c>
      <c r="D1199" s="17" t="s">
        <v>19</v>
      </c>
      <c r="E1199" s="17" t="s">
        <v>75</v>
      </c>
      <c r="F1199" s="17" t="s">
        <v>5647</v>
      </c>
      <c r="G1199" s="17" t="s">
        <v>118</v>
      </c>
      <c r="H1199" s="17" t="s">
        <v>31</v>
      </c>
      <c r="I1199" s="17" t="s">
        <v>289</v>
      </c>
      <c r="J1199" s="17" t="s">
        <v>233</v>
      </c>
      <c r="K1199" s="19"/>
      <c r="L1199" s="19"/>
      <c r="M1199" s="19"/>
      <c r="N1199" s="19"/>
      <c r="O1199" s="17" t="n">
        <v>3</v>
      </c>
      <c r="P1199" s="18" t="s">
        <v>5954</v>
      </c>
      <c r="Q1199" s="18" t="s">
        <v>374</v>
      </c>
      <c r="R1199" s="18" t="s">
        <v>5973</v>
      </c>
      <c r="S1199" s="17" t="s">
        <v>5969</v>
      </c>
      <c r="T1199" s="18" t="s">
        <v>2961</v>
      </c>
      <c r="U1199" s="19"/>
      <c r="V1199" s="18" t="s">
        <v>5974</v>
      </c>
      <c r="W1199" s="17" t="s">
        <v>240</v>
      </c>
      <c r="X1199" s="17" t="s">
        <v>2963</v>
      </c>
      <c r="Y1199" s="17" t="s">
        <v>242</v>
      </c>
      <c r="Z1199" s="19"/>
      <c r="AA1199" s="19"/>
      <c r="AB1199" s="17"/>
      <c r="AC1199" s="19"/>
    </row>
    <row r="1200" customFormat="false" ht="32.8" hidden="false" customHeight="false" outlineLevel="0" collapsed="false">
      <c r="A1200" s="10" t="s">
        <v>5975</v>
      </c>
      <c r="B1200" s="17" t="s">
        <v>116</v>
      </c>
      <c r="C1200" s="18" t="s">
        <v>117</v>
      </c>
      <c r="D1200" s="17" t="s">
        <v>19</v>
      </c>
      <c r="E1200" s="17" t="s">
        <v>75</v>
      </c>
      <c r="F1200" s="17" t="s">
        <v>5647</v>
      </c>
      <c r="G1200" s="17" t="s">
        <v>118</v>
      </c>
      <c r="H1200" s="17" t="s">
        <v>31</v>
      </c>
      <c r="I1200" s="17" t="s">
        <v>369</v>
      </c>
      <c r="J1200" s="17" t="s">
        <v>233</v>
      </c>
      <c r="K1200" s="19"/>
      <c r="L1200" s="19"/>
      <c r="M1200" s="19"/>
      <c r="N1200" s="19"/>
      <c r="O1200" s="17" t="n">
        <v>3</v>
      </c>
      <c r="P1200" s="18" t="s">
        <v>5954</v>
      </c>
      <c r="Q1200" s="18" t="s">
        <v>374</v>
      </c>
      <c r="R1200" s="18" t="s">
        <v>5976</v>
      </c>
      <c r="S1200" s="17" t="s">
        <v>5977</v>
      </c>
      <c r="T1200" s="18" t="s">
        <v>5978</v>
      </c>
      <c r="U1200" s="19"/>
      <c r="V1200" s="18" t="s">
        <v>5979</v>
      </c>
      <c r="W1200" s="17" t="s">
        <v>240</v>
      </c>
      <c r="X1200" s="17" t="s">
        <v>2969</v>
      </c>
      <c r="Y1200" s="17" t="s">
        <v>242</v>
      </c>
      <c r="Z1200" s="19"/>
      <c r="AA1200" s="19"/>
      <c r="AB1200" s="17"/>
      <c r="AC1200" s="19"/>
    </row>
    <row r="1201" customFormat="false" ht="22.35" hidden="false" customHeight="false" outlineLevel="0" collapsed="false">
      <c r="A1201" s="10" t="s">
        <v>5980</v>
      </c>
      <c r="B1201" s="17" t="s">
        <v>116</v>
      </c>
      <c r="C1201" s="18" t="s">
        <v>117</v>
      </c>
      <c r="D1201" s="17" t="s">
        <v>19</v>
      </c>
      <c r="E1201" s="17" t="s">
        <v>75</v>
      </c>
      <c r="F1201" s="17" t="s">
        <v>5647</v>
      </c>
      <c r="G1201" s="17" t="s">
        <v>118</v>
      </c>
      <c r="H1201" s="17" t="s">
        <v>31</v>
      </c>
      <c r="I1201" s="17" t="s">
        <v>369</v>
      </c>
      <c r="J1201" s="17" t="s">
        <v>233</v>
      </c>
      <c r="K1201" s="19"/>
      <c r="L1201" s="19"/>
      <c r="M1201" s="19"/>
      <c r="N1201" s="19"/>
      <c r="O1201" s="17" t="n">
        <v>3</v>
      </c>
      <c r="P1201" s="18" t="s">
        <v>5954</v>
      </c>
      <c r="Q1201" s="18" t="s">
        <v>374</v>
      </c>
      <c r="R1201" s="18" t="s">
        <v>5981</v>
      </c>
      <c r="S1201" s="17" t="s">
        <v>5982</v>
      </c>
      <c r="T1201" s="18" t="s">
        <v>2967</v>
      </c>
      <c r="U1201" s="19"/>
      <c r="V1201" s="18" t="s">
        <v>5983</v>
      </c>
      <c r="W1201" s="17" t="s">
        <v>240</v>
      </c>
      <c r="X1201" s="17" t="s">
        <v>5984</v>
      </c>
      <c r="Y1201" s="17" t="s">
        <v>242</v>
      </c>
      <c r="Z1201" s="19"/>
      <c r="AA1201" s="19"/>
      <c r="AB1201" s="17"/>
      <c r="AC1201" s="19"/>
    </row>
    <row r="1202" customFormat="false" ht="22.35" hidden="false" customHeight="false" outlineLevel="0" collapsed="false">
      <c r="A1202" s="10" t="s">
        <v>5985</v>
      </c>
      <c r="B1202" s="17" t="s">
        <v>116</v>
      </c>
      <c r="C1202" s="18" t="s">
        <v>117</v>
      </c>
      <c r="D1202" s="17" t="s">
        <v>19</v>
      </c>
      <c r="E1202" s="17" t="s">
        <v>75</v>
      </c>
      <c r="F1202" s="17" t="s">
        <v>5647</v>
      </c>
      <c r="G1202" s="17" t="s">
        <v>118</v>
      </c>
      <c r="H1202" s="17" t="s">
        <v>31</v>
      </c>
      <c r="I1202" s="17" t="s">
        <v>1028</v>
      </c>
      <c r="J1202" s="17" t="s">
        <v>233</v>
      </c>
      <c r="K1202" s="19"/>
      <c r="L1202" s="19"/>
      <c r="M1202" s="19"/>
      <c r="N1202" s="19"/>
      <c r="O1202" s="17" t="n">
        <v>5</v>
      </c>
      <c r="P1202" s="18" t="s">
        <v>5954</v>
      </c>
      <c r="Q1202" s="18" t="s">
        <v>374</v>
      </c>
      <c r="R1202" s="18" t="s">
        <v>5986</v>
      </c>
      <c r="S1202" s="17" t="s">
        <v>5987</v>
      </c>
      <c r="T1202" s="18" t="s">
        <v>5988</v>
      </c>
      <c r="U1202" s="19"/>
      <c r="V1202" s="18" t="s">
        <v>5989</v>
      </c>
      <c r="W1202" s="17" t="s">
        <v>240</v>
      </c>
      <c r="X1202" s="17" t="s">
        <v>5990</v>
      </c>
      <c r="Y1202" s="17" t="s">
        <v>242</v>
      </c>
      <c r="Z1202" s="19"/>
      <c r="AA1202" s="19"/>
      <c r="AB1202" s="17"/>
      <c r="AC1202" s="19"/>
    </row>
    <row r="1203" customFormat="false" ht="22.35" hidden="false" customHeight="false" outlineLevel="0" collapsed="false">
      <c r="A1203" s="10" t="s">
        <v>5991</v>
      </c>
      <c r="B1203" s="17" t="s">
        <v>116</v>
      </c>
      <c r="C1203" s="18" t="s">
        <v>117</v>
      </c>
      <c r="D1203" s="17" t="s">
        <v>19</v>
      </c>
      <c r="E1203" s="17" t="s">
        <v>75</v>
      </c>
      <c r="F1203" s="17" t="s">
        <v>5647</v>
      </c>
      <c r="G1203" s="17" t="s">
        <v>118</v>
      </c>
      <c r="H1203" s="17" t="s">
        <v>31</v>
      </c>
      <c r="I1203" s="17" t="s">
        <v>283</v>
      </c>
      <c r="J1203" s="17" t="s">
        <v>233</v>
      </c>
      <c r="K1203" s="19"/>
      <c r="L1203" s="19"/>
      <c r="M1203" s="19"/>
      <c r="N1203" s="19"/>
      <c r="O1203" s="17" t="n">
        <v>5</v>
      </c>
      <c r="P1203" s="18" t="s">
        <v>5954</v>
      </c>
      <c r="Q1203" s="18" t="s">
        <v>374</v>
      </c>
      <c r="R1203" s="18" t="s">
        <v>5992</v>
      </c>
      <c r="S1203" s="17" t="s">
        <v>5993</v>
      </c>
      <c r="T1203" s="18" t="s">
        <v>2849</v>
      </c>
      <c r="U1203" s="19"/>
      <c r="V1203" s="18" t="s">
        <v>5994</v>
      </c>
      <c r="W1203" s="17" t="s">
        <v>240</v>
      </c>
      <c r="X1203" s="17" t="s">
        <v>2851</v>
      </c>
      <c r="Y1203" s="17" t="s">
        <v>242</v>
      </c>
      <c r="Z1203" s="19"/>
      <c r="AA1203" s="19"/>
      <c r="AB1203" s="17"/>
      <c r="AC1203" s="19"/>
    </row>
    <row r="1204" customFormat="false" ht="22.35" hidden="false" customHeight="false" outlineLevel="0" collapsed="false">
      <c r="A1204" s="10" t="s">
        <v>5995</v>
      </c>
      <c r="B1204" s="17" t="s">
        <v>124</v>
      </c>
      <c r="C1204" s="18" t="s">
        <v>125</v>
      </c>
      <c r="D1204" s="17" t="s">
        <v>19</v>
      </c>
      <c r="E1204" s="17" t="s">
        <v>229</v>
      </c>
      <c r="F1204" s="17" t="s">
        <v>5996</v>
      </c>
      <c r="G1204" s="17" t="s">
        <v>5997</v>
      </c>
      <c r="H1204" s="17" t="s">
        <v>34</v>
      </c>
      <c r="I1204" s="17" t="s">
        <v>928</v>
      </c>
      <c r="J1204" s="17" t="s">
        <v>233</v>
      </c>
      <c r="K1204" s="19"/>
      <c r="L1204" s="19"/>
      <c r="M1204" s="19"/>
      <c r="N1204" s="19"/>
      <c r="O1204" s="17" t="n">
        <v>0</v>
      </c>
      <c r="P1204" s="18" t="s">
        <v>5998</v>
      </c>
      <c r="Q1204" s="18" t="s">
        <v>5999</v>
      </c>
      <c r="R1204" s="18" t="s">
        <v>6000</v>
      </c>
      <c r="S1204" s="17" t="s">
        <v>237</v>
      </c>
      <c r="T1204" s="18" t="s">
        <v>238</v>
      </c>
      <c r="U1204" s="19"/>
      <c r="V1204" s="18" t="s">
        <v>6001</v>
      </c>
      <c r="W1204" s="17" t="s">
        <v>240</v>
      </c>
      <c r="X1204" s="17" t="s">
        <v>6002</v>
      </c>
      <c r="Y1204" s="17" t="s">
        <v>242</v>
      </c>
      <c r="Z1204" s="19"/>
      <c r="AA1204" s="19"/>
      <c r="AB1204" s="17"/>
      <c r="AC1204" s="19"/>
    </row>
    <row r="1205" customFormat="false" ht="22.35" hidden="false" customHeight="false" outlineLevel="0" collapsed="false">
      <c r="A1205" s="10" t="s">
        <v>6003</v>
      </c>
      <c r="B1205" s="17" t="s">
        <v>124</v>
      </c>
      <c r="C1205" s="18" t="s">
        <v>125</v>
      </c>
      <c r="D1205" s="17" t="s">
        <v>19</v>
      </c>
      <c r="E1205" s="17" t="s">
        <v>229</v>
      </c>
      <c r="F1205" s="17" t="s">
        <v>5996</v>
      </c>
      <c r="G1205" s="17" t="s">
        <v>5997</v>
      </c>
      <c r="H1205" s="17" t="s">
        <v>34</v>
      </c>
      <c r="I1205" s="17" t="s">
        <v>2638</v>
      </c>
      <c r="J1205" s="17" t="s">
        <v>233</v>
      </c>
      <c r="K1205" s="19"/>
      <c r="L1205" s="19"/>
      <c r="M1205" s="19"/>
      <c r="N1205" s="19"/>
      <c r="O1205" s="17" t="n">
        <v>0</v>
      </c>
      <c r="P1205" s="18" t="s">
        <v>5998</v>
      </c>
      <c r="Q1205" s="18" t="s">
        <v>5999</v>
      </c>
      <c r="R1205" s="18" t="s">
        <v>6004</v>
      </c>
      <c r="S1205" s="17" t="s">
        <v>2726</v>
      </c>
      <c r="T1205" s="18" t="s">
        <v>6005</v>
      </c>
      <c r="U1205" s="19"/>
      <c r="V1205" s="18" t="s">
        <v>6006</v>
      </c>
      <c r="W1205" s="17" t="s">
        <v>240</v>
      </c>
      <c r="X1205" s="17" t="s">
        <v>6007</v>
      </c>
      <c r="Y1205" s="17" t="s">
        <v>242</v>
      </c>
      <c r="Z1205" s="19"/>
      <c r="AA1205" s="19"/>
      <c r="AB1205" s="17" t="s">
        <v>1681</v>
      </c>
      <c r="AC1205" s="19"/>
    </row>
    <row r="1206" customFormat="false" ht="32.8" hidden="false" customHeight="false" outlineLevel="0" collapsed="false">
      <c r="A1206" s="10" t="s">
        <v>6008</v>
      </c>
      <c r="B1206" s="17" t="s">
        <v>124</v>
      </c>
      <c r="C1206" s="18" t="s">
        <v>125</v>
      </c>
      <c r="D1206" s="17" t="s">
        <v>19</v>
      </c>
      <c r="E1206" s="17" t="s">
        <v>229</v>
      </c>
      <c r="F1206" s="17" t="s">
        <v>5996</v>
      </c>
      <c r="G1206" s="17" t="s">
        <v>5997</v>
      </c>
      <c r="H1206" s="17" t="s">
        <v>34</v>
      </c>
      <c r="I1206" s="17" t="s">
        <v>232</v>
      </c>
      <c r="J1206" s="17" t="s">
        <v>233</v>
      </c>
      <c r="K1206" s="19"/>
      <c r="L1206" s="19"/>
      <c r="M1206" s="19"/>
      <c r="N1206" s="19"/>
      <c r="O1206" s="17" t="n">
        <v>0</v>
      </c>
      <c r="P1206" s="18" t="s">
        <v>5998</v>
      </c>
      <c r="Q1206" s="18" t="s">
        <v>5999</v>
      </c>
      <c r="R1206" s="18" t="s">
        <v>6009</v>
      </c>
      <c r="S1206" s="17" t="s">
        <v>6003</v>
      </c>
      <c r="T1206" s="18" t="s">
        <v>6010</v>
      </c>
      <c r="U1206" s="19"/>
      <c r="V1206" s="18" t="s">
        <v>6011</v>
      </c>
      <c r="W1206" s="17" t="s">
        <v>5511</v>
      </c>
      <c r="X1206" s="17" t="s">
        <v>6012</v>
      </c>
      <c r="Y1206" s="17" t="s">
        <v>242</v>
      </c>
      <c r="Z1206" s="19"/>
      <c r="AA1206" s="19"/>
      <c r="AB1206" s="17"/>
      <c r="AC1206" s="19"/>
    </row>
    <row r="1207" customFormat="false" ht="22.35" hidden="false" customHeight="false" outlineLevel="0" collapsed="false">
      <c r="A1207" s="10" t="s">
        <v>6013</v>
      </c>
      <c r="B1207" s="17" t="s">
        <v>124</v>
      </c>
      <c r="C1207" s="18" t="s">
        <v>125</v>
      </c>
      <c r="D1207" s="17" t="s">
        <v>19</v>
      </c>
      <c r="E1207" s="17" t="s">
        <v>229</v>
      </c>
      <c r="F1207" s="17" t="s">
        <v>5996</v>
      </c>
      <c r="G1207" s="17" t="s">
        <v>5997</v>
      </c>
      <c r="H1207" s="17" t="s">
        <v>34</v>
      </c>
      <c r="I1207" s="17" t="s">
        <v>316</v>
      </c>
      <c r="J1207" s="17" t="s">
        <v>233</v>
      </c>
      <c r="K1207" s="19"/>
      <c r="L1207" s="19"/>
      <c r="M1207" s="19"/>
      <c r="N1207" s="19"/>
      <c r="O1207" s="17" t="n">
        <v>0</v>
      </c>
      <c r="P1207" s="18" t="s">
        <v>5998</v>
      </c>
      <c r="Q1207" s="18" t="s">
        <v>5999</v>
      </c>
      <c r="R1207" s="18" t="s">
        <v>6014</v>
      </c>
      <c r="S1207" s="17" t="s">
        <v>237</v>
      </c>
      <c r="T1207" s="18" t="s">
        <v>6015</v>
      </c>
      <c r="U1207" s="19"/>
      <c r="V1207" s="18" t="s">
        <v>6016</v>
      </c>
      <c r="W1207" s="17" t="s">
        <v>240</v>
      </c>
      <c r="X1207" s="17" t="s">
        <v>6017</v>
      </c>
      <c r="Y1207" s="17" t="s">
        <v>242</v>
      </c>
      <c r="Z1207" s="19"/>
      <c r="AA1207" s="19"/>
      <c r="AB1207" s="17"/>
      <c r="AC1207" s="19"/>
    </row>
    <row r="1208" customFormat="false" ht="22.35" hidden="false" customHeight="false" outlineLevel="0" collapsed="false">
      <c r="A1208" s="10" t="s">
        <v>6018</v>
      </c>
      <c r="B1208" s="17" t="s">
        <v>124</v>
      </c>
      <c r="C1208" s="18" t="s">
        <v>125</v>
      </c>
      <c r="D1208" s="17" t="s">
        <v>19</v>
      </c>
      <c r="E1208" s="17" t="s">
        <v>229</v>
      </c>
      <c r="F1208" s="17" t="s">
        <v>5996</v>
      </c>
      <c r="G1208" s="17" t="s">
        <v>5997</v>
      </c>
      <c r="H1208" s="17" t="s">
        <v>34</v>
      </c>
      <c r="I1208" s="17" t="s">
        <v>2638</v>
      </c>
      <c r="J1208" s="17" t="s">
        <v>233</v>
      </c>
      <c r="K1208" s="19"/>
      <c r="L1208" s="19"/>
      <c r="M1208" s="19"/>
      <c r="N1208" s="19"/>
      <c r="O1208" s="17" t="n">
        <v>0</v>
      </c>
      <c r="P1208" s="18" t="s">
        <v>5998</v>
      </c>
      <c r="Q1208" s="18" t="s">
        <v>5999</v>
      </c>
      <c r="R1208" s="18" t="s">
        <v>6019</v>
      </c>
      <c r="S1208" s="17" t="s">
        <v>6020</v>
      </c>
      <c r="T1208" s="18" t="s">
        <v>6021</v>
      </c>
      <c r="U1208" s="19"/>
      <c r="V1208" s="18" t="s">
        <v>6022</v>
      </c>
      <c r="W1208" s="17" t="s">
        <v>240</v>
      </c>
      <c r="X1208" s="17" t="s">
        <v>6023</v>
      </c>
      <c r="Y1208" s="17" t="s">
        <v>242</v>
      </c>
      <c r="Z1208" s="19"/>
      <c r="AA1208" s="19"/>
      <c r="AB1208" s="17" t="s">
        <v>1681</v>
      </c>
      <c r="AC1208" s="19"/>
    </row>
    <row r="1209" customFormat="false" ht="22.35" hidden="false" customHeight="false" outlineLevel="0" collapsed="false">
      <c r="A1209" s="10" t="s">
        <v>6024</v>
      </c>
      <c r="B1209" s="17" t="s">
        <v>124</v>
      </c>
      <c r="C1209" s="18" t="s">
        <v>125</v>
      </c>
      <c r="D1209" s="17" t="s">
        <v>19</v>
      </c>
      <c r="E1209" s="17" t="s">
        <v>229</v>
      </c>
      <c r="F1209" s="17" t="s">
        <v>5996</v>
      </c>
      <c r="G1209" s="17" t="s">
        <v>5997</v>
      </c>
      <c r="H1209" s="17" t="s">
        <v>34</v>
      </c>
      <c r="I1209" s="17" t="s">
        <v>316</v>
      </c>
      <c r="J1209" s="17" t="s">
        <v>233</v>
      </c>
      <c r="K1209" s="19"/>
      <c r="L1209" s="19"/>
      <c r="M1209" s="19"/>
      <c r="N1209" s="19"/>
      <c r="O1209" s="17" t="n">
        <v>0</v>
      </c>
      <c r="P1209" s="18" t="s">
        <v>5998</v>
      </c>
      <c r="Q1209" s="18" t="s">
        <v>5999</v>
      </c>
      <c r="R1209" s="18" t="s">
        <v>6025</v>
      </c>
      <c r="S1209" s="17" t="s">
        <v>6018</v>
      </c>
      <c r="T1209" s="18" t="s">
        <v>6026</v>
      </c>
      <c r="U1209" s="19"/>
      <c r="V1209" s="18" t="s">
        <v>6027</v>
      </c>
      <c r="W1209" s="17" t="s">
        <v>240</v>
      </c>
      <c r="X1209" s="17" t="s">
        <v>6028</v>
      </c>
      <c r="Y1209" s="17" t="s">
        <v>242</v>
      </c>
      <c r="Z1209" s="19"/>
      <c r="AA1209" s="19"/>
      <c r="AB1209" s="17"/>
      <c r="AC1209" s="19"/>
    </row>
    <row r="1210" customFormat="false" ht="22.35" hidden="false" customHeight="false" outlineLevel="0" collapsed="false">
      <c r="A1210" s="10" t="s">
        <v>6029</v>
      </c>
      <c r="B1210" s="17" t="s">
        <v>124</v>
      </c>
      <c r="C1210" s="18" t="s">
        <v>125</v>
      </c>
      <c r="D1210" s="17" t="s">
        <v>19</v>
      </c>
      <c r="E1210" s="17" t="s">
        <v>229</v>
      </c>
      <c r="F1210" s="17" t="s">
        <v>5996</v>
      </c>
      <c r="G1210" s="17" t="s">
        <v>5997</v>
      </c>
      <c r="H1210" s="17" t="s">
        <v>34</v>
      </c>
      <c r="I1210" s="17" t="s">
        <v>2638</v>
      </c>
      <c r="J1210" s="17" t="s">
        <v>233</v>
      </c>
      <c r="K1210" s="19"/>
      <c r="L1210" s="19"/>
      <c r="M1210" s="19"/>
      <c r="N1210" s="19"/>
      <c r="O1210" s="17" t="n">
        <v>0</v>
      </c>
      <c r="P1210" s="18" t="s">
        <v>5998</v>
      </c>
      <c r="Q1210" s="18" t="s">
        <v>5999</v>
      </c>
      <c r="R1210" s="18" t="s">
        <v>6030</v>
      </c>
      <c r="S1210" s="17" t="s">
        <v>237</v>
      </c>
      <c r="T1210" s="18" t="s">
        <v>6031</v>
      </c>
      <c r="U1210" s="19"/>
      <c r="V1210" s="18" t="s">
        <v>6032</v>
      </c>
      <c r="W1210" s="17" t="s">
        <v>5511</v>
      </c>
      <c r="X1210" s="17" t="s">
        <v>6033</v>
      </c>
      <c r="Y1210" s="17" t="s">
        <v>242</v>
      </c>
      <c r="Z1210" s="19"/>
      <c r="AA1210" s="19"/>
      <c r="AB1210" s="17"/>
      <c r="AC1210" s="19"/>
    </row>
    <row r="1211" customFormat="false" ht="22.35" hidden="false" customHeight="false" outlineLevel="0" collapsed="false">
      <c r="A1211" s="10" t="s">
        <v>6034</v>
      </c>
      <c r="B1211" s="17" t="s">
        <v>124</v>
      </c>
      <c r="C1211" s="18" t="s">
        <v>125</v>
      </c>
      <c r="D1211" s="17" t="s">
        <v>19</v>
      </c>
      <c r="E1211" s="17" t="s">
        <v>229</v>
      </c>
      <c r="F1211" s="17" t="s">
        <v>5996</v>
      </c>
      <c r="G1211" s="17" t="s">
        <v>5997</v>
      </c>
      <c r="H1211" s="17" t="s">
        <v>34</v>
      </c>
      <c r="I1211" s="17" t="s">
        <v>283</v>
      </c>
      <c r="J1211" s="17" t="s">
        <v>233</v>
      </c>
      <c r="K1211" s="19"/>
      <c r="L1211" s="19"/>
      <c r="M1211" s="19"/>
      <c r="N1211" s="19"/>
      <c r="O1211" s="17" t="n">
        <v>0</v>
      </c>
      <c r="P1211" s="18" t="s">
        <v>5998</v>
      </c>
      <c r="Q1211" s="18" t="s">
        <v>5999</v>
      </c>
      <c r="R1211" s="18" t="s">
        <v>6035</v>
      </c>
      <c r="S1211" s="17" t="s">
        <v>6036</v>
      </c>
      <c r="T1211" s="18" t="s">
        <v>6037</v>
      </c>
      <c r="U1211" s="19"/>
      <c r="V1211" s="18" t="s">
        <v>6038</v>
      </c>
      <c r="W1211" s="17" t="s">
        <v>240</v>
      </c>
      <c r="X1211" s="17" t="s">
        <v>6039</v>
      </c>
      <c r="Y1211" s="17" t="s">
        <v>242</v>
      </c>
      <c r="Z1211" s="19"/>
      <c r="AA1211" s="19"/>
      <c r="AB1211" s="17"/>
      <c r="AC1211" s="19"/>
    </row>
    <row r="1212" customFormat="false" ht="22.35" hidden="false" customHeight="false" outlineLevel="0" collapsed="false">
      <c r="A1212" s="10" t="s">
        <v>6040</v>
      </c>
      <c r="B1212" s="17" t="s">
        <v>124</v>
      </c>
      <c r="C1212" s="18" t="s">
        <v>125</v>
      </c>
      <c r="D1212" s="17" t="s">
        <v>19</v>
      </c>
      <c r="E1212" s="17" t="s">
        <v>75</v>
      </c>
      <c r="F1212" s="17" t="s">
        <v>5996</v>
      </c>
      <c r="G1212" s="17" t="s">
        <v>5997</v>
      </c>
      <c r="H1212" s="17" t="s">
        <v>34</v>
      </c>
      <c r="I1212" s="17" t="s">
        <v>2638</v>
      </c>
      <c r="J1212" s="17" t="s">
        <v>233</v>
      </c>
      <c r="K1212" s="19"/>
      <c r="L1212" s="19"/>
      <c r="M1212" s="19"/>
      <c r="N1212" s="19"/>
      <c r="O1212" s="17" t="n">
        <v>3</v>
      </c>
      <c r="P1212" s="18" t="s">
        <v>6041</v>
      </c>
      <c r="Q1212" s="18" t="s">
        <v>6042</v>
      </c>
      <c r="R1212" s="18" t="s">
        <v>6043</v>
      </c>
      <c r="S1212" s="17" t="s">
        <v>6034</v>
      </c>
      <c r="T1212" s="18" t="s">
        <v>6044</v>
      </c>
      <c r="U1212" s="19"/>
      <c r="V1212" s="18" t="s">
        <v>6045</v>
      </c>
      <c r="W1212" s="17" t="s">
        <v>240</v>
      </c>
      <c r="X1212" s="17" t="s">
        <v>6046</v>
      </c>
      <c r="Y1212" s="17" t="s">
        <v>242</v>
      </c>
      <c r="Z1212" s="19"/>
      <c r="AA1212" s="19"/>
      <c r="AB1212" s="17"/>
      <c r="AC1212" s="19"/>
    </row>
    <row r="1213" customFormat="false" ht="15" hidden="false" customHeight="false" outlineLevel="0" collapsed="false">
      <c r="A1213" s="10" t="s">
        <v>6047</v>
      </c>
      <c r="B1213" s="17" t="s">
        <v>124</v>
      </c>
      <c r="C1213" s="18" t="s">
        <v>125</v>
      </c>
      <c r="D1213" s="17" t="s">
        <v>19</v>
      </c>
      <c r="E1213" s="17" t="s">
        <v>75</v>
      </c>
      <c r="F1213" s="17" t="s">
        <v>5996</v>
      </c>
      <c r="G1213" s="17" t="s">
        <v>5997</v>
      </c>
      <c r="H1213" s="17" t="s">
        <v>34</v>
      </c>
      <c r="I1213" s="17" t="s">
        <v>2638</v>
      </c>
      <c r="J1213" s="17" t="s">
        <v>233</v>
      </c>
      <c r="K1213" s="19"/>
      <c r="L1213" s="19"/>
      <c r="M1213" s="19"/>
      <c r="N1213" s="19"/>
      <c r="O1213" s="17" t="n">
        <v>3</v>
      </c>
      <c r="P1213" s="18" t="s">
        <v>6041</v>
      </c>
      <c r="Q1213" s="18" t="s">
        <v>6042</v>
      </c>
      <c r="R1213" s="18" t="s">
        <v>6048</v>
      </c>
      <c r="S1213" s="17" t="s">
        <v>6049</v>
      </c>
      <c r="T1213" s="18" t="s">
        <v>6050</v>
      </c>
      <c r="U1213" s="19"/>
      <c r="V1213" s="18" t="s">
        <v>6051</v>
      </c>
      <c r="W1213" s="17" t="s">
        <v>240</v>
      </c>
      <c r="X1213" s="17" t="s">
        <v>6052</v>
      </c>
      <c r="Y1213" s="17" t="s">
        <v>242</v>
      </c>
      <c r="Z1213" s="19"/>
      <c r="AA1213" s="19"/>
      <c r="AB1213" s="17"/>
      <c r="AC1213" s="19"/>
    </row>
    <row r="1214" customFormat="false" ht="22.35" hidden="false" customHeight="false" outlineLevel="0" collapsed="false">
      <c r="A1214" s="10" t="s">
        <v>6053</v>
      </c>
      <c r="B1214" s="17" t="s">
        <v>124</v>
      </c>
      <c r="C1214" s="18" t="s">
        <v>125</v>
      </c>
      <c r="D1214" s="17" t="s">
        <v>19</v>
      </c>
      <c r="E1214" s="17" t="s">
        <v>75</v>
      </c>
      <c r="F1214" s="17" t="s">
        <v>5996</v>
      </c>
      <c r="G1214" s="17" t="s">
        <v>5997</v>
      </c>
      <c r="H1214" s="17" t="s">
        <v>34</v>
      </c>
      <c r="I1214" s="17" t="s">
        <v>2638</v>
      </c>
      <c r="J1214" s="17" t="s">
        <v>233</v>
      </c>
      <c r="K1214" s="19"/>
      <c r="L1214" s="19"/>
      <c r="M1214" s="19"/>
      <c r="N1214" s="19"/>
      <c r="O1214" s="17" t="n">
        <v>3</v>
      </c>
      <c r="P1214" s="18" t="s">
        <v>6041</v>
      </c>
      <c r="Q1214" s="18" t="s">
        <v>6042</v>
      </c>
      <c r="R1214" s="18" t="s">
        <v>6054</v>
      </c>
      <c r="S1214" s="17" t="s">
        <v>6013</v>
      </c>
      <c r="T1214" s="18" t="s">
        <v>6055</v>
      </c>
      <c r="U1214" s="19"/>
      <c r="V1214" s="18" t="s">
        <v>6056</v>
      </c>
      <c r="W1214" s="17" t="s">
        <v>240</v>
      </c>
      <c r="X1214" s="17" t="s">
        <v>6017</v>
      </c>
      <c r="Y1214" s="17" t="s">
        <v>242</v>
      </c>
      <c r="Z1214" s="19"/>
      <c r="AA1214" s="19"/>
      <c r="AB1214" s="17"/>
      <c r="AC1214" s="19"/>
    </row>
    <row r="1215" customFormat="false" ht="22.35" hidden="false" customHeight="false" outlineLevel="0" collapsed="false">
      <c r="A1215" s="10" t="s">
        <v>6057</v>
      </c>
      <c r="B1215" s="17" t="s">
        <v>124</v>
      </c>
      <c r="C1215" s="18" t="s">
        <v>125</v>
      </c>
      <c r="D1215" s="17" t="s">
        <v>19</v>
      </c>
      <c r="E1215" s="17" t="s">
        <v>75</v>
      </c>
      <c r="F1215" s="17" t="s">
        <v>5996</v>
      </c>
      <c r="G1215" s="17" t="s">
        <v>5997</v>
      </c>
      <c r="H1215" s="17" t="s">
        <v>34</v>
      </c>
      <c r="I1215" s="17" t="s">
        <v>2638</v>
      </c>
      <c r="J1215" s="17" t="s">
        <v>233</v>
      </c>
      <c r="K1215" s="19"/>
      <c r="L1215" s="19"/>
      <c r="M1215" s="19"/>
      <c r="N1215" s="19"/>
      <c r="O1215" s="17" t="n">
        <v>3</v>
      </c>
      <c r="P1215" s="18" t="s">
        <v>6041</v>
      </c>
      <c r="Q1215" s="18" t="s">
        <v>6042</v>
      </c>
      <c r="R1215" s="18" t="s">
        <v>6058</v>
      </c>
      <c r="S1215" s="17" t="s">
        <v>6018</v>
      </c>
      <c r="T1215" s="18" t="s">
        <v>6059</v>
      </c>
      <c r="U1215" s="19"/>
      <c r="V1215" s="18" t="s">
        <v>6060</v>
      </c>
      <c r="W1215" s="17" t="s">
        <v>240</v>
      </c>
      <c r="X1215" s="17" t="s">
        <v>6023</v>
      </c>
      <c r="Y1215" s="17" t="s">
        <v>242</v>
      </c>
      <c r="Z1215" s="19"/>
      <c r="AA1215" s="19"/>
      <c r="AB1215" s="17"/>
      <c r="AC1215" s="19"/>
    </row>
    <row r="1216" customFormat="false" ht="32.8" hidden="false" customHeight="false" outlineLevel="0" collapsed="false">
      <c r="A1216" s="10" t="s">
        <v>6061</v>
      </c>
      <c r="B1216" s="17" t="s">
        <v>124</v>
      </c>
      <c r="C1216" s="18" t="s">
        <v>125</v>
      </c>
      <c r="D1216" s="17" t="s">
        <v>19</v>
      </c>
      <c r="E1216" s="17" t="s">
        <v>75</v>
      </c>
      <c r="F1216" s="17" t="s">
        <v>5996</v>
      </c>
      <c r="G1216" s="17" t="s">
        <v>5997</v>
      </c>
      <c r="H1216" s="17" t="s">
        <v>34</v>
      </c>
      <c r="I1216" s="17" t="s">
        <v>316</v>
      </c>
      <c r="J1216" s="17" t="s">
        <v>233</v>
      </c>
      <c r="K1216" s="19"/>
      <c r="L1216" s="19"/>
      <c r="M1216" s="19"/>
      <c r="N1216" s="19"/>
      <c r="O1216" s="17" t="n">
        <v>3</v>
      </c>
      <c r="P1216" s="18" t="s">
        <v>6041</v>
      </c>
      <c r="Q1216" s="18" t="s">
        <v>6042</v>
      </c>
      <c r="R1216" s="18" t="s">
        <v>6062</v>
      </c>
      <c r="S1216" s="17" t="s">
        <v>6008</v>
      </c>
      <c r="T1216" s="18" t="s">
        <v>6063</v>
      </c>
      <c r="U1216" s="19"/>
      <c r="V1216" s="18" t="s">
        <v>6064</v>
      </c>
      <c r="W1216" s="17" t="s">
        <v>5511</v>
      </c>
      <c r="X1216" s="17" t="s">
        <v>6012</v>
      </c>
      <c r="Y1216" s="17" t="s">
        <v>242</v>
      </c>
      <c r="Z1216" s="19"/>
      <c r="AA1216" s="19"/>
      <c r="AB1216" s="17"/>
      <c r="AC1216" s="19"/>
    </row>
    <row r="1217" customFormat="false" ht="22.35" hidden="false" customHeight="false" outlineLevel="0" collapsed="false">
      <c r="A1217" s="10" t="s">
        <v>6065</v>
      </c>
      <c r="B1217" s="17" t="s">
        <v>124</v>
      </c>
      <c r="C1217" s="18" t="s">
        <v>125</v>
      </c>
      <c r="D1217" s="17" t="s">
        <v>19</v>
      </c>
      <c r="E1217" s="17" t="s">
        <v>229</v>
      </c>
      <c r="F1217" s="17" t="s">
        <v>5996</v>
      </c>
      <c r="G1217" s="17" t="s">
        <v>5997</v>
      </c>
      <c r="H1217" s="17" t="s">
        <v>34</v>
      </c>
      <c r="I1217" s="17" t="s">
        <v>450</v>
      </c>
      <c r="J1217" s="17" t="s">
        <v>233</v>
      </c>
      <c r="K1217" s="19"/>
      <c r="L1217" s="19"/>
      <c r="M1217" s="19"/>
      <c r="N1217" s="19"/>
      <c r="O1217" s="17" t="n">
        <v>3</v>
      </c>
      <c r="P1217" s="18" t="s">
        <v>6041</v>
      </c>
      <c r="Q1217" s="18" t="s">
        <v>1447</v>
      </c>
      <c r="R1217" s="18" t="s">
        <v>6066</v>
      </c>
      <c r="S1217" s="17" t="s">
        <v>6067</v>
      </c>
      <c r="T1217" s="18" t="s">
        <v>6068</v>
      </c>
      <c r="U1217" s="19"/>
      <c r="V1217" s="18" t="s">
        <v>6069</v>
      </c>
      <c r="W1217" s="17" t="s">
        <v>240</v>
      </c>
      <c r="X1217" s="17" t="s">
        <v>6070</v>
      </c>
      <c r="Y1217" s="17" t="s">
        <v>242</v>
      </c>
      <c r="Z1217" s="19"/>
      <c r="AA1217" s="19"/>
      <c r="AB1217" s="17"/>
      <c r="AC1217" s="19"/>
    </row>
    <row r="1218" customFormat="false" ht="22.35" hidden="false" customHeight="false" outlineLevel="0" collapsed="false">
      <c r="A1218" s="10" t="s">
        <v>6071</v>
      </c>
      <c r="B1218" s="17" t="s">
        <v>124</v>
      </c>
      <c r="C1218" s="18" t="s">
        <v>125</v>
      </c>
      <c r="D1218" s="17" t="s">
        <v>19</v>
      </c>
      <c r="E1218" s="17" t="s">
        <v>75</v>
      </c>
      <c r="F1218" s="17" t="s">
        <v>5996</v>
      </c>
      <c r="G1218" s="17" t="s">
        <v>5997</v>
      </c>
      <c r="H1218" s="17" t="s">
        <v>34</v>
      </c>
      <c r="I1218" s="17" t="s">
        <v>450</v>
      </c>
      <c r="J1218" s="17" t="s">
        <v>233</v>
      </c>
      <c r="K1218" s="19"/>
      <c r="L1218" s="19"/>
      <c r="M1218" s="19"/>
      <c r="N1218" s="19"/>
      <c r="O1218" s="17" t="n">
        <v>3</v>
      </c>
      <c r="P1218" s="18" t="s">
        <v>6041</v>
      </c>
      <c r="Q1218" s="18" t="s">
        <v>1447</v>
      </c>
      <c r="R1218" s="18" t="s">
        <v>6072</v>
      </c>
      <c r="S1218" s="17" t="s">
        <v>6053</v>
      </c>
      <c r="T1218" s="18" t="s">
        <v>6073</v>
      </c>
      <c r="U1218" s="19"/>
      <c r="V1218" s="18" t="s">
        <v>6074</v>
      </c>
      <c r="W1218" s="17" t="s">
        <v>240</v>
      </c>
      <c r="X1218" s="17" t="s">
        <v>6075</v>
      </c>
      <c r="Y1218" s="17" t="s">
        <v>242</v>
      </c>
      <c r="Z1218" s="19"/>
      <c r="AA1218" s="19"/>
      <c r="AB1218" s="17"/>
      <c r="AC1218" s="19"/>
    </row>
    <row r="1219" customFormat="false" ht="15" hidden="false" customHeight="false" outlineLevel="0" collapsed="false">
      <c r="A1219" s="10" t="s">
        <v>6076</v>
      </c>
      <c r="B1219" s="17" t="s">
        <v>124</v>
      </c>
      <c r="C1219" s="18" t="s">
        <v>125</v>
      </c>
      <c r="D1219" s="17" t="s">
        <v>19</v>
      </c>
      <c r="E1219" s="17" t="s">
        <v>75</v>
      </c>
      <c r="F1219" s="17" t="s">
        <v>5996</v>
      </c>
      <c r="G1219" s="17" t="s">
        <v>5997</v>
      </c>
      <c r="H1219" s="17" t="s">
        <v>34</v>
      </c>
      <c r="I1219" s="17" t="s">
        <v>283</v>
      </c>
      <c r="J1219" s="17" t="s">
        <v>233</v>
      </c>
      <c r="K1219" s="19"/>
      <c r="L1219" s="19"/>
      <c r="M1219" s="19"/>
      <c r="N1219" s="19"/>
      <c r="O1219" s="17" t="n">
        <v>3</v>
      </c>
      <c r="P1219" s="18" t="s">
        <v>6041</v>
      </c>
      <c r="Q1219" s="18" t="s">
        <v>1447</v>
      </c>
      <c r="R1219" s="18" t="s">
        <v>6077</v>
      </c>
      <c r="S1219" s="17" t="s">
        <v>6078</v>
      </c>
      <c r="T1219" s="18" t="s">
        <v>6037</v>
      </c>
      <c r="U1219" s="19"/>
      <c r="V1219" s="18" t="s">
        <v>6038</v>
      </c>
      <c r="W1219" s="17" t="s">
        <v>240</v>
      </c>
      <c r="X1219" s="17" t="s">
        <v>6039</v>
      </c>
      <c r="Y1219" s="17" t="s">
        <v>242</v>
      </c>
      <c r="Z1219" s="19"/>
      <c r="AA1219" s="19"/>
      <c r="AB1219" s="17"/>
      <c r="AC1219" s="19"/>
    </row>
    <row r="1220" customFormat="false" ht="22.35" hidden="false" customHeight="false" outlineLevel="0" collapsed="false">
      <c r="A1220" s="10" t="s">
        <v>6079</v>
      </c>
      <c r="B1220" s="17" t="s">
        <v>124</v>
      </c>
      <c r="C1220" s="18" t="s">
        <v>125</v>
      </c>
      <c r="D1220" s="17" t="s">
        <v>19</v>
      </c>
      <c r="E1220" s="17" t="s">
        <v>75</v>
      </c>
      <c r="F1220" s="17" t="s">
        <v>5996</v>
      </c>
      <c r="G1220" s="17" t="s">
        <v>5997</v>
      </c>
      <c r="H1220" s="17" t="s">
        <v>34</v>
      </c>
      <c r="I1220" s="17" t="s">
        <v>333</v>
      </c>
      <c r="J1220" s="17" t="s">
        <v>233</v>
      </c>
      <c r="K1220" s="19"/>
      <c r="L1220" s="19"/>
      <c r="M1220" s="19"/>
      <c r="N1220" s="19"/>
      <c r="O1220" s="17" t="n">
        <v>3</v>
      </c>
      <c r="P1220" s="18" t="s">
        <v>6080</v>
      </c>
      <c r="Q1220" s="18" t="s">
        <v>342</v>
      </c>
      <c r="R1220" s="18" t="s">
        <v>6081</v>
      </c>
      <c r="S1220" s="17" t="s">
        <v>6082</v>
      </c>
      <c r="T1220" s="18" t="s">
        <v>6083</v>
      </c>
      <c r="U1220" s="19"/>
      <c r="V1220" s="18" t="s">
        <v>6084</v>
      </c>
      <c r="W1220" s="17" t="s">
        <v>240</v>
      </c>
      <c r="X1220" s="17" t="s">
        <v>6085</v>
      </c>
      <c r="Y1220" s="17" t="s">
        <v>242</v>
      </c>
      <c r="Z1220" s="19"/>
      <c r="AA1220" s="19"/>
      <c r="AB1220" s="17"/>
      <c r="AC1220" s="19"/>
    </row>
    <row r="1221" customFormat="false" ht="22.35" hidden="false" customHeight="false" outlineLevel="0" collapsed="false">
      <c r="A1221" s="10" t="s">
        <v>6086</v>
      </c>
      <c r="B1221" s="17" t="s">
        <v>124</v>
      </c>
      <c r="C1221" s="18" t="s">
        <v>125</v>
      </c>
      <c r="D1221" s="17" t="s">
        <v>19</v>
      </c>
      <c r="E1221" s="17" t="s">
        <v>229</v>
      </c>
      <c r="F1221" s="17" t="s">
        <v>5996</v>
      </c>
      <c r="G1221" s="17" t="s">
        <v>5997</v>
      </c>
      <c r="H1221" s="17" t="s">
        <v>34</v>
      </c>
      <c r="I1221" s="17" t="s">
        <v>333</v>
      </c>
      <c r="J1221" s="17" t="s">
        <v>233</v>
      </c>
      <c r="K1221" s="19"/>
      <c r="L1221" s="19"/>
      <c r="M1221" s="19"/>
      <c r="N1221" s="19"/>
      <c r="O1221" s="17" t="n">
        <v>3</v>
      </c>
      <c r="P1221" s="18" t="s">
        <v>6080</v>
      </c>
      <c r="Q1221" s="18" t="s">
        <v>342</v>
      </c>
      <c r="R1221" s="18" t="s">
        <v>6087</v>
      </c>
      <c r="S1221" s="17" t="s">
        <v>2629</v>
      </c>
      <c r="T1221" s="18" t="s">
        <v>6088</v>
      </c>
      <c r="U1221" s="19"/>
      <c r="V1221" s="18" t="s">
        <v>6089</v>
      </c>
      <c r="W1221" s="17" t="s">
        <v>240</v>
      </c>
      <c r="X1221" s="17" t="s">
        <v>6090</v>
      </c>
      <c r="Y1221" s="17" t="s">
        <v>242</v>
      </c>
      <c r="Z1221" s="19"/>
      <c r="AA1221" s="19"/>
      <c r="AB1221" s="17"/>
      <c r="AC1221" s="19"/>
    </row>
    <row r="1222" customFormat="false" ht="22.35" hidden="false" customHeight="false" outlineLevel="0" collapsed="false">
      <c r="A1222" s="10" t="s">
        <v>6091</v>
      </c>
      <c r="B1222" s="17" t="s">
        <v>124</v>
      </c>
      <c r="C1222" s="18" t="s">
        <v>125</v>
      </c>
      <c r="D1222" s="17" t="s">
        <v>19</v>
      </c>
      <c r="E1222" s="17" t="s">
        <v>75</v>
      </c>
      <c r="F1222" s="17" t="s">
        <v>5996</v>
      </c>
      <c r="G1222" s="17" t="s">
        <v>5997</v>
      </c>
      <c r="H1222" s="17" t="s">
        <v>34</v>
      </c>
      <c r="I1222" s="17" t="s">
        <v>289</v>
      </c>
      <c r="J1222" s="17" t="s">
        <v>233</v>
      </c>
      <c r="K1222" s="19"/>
      <c r="L1222" s="19"/>
      <c r="M1222" s="19"/>
      <c r="N1222" s="19"/>
      <c r="O1222" s="17" t="n">
        <v>3</v>
      </c>
      <c r="P1222" s="18" t="s">
        <v>6080</v>
      </c>
      <c r="Q1222" s="18" t="s">
        <v>358</v>
      </c>
      <c r="R1222" s="18" t="s">
        <v>6092</v>
      </c>
      <c r="S1222" s="17" t="s">
        <v>6057</v>
      </c>
      <c r="T1222" s="18" t="s">
        <v>6093</v>
      </c>
      <c r="U1222" s="19"/>
      <c r="V1222" s="18" t="s">
        <v>6094</v>
      </c>
      <c r="W1222" s="17" t="s">
        <v>240</v>
      </c>
      <c r="X1222" s="17" t="s">
        <v>6095</v>
      </c>
      <c r="Y1222" s="17" t="s">
        <v>242</v>
      </c>
      <c r="Z1222" s="19"/>
      <c r="AA1222" s="19"/>
      <c r="AB1222" s="17"/>
      <c r="AC1222" s="19"/>
    </row>
    <row r="1223" customFormat="false" ht="22.35" hidden="false" customHeight="false" outlineLevel="0" collapsed="false">
      <c r="A1223" s="10" t="s">
        <v>6096</v>
      </c>
      <c r="B1223" s="17" t="s">
        <v>124</v>
      </c>
      <c r="C1223" s="18" t="s">
        <v>125</v>
      </c>
      <c r="D1223" s="17" t="s">
        <v>19</v>
      </c>
      <c r="E1223" s="17" t="s">
        <v>229</v>
      </c>
      <c r="F1223" s="17" t="s">
        <v>5996</v>
      </c>
      <c r="G1223" s="17" t="s">
        <v>5997</v>
      </c>
      <c r="H1223" s="17" t="s">
        <v>34</v>
      </c>
      <c r="I1223" s="17" t="s">
        <v>289</v>
      </c>
      <c r="J1223" s="17" t="s">
        <v>233</v>
      </c>
      <c r="K1223" s="19"/>
      <c r="L1223" s="19"/>
      <c r="M1223" s="19"/>
      <c r="N1223" s="19"/>
      <c r="O1223" s="17" t="n">
        <v>3</v>
      </c>
      <c r="P1223" s="18" t="s">
        <v>6080</v>
      </c>
      <c r="Q1223" s="18" t="s">
        <v>358</v>
      </c>
      <c r="R1223" s="18" t="s">
        <v>6097</v>
      </c>
      <c r="S1223" s="17" t="s">
        <v>6098</v>
      </c>
      <c r="T1223" s="18" t="s">
        <v>2209</v>
      </c>
      <c r="U1223" s="19"/>
      <c r="V1223" s="18" t="s">
        <v>6099</v>
      </c>
      <c r="W1223" s="17" t="s">
        <v>5511</v>
      </c>
      <c r="X1223" s="17" t="s">
        <v>6100</v>
      </c>
      <c r="Y1223" s="17" t="s">
        <v>242</v>
      </c>
      <c r="Z1223" s="19"/>
      <c r="AA1223" s="19"/>
      <c r="AB1223" s="17"/>
      <c r="AC1223" s="19"/>
    </row>
    <row r="1224" customFormat="false" ht="22.35" hidden="false" customHeight="false" outlineLevel="0" collapsed="false">
      <c r="A1224" s="10" t="s">
        <v>6101</v>
      </c>
      <c r="B1224" s="17" t="s">
        <v>124</v>
      </c>
      <c r="C1224" s="18" t="s">
        <v>125</v>
      </c>
      <c r="D1224" s="17" t="s">
        <v>19</v>
      </c>
      <c r="E1224" s="17" t="s">
        <v>75</v>
      </c>
      <c r="F1224" s="17" t="s">
        <v>5996</v>
      </c>
      <c r="G1224" s="17" t="s">
        <v>5997</v>
      </c>
      <c r="H1224" s="17" t="s">
        <v>34</v>
      </c>
      <c r="I1224" s="17" t="s">
        <v>289</v>
      </c>
      <c r="J1224" s="17" t="s">
        <v>233</v>
      </c>
      <c r="K1224" s="19"/>
      <c r="L1224" s="19"/>
      <c r="M1224" s="19"/>
      <c r="N1224" s="19"/>
      <c r="O1224" s="17" t="n">
        <v>3</v>
      </c>
      <c r="P1224" s="18" t="s">
        <v>6080</v>
      </c>
      <c r="Q1224" s="18" t="s">
        <v>1244</v>
      </c>
      <c r="R1224" s="18" t="s">
        <v>6102</v>
      </c>
      <c r="S1224" s="17" t="s">
        <v>6047</v>
      </c>
      <c r="T1224" s="18" t="s">
        <v>6103</v>
      </c>
      <c r="U1224" s="19"/>
      <c r="V1224" s="18" t="s">
        <v>6104</v>
      </c>
      <c r="W1224" s="17" t="s">
        <v>240</v>
      </c>
      <c r="X1224" s="17" t="s">
        <v>6105</v>
      </c>
      <c r="Y1224" s="17" t="s">
        <v>242</v>
      </c>
      <c r="Z1224" s="19"/>
      <c r="AA1224" s="19"/>
      <c r="AB1224" s="17"/>
      <c r="AC1224" s="19"/>
    </row>
    <row r="1225" customFormat="false" ht="22.35" hidden="false" customHeight="false" outlineLevel="0" collapsed="false">
      <c r="A1225" s="10" t="s">
        <v>6106</v>
      </c>
      <c r="B1225" s="17" t="s">
        <v>124</v>
      </c>
      <c r="C1225" s="18" t="s">
        <v>125</v>
      </c>
      <c r="D1225" s="17" t="s">
        <v>19</v>
      </c>
      <c r="E1225" s="17" t="s">
        <v>229</v>
      </c>
      <c r="F1225" s="17" t="s">
        <v>5996</v>
      </c>
      <c r="G1225" s="17" t="s">
        <v>5997</v>
      </c>
      <c r="H1225" s="17" t="s">
        <v>34</v>
      </c>
      <c r="I1225" s="17" t="s">
        <v>289</v>
      </c>
      <c r="J1225" s="17" t="s">
        <v>233</v>
      </c>
      <c r="K1225" s="19"/>
      <c r="L1225" s="19"/>
      <c r="M1225" s="19"/>
      <c r="N1225" s="19"/>
      <c r="O1225" s="17" t="n">
        <v>3</v>
      </c>
      <c r="P1225" s="18" t="s">
        <v>6080</v>
      </c>
      <c r="Q1225" s="18" t="s">
        <v>1244</v>
      </c>
      <c r="R1225" s="18" t="s">
        <v>6107</v>
      </c>
      <c r="S1225" s="17" t="s">
        <v>6108</v>
      </c>
      <c r="T1225" s="18" t="s">
        <v>6109</v>
      </c>
      <c r="U1225" s="19"/>
      <c r="V1225" s="18" t="s">
        <v>6110</v>
      </c>
      <c r="W1225" s="17" t="s">
        <v>383</v>
      </c>
      <c r="X1225" s="17" t="s">
        <v>6111</v>
      </c>
      <c r="Y1225" s="17" t="s">
        <v>242</v>
      </c>
      <c r="Z1225" s="19"/>
      <c r="AA1225" s="19"/>
      <c r="AB1225" s="17"/>
      <c r="AC1225" s="19"/>
    </row>
    <row r="1226" customFormat="false" ht="22.35" hidden="false" customHeight="false" outlineLevel="0" collapsed="false">
      <c r="A1226" s="10" t="s">
        <v>6112</v>
      </c>
      <c r="B1226" s="17" t="s">
        <v>124</v>
      </c>
      <c r="C1226" s="18" t="s">
        <v>125</v>
      </c>
      <c r="D1226" s="17" t="s">
        <v>19</v>
      </c>
      <c r="E1226" s="17" t="s">
        <v>75</v>
      </c>
      <c r="F1226" s="17" t="s">
        <v>5996</v>
      </c>
      <c r="G1226" s="17" t="s">
        <v>5997</v>
      </c>
      <c r="H1226" s="17" t="s">
        <v>34</v>
      </c>
      <c r="I1226" s="17" t="s">
        <v>289</v>
      </c>
      <c r="J1226" s="17" t="s">
        <v>233</v>
      </c>
      <c r="K1226" s="19"/>
      <c r="L1226" s="19"/>
      <c r="M1226" s="19"/>
      <c r="N1226" s="19"/>
      <c r="O1226" s="17" t="n">
        <v>3</v>
      </c>
      <c r="P1226" s="18" t="s">
        <v>6080</v>
      </c>
      <c r="Q1226" s="18" t="s">
        <v>1244</v>
      </c>
      <c r="R1226" s="18" t="s">
        <v>6113</v>
      </c>
      <c r="S1226" s="17" t="s">
        <v>6101</v>
      </c>
      <c r="T1226" s="18" t="s">
        <v>2393</v>
      </c>
      <c r="U1226" s="19"/>
      <c r="V1226" s="18" t="s">
        <v>6114</v>
      </c>
      <c r="W1226" s="17" t="s">
        <v>5511</v>
      </c>
      <c r="X1226" s="17" t="s">
        <v>6105</v>
      </c>
      <c r="Y1226" s="17" t="s">
        <v>242</v>
      </c>
      <c r="Z1226" s="19"/>
      <c r="AA1226" s="19"/>
      <c r="AB1226" s="17"/>
      <c r="AC1226" s="19"/>
    </row>
    <row r="1227" customFormat="false" ht="32.8" hidden="false" customHeight="false" outlineLevel="0" collapsed="false">
      <c r="A1227" s="10" t="s">
        <v>6115</v>
      </c>
      <c r="B1227" s="17" t="s">
        <v>124</v>
      </c>
      <c r="C1227" s="18" t="s">
        <v>125</v>
      </c>
      <c r="D1227" s="17" t="s">
        <v>19</v>
      </c>
      <c r="E1227" s="17" t="s">
        <v>229</v>
      </c>
      <c r="F1227" s="17" t="s">
        <v>5996</v>
      </c>
      <c r="G1227" s="17" t="s">
        <v>5997</v>
      </c>
      <c r="H1227" s="17" t="s">
        <v>34</v>
      </c>
      <c r="I1227" s="17" t="s">
        <v>277</v>
      </c>
      <c r="J1227" s="17" t="s">
        <v>233</v>
      </c>
      <c r="K1227" s="19"/>
      <c r="L1227" s="19"/>
      <c r="M1227" s="19"/>
      <c r="N1227" s="19"/>
      <c r="O1227" s="17" t="n">
        <v>4</v>
      </c>
      <c r="P1227" s="18" t="s">
        <v>6080</v>
      </c>
      <c r="Q1227" s="18" t="s">
        <v>6116</v>
      </c>
      <c r="R1227" s="18" t="s">
        <v>6117</v>
      </c>
      <c r="S1227" s="17" t="s">
        <v>6118</v>
      </c>
      <c r="T1227" s="18" t="s">
        <v>6119</v>
      </c>
      <c r="U1227" s="19"/>
      <c r="V1227" s="18" t="s">
        <v>6120</v>
      </c>
      <c r="W1227" s="17" t="s">
        <v>5511</v>
      </c>
      <c r="X1227" s="17" t="s">
        <v>6121</v>
      </c>
      <c r="Y1227" s="17" t="s">
        <v>242</v>
      </c>
      <c r="Z1227" s="19"/>
      <c r="AA1227" s="19"/>
      <c r="AB1227" s="17"/>
      <c r="AC1227" s="19"/>
    </row>
    <row r="1228" customFormat="false" ht="22.35" hidden="false" customHeight="false" outlineLevel="0" collapsed="false">
      <c r="A1228" s="10" t="s">
        <v>6122</v>
      </c>
      <c r="B1228" s="17" t="s">
        <v>124</v>
      </c>
      <c r="C1228" s="18" t="s">
        <v>125</v>
      </c>
      <c r="D1228" s="17" t="s">
        <v>19</v>
      </c>
      <c r="E1228" s="17" t="s">
        <v>75</v>
      </c>
      <c r="F1228" s="17" t="s">
        <v>5996</v>
      </c>
      <c r="G1228" s="17" t="s">
        <v>5997</v>
      </c>
      <c r="H1228" s="17" t="s">
        <v>34</v>
      </c>
      <c r="I1228" s="17" t="s">
        <v>369</v>
      </c>
      <c r="J1228" s="17" t="s">
        <v>233</v>
      </c>
      <c r="K1228" s="19"/>
      <c r="L1228" s="19"/>
      <c r="M1228" s="19"/>
      <c r="N1228" s="19"/>
      <c r="O1228" s="17" t="n">
        <v>3</v>
      </c>
      <c r="P1228" s="18" t="s">
        <v>6080</v>
      </c>
      <c r="Q1228" s="18" t="s">
        <v>6116</v>
      </c>
      <c r="R1228" s="18" t="s">
        <v>6123</v>
      </c>
      <c r="S1228" s="17" t="s">
        <v>6061</v>
      </c>
      <c r="T1228" s="18" t="s">
        <v>544</v>
      </c>
      <c r="U1228" s="19"/>
      <c r="V1228" s="18" t="s">
        <v>6124</v>
      </c>
      <c r="W1228" s="17" t="s">
        <v>240</v>
      </c>
      <c r="X1228" s="17" t="s">
        <v>6125</v>
      </c>
      <c r="Y1228" s="17" t="s">
        <v>242</v>
      </c>
      <c r="Z1228" s="19"/>
      <c r="AA1228" s="19"/>
      <c r="AB1228" s="17"/>
      <c r="AC1228" s="19"/>
    </row>
    <row r="1229" customFormat="false" ht="15" hidden="false" customHeight="false" outlineLevel="0" collapsed="false">
      <c r="A1229" s="10" t="s">
        <v>6126</v>
      </c>
      <c r="B1229" s="17" t="s">
        <v>124</v>
      </c>
      <c r="C1229" s="18" t="s">
        <v>125</v>
      </c>
      <c r="D1229" s="17" t="s">
        <v>19</v>
      </c>
      <c r="E1229" s="17" t="s">
        <v>75</v>
      </c>
      <c r="F1229" s="17" t="s">
        <v>5996</v>
      </c>
      <c r="G1229" s="17" t="s">
        <v>5997</v>
      </c>
      <c r="H1229" s="17" t="s">
        <v>34</v>
      </c>
      <c r="I1229" s="17" t="s">
        <v>283</v>
      </c>
      <c r="J1229" s="17" t="s">
        <v>233</v>
      </c>
      <c r="K1229" s="19"/>
      <c r="L1229" s="19"/>
      <c r="M1229" s="19"/>
      <c r="N1229" s="19"/>
      <c r="O1229" s="17" t="n">
        <v>4</v>
      </c>
      <c r="P1229" s="18" t="s">
        <v>6080</v>
      </c>
      <c r="Q1229" s="18" t="s">
        <v>6116</v>
      </c>
      <c r="R1229" s="18" t="s">
        <v>6127</v>
      </c>
      <c r="S1229" s="17" t="s">
        <v>6128</v>
      </c>
      <c r="T1229" s="18" t="s">
        <v>6037</v>
      </c>
      <c r="U1229" s="19"/>
      <c r="V1229" s="18" t="s">
        <v>6038</v>
      </c>
      <c r="W1229" s="17" t="s">
        <v>240</v>
      </c>
      <c r="X1229" s="17" t="s">
        <v>6039</v>
      </c>
      <c r="Y1229" s="17" t="s">
        <v>242</v>
      </c>
      <c r="Z1229" s="19"/>
      <c r="AA1229" s="19"/>
      <c r="AB1229" s="17"/>
      <c r="AC1229" s="19"/>
    </row>
    <row r="1230" customFormat="false" ht="22.35" hidden="false" customHeight="false" outlineLevel="0" collapsed="false">
      <c r="A1230" s="10" t="s">
        <v>6129</v>
      </c>
      <c r="B1230" s="17" t="s">
        <v>127</v>
      </c>
      <c r="C1230" s="18" t="s">
        <v>128</v>
      </c>
      <c r="D1230" s="17" t="s">
        <v>19</v>
      </c>
      <c r="E1230" s="17" t="s">
        <v>75</v>
      </c>
      <c r="F1230" s="17" t="s">
        <v>5996</v>
      </c>
      <c r="G1230" s="17" t="s">
        <v>199</v>
      </c>
      <c r="H1230" s="17" t="s">
        <v>34</v>
      </c>
      <c r="I1230" s="17" t="s">
        <v>1028</v>
      </c>
      <c r="J1230" s="17" t="s">
        <v>233</v>
      </c>
      <c r="K1230" s="19"/>
      <c r="L1230" s="19"/>
      <c r="M1230" s="19"/>
      <c r="N1230" s="19"/>
      <c r="O1230" s="17" t="n">
        <v>3</v>
      </c>
      <c r="P1230" s="18" t="s">
        <v>6130</v>
      </c>
      <c r="Q1230" s="18" t="s">
        <v>6131</v>
      </c>
      <c r="R1230" s="18" t="s">
        <v>6132</v>
      </c>
      <c r="S1230" s="17" t="s">
        <v>237</v>
      </c>
      <c r="T1230" s="18" t="s">
        <v>6133</v>
      </c>
      <c r="U1230" s="19"/>
      <c r="V1230" s="18" t="s">
        <v>6134</v>
      </c>
      <c r="W1230" s="17" t="s">
        <v>5511</v>
      </c>
      <c r="X1230" s="17" t="s">
        <v>6135</v>
      </c>
      <c r="Y1230" s="17" t="s">
        <v>242</v>
      </c>
      <c r="Z1230" s="19"/>
      <c r="AA1230" s="19"/>
      <c r="AB1230" s="17"/>
      <c r="AC1230" s="19"/>
    </row>
    <row r="1231" customFormat="false" ht="22.35" hidden="false" customHeight="false" outlineLevel="0" collapsed="false">
      <c r="A1231" s="10" t="s">
        <v>6136</v>
      </c>
      <c r="B1231" s="17" t="s">
        <v>127</v>
      </c>
      <c r="C1231" s="18" t="s">
        <v>128</v>
      </c>
      <c r="D1231" s="17" t="s">
        <v>19</v>
      </c>
      <c r="E1231" s="17" t="s">
        <v>229</v>
      </c>
      <c r="F1231" s="17" t="s">
        <v>5996</v>
      </c>
      <c r="G1231" s="17" t="s">
        <v>199</v>
      </c>
      <c r="H1231" s="17" t="s">
        <v>34</v>
      </c>
      <c r="I1231" s="17" t="s">
        <v>232</v>
      </c>
      <c r="J1231" s="17" t="s">
        <v>233</v>
      </c>
      <c r="K1231" s="19"/>
      <c r="L1231" s="19"/>
      <c r="M1231" s="19"/>
      <c r="N1231" s="19"/>
      <c r="O1231" s="17" t="n">
        <v>3</v>
      </c>
      <c r="P1231" s="18" t="s">
        <v>6130</v>
      </c>
      <c r="Q1231" s="18" t="s">
        <v>6131</v>
      </c>
      <c r="R1231" s="18" t="s">
        <v>6137</v>
      </c>
      <c r="S1231" s="17" t="s">
        <v>6129</v>
      </c>
      <c r="T1231" s="18" t="s">
        <v>6138</v>
      </c>
      <c r="U1231" s="19"/>
      <c r="V1231" s="18" t="s">
        <v>6139</v>
      </c>
      <c r="W1231" s="17" t="s">
        <v>5511</v>
      </c>
      <c r="X1231" s="17" t="s">
        <v>6140</v>
      </c>
      <c r="Y1231" s="17" t="s">
        <v>242</v>
      </c>
      <c r="Z1231" s="19"/>
      <c r="AA1231" s="19"/>
      <c r="AB1231" s="17"/>
      <c r="AC1231" s="19"/>
    </row>
    <row r="1232" customFormat="false" ht="22.35" hidden="false" customHeight="false" outlineLevel="0" collapsed="false">
      <c r="A1232" s="10" t="s">
        <v>6141</v>
      </c>
      <c r="B1232" s="17" t="s">
        <v>127</v>
      </c>
      <c r="C1232" s="18" t="s">
        <v>128</v>
      </c>
      <c r="D1232" s="17" t="s">
        <v>19</v>
      </c>
      <c r="E1232" s="17" t="s">
        <v>75</v>
      </c>
      <c r="F1232" s="17" t="s">
        <v>5996</v>
      </c>
      <c r="G1232" s="17" t="s">
        <v>199</v>
      </c>
      <c r="H1232" s="17" t="s">
        <v>34</v>
      </c>
      <c r="I1232" s="17" t="s">
        <v>232</v>
      </c>
      <c r="J1232" s="17" t="s">
        <v>233</v>
      </c>
      <c r="K1232" s="19"/>
      <c r="L1232" s="19"/>
      <c r="M1232" s="19"/>
      <c r="N1232" s="19"/>
      <c r="O1232" s="17" t="n">
        <v>3</v>
      </c>
      <c r="P1232" s="18" t="s">
        <v>6130</v>
      </c>
      <c r="Q1232" s="18" t="s">
        <v>6131</v>
      </c>
      <c r="R1232" s="18" t="s">
        <v>6142</v>
      </c>
      <c r="S1232" s="17" t="s">
        <v>6136</v>
      </c>
      <c r="T1232" s="18" t="s">
        <v>6143</v>
      </c>
      <c r="U1232" s="19"/>
      <c r="V1232" s="18" t="s">
        <v>6144</v>
      </c>
      <c r="W1232" s="17" t="s">
        <v>5511</v>
      </c>
      <c r="X1232" s="17" t="s">
        <v>6145</v>
      </c>
      <c r="Y1232" s="17" t="s">
        <v>242</v>
      </c>
      <c r="Z1232" s="19"/>
      <c r="AA1232" s="19"/>
      <c r="AB1232" s="17"/>
      <c r="AC1232" s="19"/>
    </row>
    <row r="1233" customFormat="false" ht="22.35" hidden="false" customHeight="false" outlineLevel="0" collapsed="false">
      <c r="A1233" s="10" t="s">
        <v>6146</v>
      </c>
      <c r="B1233" s="17" t="s">
        <v>127</v>
      </c>
      <c r="C1233" s="18" t="s">
        <v>128</v>
      </c>
      <c r="D1233" s="17" t="s">
        <v>19</v>
      </c>
      <c r="E1233" s="17" t="s">
        <v>75</v>
      </c>
      <c r="F1233" s="17" t="s">
        <v>5996</v>
      </c>
      <c r="G1233" s="17" t="s">
        <v>199</v>
      </c>
      <c r="H1233" s="17" t="s">
        <v>34</v>
      </c>
      <c r="I1233" s="17" t="s">
        <v>5507</v>
      </c>
      <c r="J1233" s="17" t="s">
        <v>233</v>
      </c>
      <c r="K1233" s="19"/>
      <c r="L1233" s="19"/>
      <c r="M1233" s="19"/>
      <c r="N1233" s="19"/>
      <c r="O1233" s="17" t="n">
        <v>3</v>
      </c>
      <c r="P1233" s="18" t="s">
        <v>6130</v>
      </c>
      <c r="Q1233" s="18" t="s">
        <v>6131</v>
      </c>
      <c r="R1233" s="18" t="s">
        <v>6147</v>
      </c>
      <c r="S1233" s="17" t="s">
        <v>6136</v>
      </c>
      <c r="T1233" s="18" t="s">
        <v>6148</v>
      </c>
      <c r="U1233" s="19"/>
      <c r="V1233" s="18" t="s">
        <v>6149</v>
      </c>
      <c r="W1233" s="17" t="s">
        <v>5511</v>
      </c>
      <c r="X1233" s="17" t="s">
        <v>6150</v>
      </c>
      <c r="Y1233" s="17" t="s">
        <v>242</v>
      </c>
      <c r="Z1233" s="19"/>
      <c r="AA1233" s="19"/>
      <c r="AB1233" s="17"/>
      <c r="AC1233" s="19"/>
    </row>
    <row r="1234" customFormat="false" ht="22.35" hidden="false" customHeight="false" outlineLevel="0" collapsed="false">
      <c r="A1234" s="10" t="s">
        <v>6151</v>
      </c>
      <c r="B1234" s="17" t="s">
        <v>127</v>
      </c>
      <c r="C1234" s="18" t="s">
        <v>128</v>
      </c>
      <c r="D1234" s="17" t="s">
        <v>19</v>
      </c>
      <c r="E1234" s="17" t="s">
        <v>75</v>
      </c>
      <c r="F1234" s="17" t="s">
        <v>5996</v>
      </c>
      <c r="G1234" s="17" t="s">
        <v>199</v>
      </c>
      <c r="H1234" s="17" t="s">
        <v>34</v>
      </c>
      <c r="I1234" s="17" t="s">
        <v>5507</v>
      </c>
      <c r="J1234" s="17" t="s">
        <v>233</v>
      </c>
      <c r="K1234" s="19"/>
      <c r="L1234" s="19"/>
      <c r="M1234" s="19"/>
      <c r="N1234" s="19"/>
      <c r="O1234" s="17" t="n">
        <v>3</v>
      </c>
      <c r="P1234" s="18" t="s">
        <v>6130</v>
      </c>
      <c r="Q1234" s="18" t="s">
        <v>6131</v>
      </c>
      <c r="R1234" s="18" t="s">
        <v>6152</v>
      </c>
      <c r="S1234" s="17" t="s">
        <v>6136</v>
      </c>
      <c r="T1234" s="18" t="s">
        <v>6153</v>
      </c>
      <c r="U1234" s="19"/>
      <c r="V1234" s="18" t="s">
        <v>6154</v>
      </c>
      <c r="W1234" s="17" t="s">
        <v>5511</v>
      </c>
      <c r="X1234" s="17" t="s">
        <v>6155</v>
      </c>
      <c r="Y1234" s="17" t="s">
        <v>242</v>
      </c>
      <c r="Z1234" s="19"/>
      <c r="AA1234" s="19"/>
      <c r="AB1234" s="17"/>
      <c r="AC1234" s="19"/>
    </row>
    <row r="1235" customFormat="false" ht="22.35" hidden="false" customHeight="false" outlineLevel="0" collapsed="false">
      <c r="A1235" s="10" t="s">
        <v>6156</v>
      </c>
      <c r="B1235" s="17" t="s">
        <v>127</v>
      </c>
      <c r="C1235" s="18" t="s">
        <v>128</v>
      </c>
      <c r="D1235" s="17" t="s">
        <v>19</v>
      </c>
      <c r="E1235" s="17" t="s">
        <v>229</v>
      </c>
      <c r="F1235" s="17" t="s">
        <v>5996</v>
      </c>
      <c r="G1235" s="17" t="s">
        <v>199</v>
      </c>
      <c r="H1235" s="17" t="s">
        <v>34</v>
      </c>
      <c r="I1235" s="17" t="s">
        <v>232</v>
      </c>
      <c r="J1235" s="17" t="s">
        <v>233</v>
      </c>
      <c r="K1235" s="19"/>
      <c r="L1235" s="19"/>
      <c r="M1235" s="19"/>
      <c r="N1235" s="19"/>
      <c r="O1235" s="17" t="n">
        <v>3</v>
      </c>
      <c r="P1235" s="18" t="s">
        <v>6130</v>
      </c>
      <c r="Q1235" s="18" t="s">
        <v>6131</v>
      </c>
      <c r="R1235" s="18" t="s">
        <v>6157</v>
      </c>
      <c r="S1235" s="17" t="s">
        <v>6136</v>
      </c>
      <c r="T1235" s="18" t="s">
        <v>6158</v>
      </c>
      <c r="U1235" s="19"/>
      <c r="V1235" s="18" t="s">
        <v>6159</v>
      </c>
      <c r="W1235" s="17" t="s">
        <v>383</v>
      </c>
      <c r="X1235" s="17" t="s">
        <v>6160</v>
      </c>
      <c r="Y1235" s="17" t="s">
        <v>242</v>
      </c>
      <c r="Z1235" s="19"/>
      <c r="AA1235" s="19"/>
      <c r="AB1235" s="17"/>
      <c r="AC1235" s="19"/>
    </row>
    <row r="1236" customFormat="false" ht="22.35" hidden="false" customHeight="false" outlineLevel="0" collapsed="false">
      <c r="A1236" s="10" t="s">
        <v>6161</v>
      </c>
      <c r="B1236" s="17" t="s">
        <v>127</v>
      </c>
      <c r="C1236" s="18" t="s">
        <v>128</v>
      </c>
      <c r="D1236" s="17" t="s">
        <v>19</v>
      </c>
      <c r="E1236" s="17" t="s">
        <v>75</v>
      </c>
      <c r="F1236" s="17" t="s">
        <v>5996</v>
      </c>
      <c r="G1236" s="17" t="s">
        <v>199</v>
      </c>
      <c r="H1236" s="17" t="s">
        <v>34</v>
      </c>
      <c r="I1236" s="17" t="s">
        <v>333</v>
      </c>
      <c r="J1236" s="17" t="s">
        <v>233</v>
      </c>
      <c r="K1236" s="19"/>
      <c r="L1236" s="19"/>
      <c r="M1236" s="19"/>
      <c r="N1236" s="19"/>
      <c r="O1236" s="17" t="n">
        <v>3</v>
      </c>
      <c r="P1236" s="18" t="s">
        <v>6130</v>
      </c>
      <c r="Q1236" s="18" t="s">
        <v>6131</v>
      </c>
      <c r="R1236" s="18" t="s">
        <v>6162</v>
      </c>
      <c r="S1236" s="17" t="s">
        <v>6129</v>
      </c>
      <c r="T1236" s="18" t="s">
        <v>6163</v>
      </c>
      <c r="U1236" s="19"/>
      <c r="V1236" s="18" t="s">
        <v>6164</v>
      </c>
      <c r="W1236" s="17" t="s">
        <v>5511</v>
      </c>
      <c r="X1236" s="17" t="s">
        <v>6165</v>
      </c>
      <c r="Y1236" s="17" t="s">
        <v>242</v>
      </c>
      <c r="Z1236" s="19"/>
      <c r="AA1236" s="19"/>
      <c r="AB1236" s="17"/>
      <c r="AC1236" s="19"/>
    </row>
    <row r="1237" customFormat="false" ht="22.35" hidden="false" customHeight="false" outlineLevel="0" collapsed="false">
      <c r="A1237" s="10" t="s">
        <v>6166</v>
      </c>
      <c r="B1237" s="17" t="s">
        <v>127</v>
      </c>
      <c r="C1237" s="18" t="s">
        <v>128</v>
      </c>
      <c r="D1237" s="17" t="s">
        <v>19</v>
      </c>
      <c r="E1237" s="17" t="s">
        <v>75</v>
      </c>
      <c r="F1237" s="17" t="s">
        <v>5996</v>
      </c>
      <c r="G1237" s="17" t="s">
        <v>199</v>
      </c>
      <c r="H1237" s="17" t="s">
        <v>34</v>
      </c>
      <c r="I1237" s="17" t="s">
        <v>1028</v>
      </c>
      <c r="J1237" s="17" t="s">
        <v>233</v>
      </c>
      <c r="K1237" s="19"/>
      <c r="L1237" s="19"/>
      <c r="M1237" s="19"/>
      <c r="N1237" s="19"/>
      <c r="O1237" s="17" t="n">
        <v>3</v>
      </c>
      <c r="P1237" s="18" t="s">
        <v>6130</v>
      </c>
      <c r="Q1237" s="18" t="s">
        <v>6131</v>
      </c>
      <c r="R1237" s="18" t="s">
        <v>6167</v>
      </c>
      <c r="S1237" s="17" t="s">
        <v>6168</v>
      </c>
      <c r="T1237" s="18" t="s">
        <v>4576</v>
      </c>
      <c r="U1237" s="19"/>
      <c r="V1237" s="18" t="s">
        <v>6169</v>
      </c>
      <c r="W1237" s="17" t="s">
        <v>5511</v>
      </c>
      <c r="X1237" s="17" t="s">
        <v>6170</v>
      </c>
      <c r="Y1237" s="17" t="s">
        <v>242</v>
      </c>
      <c r="Z1237" s="19"/>
      <c r="AA1237" s="19"/>
      <c r="AB1237" s="17"/>
      <c r="AC1237" s="19"/>
    </row>
    <row r="1238" customFormat="false" ht="22.35" hidden="false" customHeight="false" outlineLevel="0" collapsed="false">
      <c r="A1238" s="10" t="s">
        <v>6171</v>
      </c>
      <c r="B1238" s="17" t="s">
        <v>127</v>
      </c>
      <c r="C1238" s="18" t="s">
        <v>128</v>
      </c>
      <c r="D1238" s="17" t="s">
        <v>19</v>
      </c>
      <c r="E1238" s="17" t="s">
        <v>75</v>
      </c>
      <c r="F1238" s="17" t="s">
        <v>5996</v>
      </c>
      <c r="G1238" s="17" t="s">
        <v>199</v>
      </c>
      <c r="H1238" s="17" t="s">
        <v>34</v>
      </c>
      <c r="I1238" s="17" t="s">
        <v>283</v>
      </c>
      <c r="J1238" s="17" t="s">
        <v>233</v>
      </c>
      <c r="K1238" s="19"/>
      <c r="L1238" s="19"/>
      <c r="M1238" s="19"/>
      <c r="N1238" s="19"/>
      <c r="O1238" s="17" t="n">
        <v>3</v>
      </c>
      <c r="P1238" s="18" t="s">
        <v>6130</v>
      </c>
      <c r="Q1238" s="18" t="s">
        <v>6131</v>
      </c>
      <c r="R1238" s="18" t="s">
        <v>6172</v>
      </c>
      <c r="S1238" s="17" t="s">
        <v>6173</v>
      </c>
      <c r="T1238" s="18" t="s">
        <v>6037</v>
      </c>
      <c r="U1238" s="19"/>
      <c r="V1238" s="18" t="s">
        <v>6038</v>
      </c>
      <c r="W1238" s="17" t="s">
        <v>5511</v>
      </c>
      <c r="X1238" s="17" t="s">
        <v>6039</v>
      </c>
      <c r="Y1238" s="17" t="s">
        <v>242</v>
      </c>
      <c r="Z1238" s="19"/>
      <c r="AA1238" s="19"/>
      <c r="AB1238" s="17"/>
      <c r="AC1238" s="19"/>
    </row>
    <row r="1239" customFormat="false" ht="22.35" hidden="false" customHeight="false" outlineLevel="0" collapsed="false">
      <c r="A1239" s="10" t="s">
        <v>6174</v>
      </c>
      <c r="B1239" s="17" t="s">
        <v>127</v>
      </c>
      <c r="C1239" s="18" t="s">
        <v>128</v>
      </c>
      <c r="D1239" s="17" t="s">
        <v>19</v>
      </c>
      <c r="E1239" s="17" t="s">
        <v>75</v>
      </c>
      <c r="F1239" s="17" t="s">
        <v>5996</v>
      </c>
      <c r="G1239" s="17" t="s">
        <v>199</v>
      </c>
      <c r="H1239" s="17" t="s">
        <v>34</v>
      </c>
      <c r="I1239" s="17" t="s">
        <v>5507</v>
      </c>
      <c r="J1239" s="17" t="s">
        <v>233</v>
      </c>
      <c r="K1239" s="19"/>
      <c r="L1239" s="19"/>
      <c r="M1239" s="19"/>
      <c r="N1239" s="19"/>
      <c r="O1239" s="17" t="n">
        <v>4</v>
      </c>
      <c r="P1239" s="18" t="s">
        <v>6175</v>
      </c>
      <c r="Q1239" s="18" t="s">
        <v>6176</v>
      </c>
      <c r="R1239" s="18" t="s">
        <v>6177</v>
      </c>
      <c r="S1239" s="17" t="s">
        <v>6178</v>
      </c>
      <c r="T1239" s="18" t="s">
        <v>6179</v>
      </c>
      <c r="U1239" s="19"/>
      <c r="V1239" s="18" t="s">
        <v>6180</v>
      </c>
      <c r="W1239" s="17" t="s">
        <v>5511</v>
      </c>
      <c r="X1239" s="17" t="s">
        <v>6181</v>
      </c>
      <c r="Y1239" s="17" t="s">
        <v>242</v>
      </c>
      <c r="Z1239" s="19"/>
      <c r="AA1239" s="19"/>
      <c r="AB1239" s="17"/>
      <c r="AC1239" s="19"/>
    </row>
    <row r="1240" customFormat="false" ht="22.35" hidden="false" customHeight="false" outlineLevel="0" collapsed="false">
      <c r="A1240" s="10" t="s">
        <v>6182</v>
      </c>
      <c r="B1240" s="17" t="s">
        <v>127</v>
      </c>
      <c r="C1240" s="18" t="s">
        <v>128</v>
      </c>
      <c r="D1240" s="17" t="s">
        <v>19</v>
      </c>
      <c r="E1240" s="17" t="s">
        <v>75</v>
      </c>
      <c r="F1240" s="17" t="s">
        <v>5996</v>
      </c>
      <c r="G1240" s="17" t="s">
        <v>199</v>
      </c>
      <c r="H1240" s="17" t="s">
        <v>34</v>
      </c>
      <c r="I1240" s="17" t="s">
        <v>5507</v>
      </c>
      <c r="J1240" s="17" t="s">
        <v>233</v>
      </c>
      <c r="K1240" s="19"/>
      <c r="L1240" s="19"/>
      <c r="M1240" s="19"/>
      <c r="N1240" s="19"/>
      <c r="O1240" s="17" t="n">
        <v>4</v>
      </c>
      <c r="P1240" s="18" t="s">
        <v>6175</v>
      </c>
      <c r="Q1240" s="18" t="s">
        <v>6176</v>
      </c>
      <c r="R1240" s="18" t="s">
        <v>6183</v>
      </c>
      <c r="S1240" s="17" t="s">
        <v>6184</v>
      </c>
      <c r="T1240" s="18" t="s">
        <v>6185</v>
      </c>
      <c r="U1240" s="19"/>
      <c r="V1240" s="18" t="s">
        <v>6186</v>
      </c>
      <c r="W1240" s="17" t="s">
        <v>5511</v>
      </c>
      <c r="X1240" s="17" t="s">
        <v>6187</v>
      </c>
      <c r="Y1240" s="17" t="s">
        <v>242</v>
      </c>
      <c r="Z1240" s="19"/>
      <c r="AA1240" s="19"/>
      <c r="AB1240" s="17"/>
      <c r="AC1240" s="19"/>
    </row>
    <row r="1241" customFormat="false" ht="22.35" hidden="false" customHeight="false" outlineLevel="0" collapsed="false">
      <c r="A1241" s="10" t="s">
        <v>6188</v>
      </c>
      <c r="B1241" s="17" t="s">
        <v>127</v>
      </c>
      <c r="C1241" s="18" t="s">
        <v>128</v>
      </c>
      <c r="D1241" s="17" t="s">
        <v>19</v>
      </c>
      <c r="E1241" s="17" t="s">
        <v>229</v>
      </c>
      <c r="F1241" s="17" t="s">
        <v>5996</v>
      </c>
      <c r="G1241" s="17" t="s">
        <v>199</v>
      </c>
      <c r="H1241" s="17" t="s">
        <v>34</v>
      </c>
      <c r="I1241" s="17" t="s">
        <v>5507</v>
      </c>
      <c r="J1241" s="17" t="s">
        <v>233</v>
      </c>
      <c r="K1241" s="19"/>
      <c r="L1241" s="19"/>
      <c r="M1241" s="19"/>
      <c r="N1241" s="19"/>
      <c r="O1241" s="17" t="n">
        <v>4</v>
      </c>
      <c r="P1241" s="18" t="s">
        <v>6175</v>
      </c>
      <c r="Q1241" s="18" t="s">
        <v>6176</v>
      </c>
      <c r="R1241" s="18" t="s">
        <v>6189</v>
      </c>
      <c r="S1241" s="17" t="s">
        <v>6182</v>
      </c>
      <c r="T1241" s="18" t="s">
        <v>6190</v>
      </c>
      <c r="U1241" s="19"/>
      <c r="V1241" s="18" t="s">
        <v>6191</v>
      </c>
      <c r="W1241" s="17" t="s">
        <v>5511</v>
      </c>
      <c r="X1241" s="17" t="s">
        <v>6192</v>
      </c>
      <c r="Y1241" s="17" t="s">
        <v>242</v>
      </c>
      <c r="Z1241" s="19"/>
      <c r="AA1241" s="19"/>
      <c r="AB1241" s="17"/>
      <c r="AC1241" s="19"/>
    </row>
    <row r="1242" customFormat="false" ht="22.35" hidden="false" customHeight="false" outlineLevel="0" collapsed="false">
      <c r="A1242" s="10" t="s">
        <v>6193</v>
      </c>
      <c r="B1242" s="17" t="s">
        <v>127</v>
      </c>
      <c r="C1242" s="18" t="s">
        <v>128</v>
      </c>
      <c r="D1242" s="17" t="s">
        <v>19</v>
      </c>
      <c r="E1242" s="17" t="s">
        <v>75</v>
      </c>
      <c r="F1242" s="17" t="s">
        <v>5996</v>
      </c>
      <c r="G1242" s="17" t="s">
        <v>199</v>
      </c>
      <c r="H1242" s="17" t="s">
        <v>34</v>
      </c>
      <c r="I1242" s="17" t="s">
        <v>5507</v>
      </c>
      <c r="J1242" s="17" t="s">
        <v>233</v>
      </c>
      <c r="K1242" s="19"/>
      <c r="L1242" s="19"/>
      <c r="M1242" s="19"/>
      <c r="N1242" s="19"/>
      <c r="O1242" s="17" t="n">
        <v>4</v>
      </c>
      <c r="P1242" s="18" t="s">
        <v>6175</v>
      </c>
      <c r="Q1242" s="18" t="s">
        <v>6176</v>
      </c>
      <c r="R1242" s="18" t="s">
        <v>6194</v>
      </c>
      <c r="S1242" s="17" t="s">
        <v>6182</v>
      </c>
      <c r="T1242" s="18" t="s">
        <v>6195</v>
      </c>
      <c r="U1242" s="19"/>
      <c r="V1242" s="18" t="s">
        <v>6196</v>
      </c>
      <c r="W1242" s="17" t="s">
        <v>5511</v>
      </c>
      <c r="X1242" s="17" t="s">
        <v>6197</v>
      </c>
      <c r="Y1242" s="17" t="s">
        <v>242</v>
      </c>
      <c r="Z1242" s="19"/>
      <c r="AA1242" s="19"/>
      <c r="AB1242" s="17"/>
      <c r="AC1242" s="19"/>
    </row>
    <row r="1243" customFormat="false" ht="15" hidden="false" customHeight="false" outlineLevel="0" collapsed="false">
      <c r="A1243" s="10" t="s">
        <v>6198</v>
      </c>
      <c r="B1243" s="17" t="s">
        <v>127</v>
      </c>
      <c r="C1243" s="18" t="s">
        <v>128</v>
      </c>
      <c r="D1243" s="17" t="s">
        <v>19</v>
      </c>
      <c r="E1243" s="17" t="s">
        <v>75</v>
      </c>
      <c r="F1243" s="17" t="s">
        <v>5996</v>
      </c>
      <c r="G1243" s="17" t="s">
        <v>199</v>
      </c>
      <c r="H1243" s="17" t="s">
        <v>34</v>
      </c>
      <c r="I1243" s="17" t="s">
        <v>5507</v>
      </c>
      <c r="J1243" s="17" t="s">
        <v>233</v>
      </c>
      <c r="K1243" s="19"/>
      <c r="L1243" s="19"/>
      <c r="M1243" s="19"/>
      <c r="N1243" s="19"/>
      <c r="O1243" s="17" t="n">
        <v>4</v>
      </c>
      <c r="P1243" s="18" t="s">
        <v>6175</v>
      </c>
      <c r="Q1243" s="18" t="s">
        <v>6176</v>
      </c>
      <c r="R1243" s="18" t="s">
        <v>6199</v>
      </c>
      <c r="S1243" s="17" t="s">
        <v>6182</v>
      </c>
      <c r="T1243" s="18" t="s">
        <v>6200</v>
      </c>
      <c r="U1243" s="19"/>
      <c r="V1243" s="18" t="s">
        <v>6201</v>
      </c>
      <c r="W1243" s="17" t="s">
        <v>5511</v>
      </c>
      <c r="X1243" s="17" t="s">
        <v>6155</v>
      </c>
      <c r="Y1243" s="17" t="s">
        <v>242</v>
      </c>
      <c r="Z1243" s="19"/>
      <c r="AA1243" s="19"/>
      <c r="AB1243" s="17"/>
      <c r="AC1243" s="19"/>
    </row>
    <row r="1244" customFormat="false" ht="22.35" hidden="false" customHeight="false" outlineLevel="0" collapsed="false">
      <c r="A1244" s="10" t="s">
        <v>6202</v>
      </c>
      <c r="B1244" s="17" t="s">
        <v>127</v>
      </c>
      <c r="C1244" s="18" t="s">
        <v>128</v>
      </c>
      <c r="D1244" s="17" t="s">
        <v>19</v>
      </c>
      <c r="E1244" s="17" t="s">
        <v>229</v>
      </c>
      <c r="F1244" s="17" t="s">
        <v>5996</v>
      </c>
      <c r="G1244" s="17" t="s">
        <v>199</v>
      </c>
      <c r="H1244" s="17" t="s">
        <v>34</v>
      </c>
      <c r="I1244" s="17" t="s">
        <v>232</v>
      </c>
      <c r="J1244" s="17" t="s">
        <v>233</v>
      </c>
      <c r="K1244" s="19"/>
      <c r="L1244" s="19"/>
      <c r="M1244" s="19"/>
      <c r="N1244" s="19"/>
      <c r="O1244" s="17" t="n">
        <v>4</v>
      </c>
      <c r="P1244" s="18" t="s">
        <v>6175</v>
      </c>
      <c r="Q1244" s="18" t="s">
        <v>6203</v>
      </c>
      <c r="R1244" s="18" t="s">
        <v>6204</v>
      </c>
      <c r="S1244" s="17" t="s">
        <v>6182</v>
      </c>
      <c r="T1244" s="18" t="s">
        <v>6205</v>
      </c>
      <c r="U1244" s="19"/>
      <c r="V1244" s="18" t="s">
        <v>6206</v>
      </c>
      <c r="W1244" s="17" t="s">
        <v>5511</v>
      </c>
      <c r="X1244" s="17" t="s">
        <v>6207</v>
      </c>
      <c r="Y1244" s="17" t="s">
        <v>242</v>
      </c>
      <c r="Z1244" s="19"/>
      <c r="AA1244" s="19"/>
      <c r="AB1244" s="17"/>
      <c r="AC1244" s="19"/>
    </row>
    <row r="1245" customFormat="false" ht="22.35" hidden="false" customHeight="false" outlineLevel="0" collapsed="false">
      <c r="A1245" s="10" t="s">
        <v>6208</v>
      </c>
      <c r="B1245" s="17" t="s">
        <v>127</v>
      </c>
      <c r="C1245" s="18" t="s">
        <v>128</v>
      </c>
      <c r="D1245" s="17" t="s">
        <v>19</v>
      </c>
      <c r="E1245" s="17" t="s">
        <v>229</v>
      </c>
      <c r="F1245" s="17" t="s">
        <v>5996</v>
      </c>
      <c r="G1245" s="17" t="s">
        <v>199</v>
      </c>
      <c r="H1245" s="17" t="s">
        <v>34</v>
      </c>
      <c r="I1245" s="17" t="s">
        <v>289</v>
      </c>
      <c r="J1245" s="17" t="s">
        <v>233</v>
      </c>
      <c r="K1245" s="19"/>
      <c r="L1245" s="19"/>
      <c r="M1245" s="19"/>
      <c r="N1245" s="19"/>
      <c r="O1245" s="17" t="n">
        <v>4</v>
      </c>
      <c r="P1245" s="18" t="s">
        <v>6175</v>
      </c>
      <c r="Q1245" s="18" t="s">
        <v>6203</v>
      </c>
      <c r="R1245" s="18" t="s">
        <v>6209</v>
      </c>
      <c r="S1245" s="17" t="s">
        <v>6202</v>
      </c>
      <c r="T1245" s="18" t="s">
        <v>6210</v>
      </c>
      <c r="U1245" s="19"/>
      <c r="V1245" s="18" t="s">
        <v>6211</v>
      </c>
      <c r="W1245" s="17" t="s">
        <v>5511</v>
      </c>
      <c r="X1245" s="17" t="s">
        <v>6212</v>
      </c>
      <c r="Y1245" s="17" t="s">
        <v>242</v>
      </c>
      <c r="Z1245" s="19"/>
      <c r="AA1245" s="19"/>
      <c r="AB1245" s="17"/>
      <c r="AC1245" s="19"/>
    </row>
    <row r="1246" customFormat="false" ht="22.35" hidden="false" customHeight="false" outlineLevel="0" collapsed="false">
      <c r="A1246" s="10" t="s">
        <v>6213</v>
      </c>
      <c r="B1246" s="17" t="s">
        <v>127</v>
      </c>
      <c r="C1246" s="18" t="s">
        <v>128</v>
      </c>
      <c r="D1246" s="17" t="s">
        <v>19</v>
      </c>
      <c r="E1246" s="17" t="s">
        <v>229</v>
      </c>
      <c r="F1246" s="17" t="s">
        <v>5996</v>
      </c>
      <c r="G1246" s="17" t="s">
        <v>199</v>
      </c>
      <c r="H1246" s="17" t="s">
        <v>34</v>
      </c>
      <c r="I1246" s="17" t="s">
        <v>450</v>
      </c>
      <c r="J1246" s="17" t="s">
        <v>233</v>
      </c>
      <c r="K1246" s="19"/>
      <c r="L1246" s="19"/>
      <c r="M1246" s="19"/>
      <c r="N1246" s="19"/>
      <c r="O1246" s="17" t="n">
        <v>4</v>
      </c>
      <c r="P1246" s="18" t="s">
        <v>6175</v>
      </c>
      <c r="Q1246" s="18" t="s">
        <v>6203</v>
      </c>
      <c r="R1246" s="18" t="s">
        <v>6214</v>
      </c>
      <c r="S1246" s="17" t="s">
        <v>6215</v>
      </c>
      <c r="T1246" s="18" t="s">
        <v>6216</v>
      </c>
      <c r="U1246" s="19"/>
      <c r="V1246" s="18" t="s">
        <v>6217</v>
      </c>
      <c r="W1246" s="17" t="s">
        <v>5511</v>
      </c>
      <c r="X1246" s="17" t="s">
        <v>6218</v>
      </c>
      <c r="Y1246" s="17" t="s">
        <v>242</v>
      </c>
      <c r="Z1246" s="19"/>
      <c r="AA1246" s="19"/>
      <c r="AB1246" s="17"/>
      <c r="AC1246" s="19"/>
    </row>
    <row r="1247" customFormat="false" ht="22.35" hidden="false" customHeight="false" outlineLevel="0" collapsed="false">
      <c r="A1247" s="10" t="s">
        <v>6219</v>
      </c>
      <c r="B1247" s="17" t="s">
        <v>127</v>
      </c>
      <c r="C1247" s="18" t="s">
        <v>128</v>
      </c>
      <c r="D1247" s="17" t="s">
        <v>19</v>
      </c>
      <c r="E1247" s="17" t="s">
        <v>75</v>
      </c>
      <c r="F1247" s="17" t="s">
        <v>5996</v>
      </c>
      <c r="G1247" s="17" t="s">
        <v>199</v>
      </c>
      <c r="H1247" s="17" t="s">
        <v>34</v>
      </c>
      <c r="I1247" s="17" t="s">
        <v>283</v>
      </c>
      <c r="J1247" s="17" t="s">
        <v>233</v>
      </c>
      <c r="K1247" s="19"/>
      <c r="L1247" s="19"/>
      <c r="M1247" s="19"/>
      <c r="N1247" s="19"/>
      <c r="O1247" s="17" t="n">
        <v>4</v>
      </c>
      <c r="P1247" s="18" t="s">
        <v>6175</v>
      </c>
      <c r="Q1247" s="18" t="s">
        <v>6203</v>
      </c>
      <c r="R1247" s="18" t="s">
        <v>6220</v>
      </c>
      <c r="S1247" s="17" t="s">
        <v>6221</v>
      </c>
      <c r="T1247" s="18" t="s">
        <v>6037</v>
      </c>
      <c r="U1247" s="19"/>
      <c r="V1247" s="18" t="s">
        <v>6038</v>
      </c>
      <c r="W1247" s="17" t="s">
        <v>5511</v>
      </c>
      <c r="X1247" s="17" t="s">
        <v>6039</v>
      </c>
      <c r="Y1247" s="17" t="s">
        <v>242</v>
      </c>
      <c r="Z1247" s="19"/>
      <c r="AA1247" s="19"/>
      <c r="AB1247" s="17"/>
      <c r="AC1247" s="19"/>
    </row>
    <row r="1248" customFormat="false" ht="32.8" hidden="false" customHeight="false" outlineLevel="0" collapsed="false">
      <c r="A1248" s="10" t="s">
        <v>6222</v>
      </c>
      <c r="B1248" s="17" t="s">
        <v>127</v>
      </c>
      <c r="C1248" s="18" t="s">
        <v>128</v>
      </c>
      <c r="D1248" s="17" t="s">
        <v>19</v>
      </c>
      <c r="E1248" s="17" t="s">
        <v>75</v>
      </c>
      <c r="F1248" s="17" t="s">
        <v>5996</v>
      </c>
      <c r="G1248" s="17" t="s">
        <v>199</v>
      </c>
      <c r="H1248" s="17" t="s">
        <v>34</v>
      </c>
      <c r="I1248" s="17" t="s">
        <v>283</v>
      </c>
      <c r="J1248" s="17" t="s">
        <v>233</v>
      </c>
      <c r="K1248" s="19"/>
      <c r="L1248" s="19"/>
      <c r="M1248" s="19"/>
      <c r="N1248" s="19"/>
      <c r="O1248" s="17" t="n">
        <v>4</v>
      </c>
      <c r="P1248" s="18" t="s">
        <v>6223</v>
      </c>
      <c r="Q1248" s="18" t="s">
        <v>1395</v>
      </c>
      <c r="R1248" s="18" t="s">
        <v>6224</v>
      </c>
      <c r="S1248" s="17" t="s">
        <v>6219</v>
      </c>
      <c r="T1248" s="18" t="s">
        <v>6225</v>
      </c>
      <c r="U1248" s="19"/>
      <c r="V1248" s="18" t="s">
        <v>6226</v>
      </c>
      <c r="W1248" s="17" t="s">
        <v>5511</v>
      </c>
      <c r="X1248" s="17" t="s">
        <v>6227</v>
      </c>
      <c r="Y1248" s="17" t="s">
        <v>242</v>
      </c>
      <c r="Z1248" s="19"/>
      <c r="AA1248" s="19"/>
      <c r="AB1248" s="17"/>
      <c r="AC1248" s="19"/>
    </row>
    <row r="1249" customFormat="false" ht="22.35" hidden="false" customHeight="false" outlineLevel="0" collapsed="false">
      <c r="A1249" s="10" t="s">
        <v>6228</v>
      </c>
      <c r="B1249" s="17" t="s">
        <v>127</v>
      </c>
      <c r="C1249" s="18" t="s">
        <v>128</v>
      </c>
      <c r="D1249" s="17" t="s">
        <v>19</v>
      </c>
      <c r="E1249" s="17" t="s">
        <v>75</v>
      </c>
      <c r="F1249" s="17" t="s">
        <v>5996</v>
      </c>
      <c r="G1249" s="17" t="s">
        <v>199</v>
      </c>
      <c r="H1249" s="17" t="s">
        <v>34</v>
      </c>
      <c r="I1249" s="17" t="s">
        <v>277</v>
      </c>
      <c r="J1249" s="17" t="s">
        <v>233</v>
      </c>
      <c r="K1249" s="19"/>
      <c r="L1249" s="19"/>
      <c r="M1249" s="19"/>
      <c r="N1249" s="19"/>
      <c r="O1249" s="17" t="n">
        <v>4</v>
      </c>
      <c r="P1249" s="18" t="s">
        <v>6223</v>
      </c>
      <c r="Q1249" s="18" t="s">
        <v>1395</v>
      </c>
      <c r="R1249" s="18" t="s">
        <v>6229</v>
      </c>
      <c r="S1249" s="17" t="s">
        <v>6230</v>
      </c>
      <c r="T1249" s="18" t="s">
        <v>6231</v>
      </c>
      <c r="U1249" s="19"/>
      <c r="V1249" s="18" t="s">
        <v>6232</v>
      </c>
      <c r="W1249" s="17" t="s">
        <v>5511</v>
      </c>
      <c r="X1249" s="17" t="s">
        <v>6233</v>
      </c>
      <c r="Y1249" s="17" t="s">
        <v>242</v>
      </c>
      <c r="Z1249" s="19"/>
      <c r="AA1249" s="19"/>
      <c r="AB1249" s="17"/>
      <c r="AC1249" s="19"/>
    </row>
    <row r="1250" customFormat="false" ht="22.35" hidden="false" customHeight="false" outlineLevel="0" collapsed="false">
      <c r="A1250" s="10" t="s">
        <v>6234</v>
      </c>
      <c r="B1250" s="17" t="s">
        <v>127</v>
      </c>
      <c r="C1250" s="18" t="s">
        <v>128</v>
      </c>
      <c r="D1250" s="17" t="s">
        <v>19</v>
      </c>
      <c r="E1250" s="17" t="s">
        <v>75</v>
      </c>
      <c r="F1250" s="17" t="s">
        <v>5996</v>
      </c>
      <c r="G1250" s="17" t="s">
        <v>199</v>
      </c>
      <c r="H1250" s="17" t="s">
        <v>34</v>
      </c>
      <c r="I1250" s="17" t="s">
        <v>5507</v>
      </c>
      <c r="J1250" s="17" t="s">
        <v>233</v>
      </c>
      <c r="K1250" s="19"/>
      <c r="L1250" s="19"/>
      <c r="M1250" s="19"/>
      <c r="N1250" s="19"/>
      <c r="O1250" s="17" t="n">
        <v>4</v>
      </c>
      <c r="P1250" s="18" t="s">
        <v>6223</v>
      </c>
      <c r="Q1250" s="18" t="s">
        <v>1395</v>
      </c>
      <c r="R1250" s="18" t="s">
        <v>6235</v>
      </c>
      <c r="S1250" s="17" t="s">
        <v>6222</v>
      </c>
      <c r="T1250" s="18" t="s">
        <v>6236</v>
      </c>
      <c r="U1250" s="19"/>
      <c r="V1250" s="18" t="s">
        <v>6237</v>
      </c>
      <c r="W1250" s="17" t="s">
        <v>5511</v>
      </c>
      <c r="X1250" s="17" t="s">
        <v>6238</v>
      </c>
      <c r="Y1250" s="17" t="s">
        <v>242</v>
      </c>
      <c r="Z1250" s="19"/>
      <c r="AA1250" s="19"/>
      <c r="AB1250" s="17"/>
      <c r="AC1250" s="19"/>
    </row>
    <row r="1251" customFormat="false" ht="22.35" hidden="false" customHeight="false" outlineLevel="0" collapsed="false">
      <c r="A1251" s="10" t="s">
        <v>6239</v>
      </c>
      <c r="B1251" s="17" t="s">
        <v>127</v>
      </c>
      <c r="C1251" s="18" t="s">
        <v>128</v>
      </c>
      <c r="D1251" s="17" t="s">
        <v>19</v>
      </c>
      <c r="E1251" s="17" t="s">
        <v>229</v>
      </c>
      <c r="F1251" s="17" t="s">
        <v>5996</v>
      </c>
      <c r="G1251" s="17" t="s">
        <v>199</v>
      </c>
      <c r="H1251" s="17" t="s">
        <v>34</v>
      </c>
      <c r="I1251" s="17" t="s">
        <v>277</v>
      </c>
      <c r="J1251" s="17" t="s">
        <v>233</v>
      </c>
      <c r="K1251" s="19"/>
      <c r="L1251" s="19"/>
      <c r="M1251" s="19"/>
      <c r="N1251" s="19"/>
      <c r="O1251" s="17" t="n">
        <v>4</v>
      </c>
      <c r="P1251" s="18" t="s">
        <v>6223</v>
      </c>
      <c r="Q1251" s="18" t="s">
        <v>1395</v>
      </c>
      <c r="R1251" s="18" t="s">
        <v>6240</v>
      </c>
      <c r="S1251" s="17" t="s">
        <v>6222</v>
      </c>
      <c r="T1251" s="18" t="s">
        <v>3818</v>
      </c>
      <c r="U1251" s="19"/>
      <c r="V1251" s="18" t="s">
        <v>6241</v>
      </c>
      <c r="W1251" s="17" t="s">
        <v>5511</v>
      </c>
      <c r="X1251" s="17" t="s">
        <v>6242</v>
      </c>
      <c r="Y1251" s="17" t="s">
        <v>242</v>
      </c>
      <c r="Z1251" s="19"/>
      <c r="AA1251" s="19"/>
      <c r="AB1251" s="17"/>
      <c r="AC1251" s="19"/>
    </row>
    <row r="1252" customFormat="false" ht="22.35" hidden="false" customHeight="false" outlineLevel="0" collapsed="false">
      <c r="A1252" s="10" t="s">
        <v>6243</v>
      </c>
      <c r="B1252" s="17" t="s">
        <v>127</v>
      </c>
      <c r="C1252" s="18" t="s">
        <v>128</v>
      </c>
      <c r="D1252" s="17" t="s">
        <v>19</v>
      </c>
      <c r="E1252" s="17" t="s">
        <v>75</v>
      </c>
      <c r="F1252" s="17" t="s">
        <v>5996</v>
      </c>
      <c r="G1252" s="17" t="s">
        <v>199</v>
      </c>
      <c r="H1252" s="17" t="s">
        <v>34</v>
      </c>
      <c r="I1252" s="17" t="s">
        <v>333</v>
      </c>
      <c r="J1252" s="17" t="s">
        <v>233</v>
      </c>
      <c r="K1252" s="19"/>
      <c r="L1252" s="19"/>
      <c r="M1252" s="19"/>
      <c r="N1252" s="19"/>
      <c r="O1252" s="17" t="n">
        <v>4</v>
      </c>
      <c r="P1252" s="18" t="s">
        <v>6223</v>
      </c>
      <c r="Q1252" s="18" t="s">
        <v>1395</v>
      </c>
      <c r="R1252" s="18" t="s">
        <v>6244</v>
      </c>
      <c r="S1252" s="17" t="s">
        <v>6245</v>
      </c>
      <c r="T1252" s="18" t="s">
        <v>6246</v>
      </c>
      <c r="U1252" s="19"/>
      <c r="V1252" s="18" t="s">
        <v>6247</v>
      </c>
      <c r="W1252" s="17" t="s">
        <v>5511</v>
      </c>
      <c r="X1252" s="17" t="s">
        <v>6248</v>
      </c>
      <c r="Y1252" s="17" t="s">
        <v>242</v>
      </c>
      <c r="Z1252" s="19"/>
      <c r="AA1252" s="19"/>
      <c r="AB1252" s="17"/>
      <c r="AC1252" s="19"/>
    </row>
    <row r="1253" customFormat="false" ht="22.35" hidden="false" customHeight="false" outlineLevel="0" collapsed="false">
      <c r="A1253" s="10" t="s">
        <v>6249</v>
      </c>
      <c r="B1253" s="17" t="s">
        <v>127</v>
      </c>
      <c r="C1253" s="18" t="s">
        <v>128</v>
      </c>
      <c r="D1253" s="17" t="s">
        <v>19</v>
      </c>
      <c r="E1253" s="17" t="s">
        <v>75</v>
      </c>
      <c r="F1253" s="17" t="s">
        <v>5996</v>
      </c>
      <c r="G1253" s="17" t="s">
        <v>199</v>
      </c>
      <c r="H1253" s="17" t="s">
        <v>34</v>
      </c>
      <c r="I1253" s="17" t="s">
        <v>289</v>
      </c>
      <c r="J1253" s="17" t="s">
        <v>233</v>
      </c>
      <c r="K1253" s="19"/>
      <c r="L1253" s="19"/>
      <c r="M1253" s="19"/>
      <c r="N1253" s="19"/>
      <c r="O1253" s="17" t="n">
        <v>4</v>
      </c>
      <c r="P1253" s="18" t="s">
        <v>6223</v>
      </c>
      <c r="Q1253" s="18" t="s">
        <v>6250</v>
      </c>
      <c r="R1253" s="18" t="s">
        <v>6251</v>
      </c>
      <c r="S1253" s="17" t="s">
        <v>6208</v>
      </c>
      <c r="T1253" s="18" t="s">
        <v>6252</v>
      </c>
      <c r="U1253" s="19"/>
      <c r="V1253" s="18" t="s">
        <v>6253</v>
      </c>
      <c r="W1253" s="17" t="s">
        <v>5511</v>
      </c>
      <c r="X1253" s="17" t="s">
        <v>6095</v>
      </c>
      <c r="Y1253" s="17" t="s">
        <v>242</v>
      </c>
      <c r="Z1253" s="19"/>
      <c r="AA1253" s="19"/>
      <c r="AB1253" s="17"/>
      <c r="AC1253" s="19"/>
    </row>
    <row r="1254" customFormat="false" ht="15" hidden="false" customHeight="false" outlineLevel="0" collapsed="false">
      <c r="A1254" s="10" t="s">
        <v>6254</v>
      </c>
      <c r="B1254" s="17" t="s">
        <v>127</v>
      </c>
      <c r="C1254" s="18" t="s">
        <v>128</v>
      </c>
      <c r="D1254" s="17" t="s">
        <v>19</v>
      </c>
      <c r="E1254" s="17" t="s">
        <v>229</v>
      </c>
      <c r="F1254" s="17" t="s">
        <v>5996</v>
      </c>
      <c r="G1254" s="17" t="s">
        <v>199</v>
      </c>
      <c r="H1254" s="17" t="s">
        <v>34</v>
      </c>
      <c r="I1254" s="17" t="s">
        <v>289</v>
      </c>
      <c r="J1254" s="17" t="s">
        <v>233</v>
      </c>
      <c r="K1254" s="19"/>
      <c r="L1254" s="19"/>
      <c r="M1254" s="19"/>
      <c r="N1254" s="19"/>
      <c r="O1254" s="17" t="n">
        <v>4</v>
      </c>
      <c r="P1254" s="18" t="s">
        <v>6223</v>
      </c>
      <c r="Q1254" s="18" t="s">
        <v>6250</v>
      </c>
      <c r="R1254" s="18" t="s">
        <v>6255</v>
      </c>
      <c r="S1254" s="17" t="s">
        <v>6174</v>
      </c>
      <c r="T1254" s="18" t="s">
        <v>6256</v>
      </c>
      <c r="U1254" s="19"/>
      <c r="V1254" s="18" t="s">
        <v>6257</v>
      </c>
      <c r="W1254" s="17" t="s">
        <v>383</v>
      </c>
      <c r="X1254" s="17" t="s">
        <v>6111</v>
      </c>
      <c r="Y1254" s="17" t="s">
        <v>242</v>
      </c>
      <c r="Z1254" s="19"/>
      <c r="AA1254" s="19"/>
      <c r="AB1254" s="17"/>
      <c r="AC1254" s="19"/>
    </row>
    <row r="1255" customFormat="false" ht="22.35" hidden="false" customHeight="false" outlineLevel="0" collapsed="false">
      <c r="A1255" s="10" t="s">
        <v>6258</v>
      </c>
      <c r="B1255" s="17" t="s">
        <v>127</v>
      </c>
      <c r="C1255" s="18" t="s">
        <v>128</v>
      </c>
      <c r="D1255" s="17" t="s">
        <v>19</v>
      </c>
      <c r="E1255" s="17" t="s">
        <v>229</v>
      </c>
      <c r="F1255" s="17" t="s">
        <v>5996</v>
      </c>
      <c r="G1255" s="17" t="s">
        <v>199</v>
      </c>
      <c r="H1255" s="17" t="s">
        <v>34</v>
      </c>
      <c r="I1255" s="17" t="s">
        <v>1028</v>
      </c>
      <c r="J1255" s="17" t="s">
        <v>233</v>
      </c>
      <c r="K1255" s="19"/>
      <c r="L1255" s="19"/>
      <c r="M1255" s="19"/>
      <c r="N1255" s="19"/>
      <c r="O1255" s="17" t="n">
        <v>4</v>
      </c>
      <c r="P1255" s="18" t="s">
        <v>6223</v>
      </c>
      <c r="Q1255" s="18" t="s">
        <v>6250</v>
      </c>
      <c r="R1255" s="18" t="s">
        <v>6259</v>
      </c>
      <c r="S1255" s="17" t="s">
        <v>6260</v>
      </c>
      <c r="T1255" s="18" t="s">
        <v>6261</v>
      </c>
      <c r="U1255" s="19"/>
      <c r="V1255" s="18" t="s">
        <v>6262</v>
      </c>
      <c r="W1255" s="17" t="s">
        <v>5511</v>
      </c>
      <c r="X1255" s="17" t="s">
        <v>6263</v>
      </c>
      <c r="Y1255" s="17" t="s">
        <v>242</v>
      </c>
      <c r="Z1255" s="19"/>
      <c r="AA1255" s="19"/>
      <c r="AB1255" s="17"/>
      <c r="AC1255" s="19"/>
    </row>
    <row r="1256" customFormat="false" ht="22.35" hidden="false" customHeight="false" outlineLevel="0" collapsed="false">
      <c r="A1256" s="10" t="s">
        <v>6264</v>
      </c>
      <c r="B1256" s="17" t="s">
        <v>127</v>
      </c>
      <c r="C1256" s="18" t="s">
        <v>128</v>
      </c>
      <c r="D1256" s="17" t="s">
        <v>19</v>
      </c>
      <c r="E1256" s="17" t="s">
        <v>75</v>
      </c>
      <c r="F1256" s="17" t="s">
        <v>5996</v>
      </c>
      <c r="G1256" s="17" t="s">
        <v>199</v>
      </c>
      <c r="H1256" s="17" t="s">
        <v>34</v>
      </c>
      <c r="I1256" s="17" t="s">
        <v>369</v>
      </c>
      <c r="J1256" s="17" t="s">
        <v>233</v>
      </c>
      <c r="K1256" s="19"/>
      <c r="L1256" s="19"/>
      <c r="M1256" s="19"/>
      <c r="N1256" s="19"/>
      <c r="O1256" s="17" t="n">
        <v>4</v>
      </c>
      <c r="P1256" s="18" t="s">
        <v>6223</v>
      </c>
      <c r="Q1256" s="18" t="s">
        <v>6250</v>
      </c>
      <c r="R1256" s="18" t="s">
        <v>6265</v>
      </c>
      <c r="S1256" s="17" t="s">
        <v>6258</v>
      </c>
      <c r="T1256" s="18" t="s">
        <v>6266</v>
      </c>
      <c r="U1256" s="19"/>
      <c r="V1256" s="18" t="s">
        <v>6267</v>
      </c>
      <c r="W1256" s="17" t="s">
        <v>5511</v>
      </c>
      <c r="X1256" s="17" t="s">
        <v>6125</v>
      </c>
      <c r="Y1256" s="17" t="s">
        <v>242</v>
      </c>
      <c r="Z1256" s="19"/>
      <c r="AA1256" s="19"/>
      <c r="AB1256" s="17"/>
      <c r="AC1256" s="19"/>
    </row>
    <row r="1257" customFormat="false" ht="22.35" hidden="false" customHeight="false" outlineLevel="0" collapsed="false">
      <c r="A1257" s="10" t="s">
        <v>6268</v>
      </c>
      <c r="B1257" s="17" t="s">
        <v>127</v>
      </c>
      <c r="C1257" s="18" t="s">
        <v>128</v>
      </c>
      <c r="D1257" s="17" t="s">
        <v>19</v>
      </c>
      <c r="E1257" s="17" t="s">
        <v>75</v>
      </c>
      <c r="F1257" s="17" t="s">
        <v>5996</v>
      </c>
      <c r="G1257" s="17" t="s">
        <v>199</v>
      </c>
      <c r="H1257" s="17" t="s">
        <v>34</v>
      </c>
      <c r="I1257" s="17" t="s">
        <v>283</v>
      </c>
      <c r="J1257" s="17" t="s">
        <v>233</v>
      </c>
      <c r="K1257" s="19"/>
      <c r="L1257" s="19"/>
      <c r="M1257" s="19"/>
      <c r="N1257" s="19"/>
      <c r="O1257" s="17" t="n">
        <v>4</v>
      </c>
      <c r="P1257" s="18" t="s">
        <v>6223</v>
      </c>
      <c r="Q1257" s="18" t="s">
        <v>6250</v>
      </c>
      <c r="R1257" s="18" t="s">
        <v>6269</v>
      </c>
      <c r="S1257" s="17" t="s">
        <v>6270</v>
      </c>
      <c r="T1257" s="18" t="s">
        <v>6037</v>
      </c>
      <c r="U1257" s="19"/>
      <c r="V1257" s="18" t="s">
        <v>6038</v>
      </c>
      <c r="W1257" s="17" t="s">
        <v>5511</v>
      </c>
      <c r="X1257" s="17" t="s">
        <v>6039</v>
      </c>
      <c r="Y1257" s="17" t="s">
        <v>242</v>
      </c>
      <c r="Z1257" s="19"/>
      <c r="AA1257" s="19"/>
      <c r="AB1257" s="17"/>
      <c r="AC1257" s="19"/>
    </row>
    <row r="1258" customFormat="false" ht="32.8" hidden="false" customHeight="false" outlineLevel="0" collapsed="false">
      <c r="A1258" s="10" t="s">
        <v>6271</v>
      </c>
      <c r="B1258" s="17" t="s">
        <v>132</v>
      </c>
      <c r="C1258" s="18" t="s">
        <v>133</v>
      </c>
      <c r="D1258" s="17" t="s">
        <v>19</v>
      </c>
      <c r="E1258" s="17" t="s">
        <v>229</v>
      </c>
      <c r="F1258" s="17" t="s">
        <v>5996</v>
      </c>
      <c r="G1258" s="17" t="s">
        <v>134</v>
      </c>
      <c r="H1258" s="17" t="s">
        <v>34</v>
      </c>
      <c r="I1258" s="17" t="s">
        <v>1028</v>
      </c>
      <c r="J1258" s="17" t="s">
        <v>233</v>
      </c>
      <c r="K1258" s="19"/>
      <c r="L1258" s="19"/>
      <c r="M1258" s="19"/>
      <c r="N1258" s="19"/>
      <c r="O1258" s="17" t="n">
        <v>5</v>
      </c>
      <c r="P1258" s="18" t="s">
        <v>6272</v>
      </c>
      <c r="Q1258" s="18" t="s">
        <v>6273</v>
      </c>
      <c r="R1258" s="18" t="s">
        <v>6274</v>
      </c>
      <c r="S1258" s="17" t="s">
        <v>6258</v>
      </c>
      <c r="T1258" s="18" t="s">
        <v>6275</v>
      </c>
      <c r="U1258" s="19"/>
      <c r="V1258" s="18" t="s">
        <v>6276</v>
      </c>
      <c r="W1258" s="17" t="s">
        <v>5511</v>
      </c>
      <c r="X1258" s="17" t="s">
        <v>6277</v>
      </c>
      <c r="Y1258" s="17" t="s">
        <v>242</v>
      </c>
      <c r="Z1258" s="19"/>
      <c r="AA1258" s="19"/>
      <c r="AB1258" s="17"/>
      <c r="AC1258" s="19"/>
    </row>
    <row r="1259" customFormat="false" ht="22.35" hidden="false" customHeight="false" outlineLevel="0" collapsed="false">
      <c r="A1259" s="10" t="s">
        <v>6278</v>
      </c>
      <c r="B1259" s="17" t="s">
        <v>132</v>
      </c>
      <c r="C1259" s="18" t="s">
        <v>133</v>
      </c>
      <c r="D1259" s="17" t="s">
        <v>19</v>
      </c>
      <c r="E1259" s="17" t="s">
        <v>75</v>
      </c>
      <c r="F1259" s="17" t="s">
        <v>5996</v>
      </c>
      <c r="G1259" s="17" t="s">
        <v>134</v>
      </c>
      <c r="H1259" s="17" t="s">
        <v>34</v>
      </c>
      <c r="I1259" s="17" t="s">
        <v>5507</v>
      </c>
      <c r="J1259" s="17" t="s">
        <v>233</v>
      </c>
      <c r="K1259" s="19"/>
      <c r="L1259" s="19"/>
      <c r="M1259" s="19"/>
      <c r="N1259" s="19"/>
      <c r="O1259" s="17" t="n">
        <v>5</v>
      </c>
      <c r="P1259" s="18" t="s">
        <v>6272</v>
      </c>
      <c r="Q1259" s="18" t="s">
        <v>6273</v>
      </c>
      <c r="R1259" s="18" t="s">
        <v>6279</v>
      </c>
      <c r="S1259" s="17" t="s">
        <v>6271</v>
      </c>
      <c r="T1259" s="18" t="s">
        <v>6280</v>
      </c>
      <c r="U1259" s="19"/>
      <c r="V1259" s="18" t="s">
        <v>6281</v>
      </c>
      <c r="W1259" s="17" t="s">
        <v>5511</v>
      </c>
      <c r="X1259" s="17" t="s">
        <v>6150</v>
      </c>
      <c r="Y1259" s="17" t="s">
        <v>242</v>
      </c>
      <c r="Z1259" s="19"/>
      <c r="AA1259" s="19"/>
      <c r="AB1259" s="17"/>
      <c r="AC1259" s="19"/>
    </row>
    <row r="1260" customFormat="false" ht="22.35" hidden="false" customHeight="false" outlineLevel="0" collapsed="false">
      <c r="A1260" s="10" t="s">
        <v>6282</v>
      </c>
      <c r="B1260" s="17" t="s">
        <v>132</v>
      </c>
      <c r="C1260" s="18" t="s">
        <v>133</v>
      </c>
      <c r="D1260" s="17" t="s">
        <v>19</v>
      </c>
      <c r="E1260" s="17" t="s">
        <v>75</v>
      </c>
      <c r="F1260" s="17" t="s">
        <v>5996</v>
      </c>
      <c r="G1260" s="17" t="s">
        <v>134</v>
      </c>
      <c r="H1260" s="17" t="s">
        <v>34</v>
      </c>
      <c r="I1260" s="17" t="s">
        <v>5507</v>
      </c>
      <c r="J1260" s="17" t="s">
        <v>233</v>
      </c>
      <c r="K1260" s="19"/>
      <c r="L1260" s="19"/>
      <c r="M1260" s="19"/>
      <c r="N1260" s="19"/>
      <c r="O1260" s="17" t="n">
        <v>5</v>
      </c>
      <c r="P1260" s="18" t="s">
        <v>6272</v>
      </c>
      <c r="Q1260" s="18" t="s">
        <v>6273</v>
      </c>
      <c r="R1260" s="18" t="s">
        <v>6283</v>
      </c>
      <c r="S1260" s="17" t="s">
        <v>6278</v>
      </c>
      <c r="T1260" s="18" t="s">
        <v>6185</v>
      </c>
      <c r="U1260" s="19"/>
      <c r="V1260" s="18" t="s">
        <v>6284</v>
      </c>
      <c r="W1260" s="17" t="s">
        <v>5511</v>
      </c>
      <c r="X1260" s="17" t="s">
        <v>6285</v>
      </c>
      <c r="Y1260" s="17" t="s">
        <v>242</v>
      </c>
      <c r="Z1260" s="19"/>
      <c r="AA1260" s="19"/>
      <c r="AB1260" s="17"/>
      <c r="AC1260" s="19"/>
    </row>
    <row r="1261" customFormat="false" ht="22.35" hidden="false" customHeight="false" outlineLevel="0" collapsed="false">
      <c r="A1261" s="10" t="s">
        <v>6286</v>
      </c>
      <c r="B1261" s="17" t="s">
        <v>132</v>
      </c>
      <c r="C1261" s="18" t="s">
        <v>133</v>
      </c>
      <c r="D1261" s="17" t="s">
        <v>19</v>
      </c>
      <c r="E1261" s="17" t="s">
        <v>75</v>
      </c>
      <c r="F1261" s="17" t="s">
        <v>5996</v>
      </c>
      <c r="G1261" s="17" t="s">
        <v>134</v>
      </c>
      <c r="H1261" s="17" t="s">
        <v>34</v>
      </c>
      <c r="I1261" s="17" t="s">
        <v>277</v>
      </c>
      <c r="J1261" s="17" t="s">
        <v>233</v>
      </c>
      <c r="K1261" s="19"/>
      <c r="L1261" s="19"/>
      <c r="M1261" s="19"/>
      <c r="N1261" s="19"/>
      <c r="O1261" s="17" t="n">
        <v>5</v>
      </c>
      <c r="P1261" s="18" t="s">
        <v>6272</v>
      </c>
      <c r="Q1261" s="18" t="s">
        <v>6273</v>
      </c>
      <c r="R1261" s="18" t="s">
        <v>6287</v>
      </c>
      <c r="S1261" s="17" t="s">
        <v>6288</v>
      </c>
      <c r="T1261" s="18" t="s">
        <v>6289</v>
      </c>
      <c r="U1261" s="19"/>
      <c r="V1261" s="18" t="s">
        <v>6290</v>
      </c>
      <c r="W1261" s="17" t="s">
        <v>5511</v>
      </c>
      <c r="X1261" s="17" t="s">
        <v>6291</v>
      </c>
      <c r="Y1261" s="17" t="s">
        <v>242</v>
      </c>
      <c r="Z1261" s="19"/>
      <c r="AA1261" s="19"/>
      <c r="AB1261" s="17"/>
      <c r="AC1261" s="19"/>
    </row>
    <row r="1262" customFormat="false" ht="22.35" hidden="false" customHeight="false" outlineLevel="0" collapsed="false">
      <c r="A1262" s="10" t="s">
        <v>6292</v>
      </c>
      <c r="B1262" s="17" t="s">
        <v>132</v>
      </c>
      <c r="C1262" s="18" t="s">
        <v>133</v>
      </c>
      <c r="D1262" s="17" t="s">
        <v>19</v>
      </c>
      <c r="E1262" s="17" t="s">
        <v>229</v>
      </c>
      <c r="F1262" s="17" t="s">
        <v>5996</v>
      </c>
      <c r="G1262" s="17" t="s">
        <v>134</v>
      </c>
      <c r="H1262" s="17" t="s">
        <v>34</v>
      </c>
      <c r="I1262" s="17" t="s">
        <v>1028</v>
      </c>
      <c r="J1262" s="17" t="s">
        <v>233</v>
      </c>
      <c r="K1262" s="19"/>
      <c r="L1262" s="19"/>
      <c r="M1262" s="19"/>
      <c r="N1262" s="19"/>
      <c r="O1262" s="17" t="n">
        <v>5</v>
      </c>
      <c r="P1262" s="18" t="s">
        <v>6272</v>
      </c>
      <c r="Q1262" s="18" t="s">
        <v>6293</v>
      </c>
      <c r="R1262" s="18" t="s">
        <v>6294</v>
      </c>
      <c r="S1262" s="17" t="s">
        <v>6271</v>
      </c>
      <c r="T1262" s="18" t="s">
        <v>6295</v>
      </c>
      <c r="U1262" s="19"/>
      <c r="V1262" s="18" t="s">
        <v>6296</v>
      </c>
      <c r="W1262" s="17" t="s">
        <v>5511</v>
      </c>
      <c r="X1262" s="17" t="s">
        <v>6297</v>
      </c>
      <c r="Y1262" s="17" t="s">
        <v>242</v>
      </c>
      <c r="Z1262" s="19"/>
      <c r="AA1262" s="19"/>
      <c r="AB1262" s="17"/>
      <c r="AC1262" s="19"/>
    </row>
    <row r="1263" customFormat="false" ht="22.35" hidden="false" customHeight="false" outlineLevel="0" collapsed="false">
      <c r="A1263" s="10" t="s">
        <v>6298</v>
      </c>
      <c r="B1263" s="17" t="s">
        <v>132</v>
      </c>
      <c r="C1263" s="18" t="s">
        <v>133</v>
      </c>
      <c r="D1263" s="17" t="s">
        <v>19</v>
      </c>
      <c r="E1263" s="17" t="s">
        <v>229</v>
      </c>
      <c r="F1263" s="17" t="s">
        <v>5996</v>
      </c>
      <c r="G1263" s="17" t="s">
        <v>134</v>
      </c>
      <c r="H1263" s="17" t="s">
        <v>34</v>
      </c>
      <c r="I1263" s="17" t="s">
        <v>289</v>
      </c>
      <c r="J1263" s="17" t="s">
        <v>233</v>
      </c>
      <c r="K1263" s="19"/>
      <c r="L1263" s="19"/>
      <c r="M1263" s="19"/>
      <c r="N1263" s="19"/>
      <c r="O1263" s="17" t="n">
        <v>5</v>
      </c>
      <c r="P1263" s="18" t="s">
        <v>6272</v>
      </c>
      <c r="Q1263" s="18" t="s">
        <v>6293</v>
      </c>
      <c r="R1263" s="18" t="s">
        <v>6299</v>
      </c>
      <c r="S1263" s="17" t="s">
        <v>6300</v>
      </c>
      <c r="T1263" s="18" t="s">
        <v>6301</v>
      </c>
      <c r="U1263" s="19"/>
      <c r="V1263" s="18" t="s">
        <v>6302</v>
      </c>
      <c r="W1263" s="17" t="s">
        <v>5511</v>
      </c>
      <c r="X1263" s="17" t="s">
        <v>6303</v>
      </c>
      <c r="Y1263" s="17" t="s">
        <v>242</v>
      </c>
      <c r="Z1263" s="19"/>
      <c r="AA1263" s="19"/>
      <c r="AB1263" s="17"/>
      <c r="AC1263" s="19"/>
    </row>
    <row r="1264" customFormat="false" ht="32.8" hidden="false" customHeight="false" outlineLevel="0" collapsed="false">
      <c r="A1264" s="10" t="s">
        <v>6304</v>
      </c>
      <c r="B1264" s="17" t="s">
        <v>132</v>
      </c>
      <c r="C1264" s="18" t="s">
        <v>133</v>
      </c>
      <c r="D1264" s="17" t="s">
        <v>19</v>
      </c>
      <c r="E1264" s="17" t="s">
        <v>229</v>
      </c>
      <c r="F1264" s="17" t="s">
        <v>5996</v>
      </c>
      <c r="G1264" s="17" t="s">
        <v>134</v>
      </c>
      <c r="H1264" s="17" t="s">
        <v>34</v>
      </c>
      <c r="I1264" s="17" t="s">
        <v>277</v>
      </c>
      <c r="J1264" s="17" t="s">
        <v>233</v>
      </c>
      <c r="K1264" s="19"/>
      <c r="L1264" s="19"/>
      <c r="M1264" s="19"/>
      <c r="N1264" s="19"/>
      <c r="O1264" s="17" t="n">
        <v>5</v>
      </c>
      <c r="P1264" s="18" t="s">
        <v>6272</v>
      </c>
      <c r="Q1264" s="18" t="s">
        <v>6293</v>
      </c>
      <c r="R1264" s="18" t="s">
        <v>6305</v>
      </c>
      <c r="S1264" s="17" t="s">
        <v>6306</v>
      </c>
      <c r="T1264" s="18" t="s">
        <v>3818</v>
      </c>
      <c r="U1264" s="19"/>
      <c r="V1264" s="18" t="s">
        <v>6307</v>
      </c>
      <c r="W1264" s="17" t="s">
        <v>5511</v>
      </c>
      <c r="X1264" s="17" t="s">
        <v>6308</v>
      </c>
      <c r="Y1264" s="17" t="s">
        <v>242</v>
      </c>
      <c r="Z1264" s="19"/>
      <c r="AA1264" s="19"/>
      <c r="AB1264" s="17"/>
      <c r="AC1264" s="19"/>
    </row>
    <row r="1265" customFormat="false" ht="32.8" hidden="false" customHeight="false" outlineLevel="0" collapsed="false">
      <c r="A1265" s="10" t="s">
        <v>6309</v>
      </c>
      <c r="B1265" s="17" t="s">
        <v>132</v>
      </c>
      <c r="C1265" s="18" t="s">
        <v>133</v>
      </c>
      <c r="D1265" s="17" t="s">
        <v>19</v>
      </c>
      <c r="E1265" s="17" t="s">
        <v>229</v>
      </c>
      <c r="F1265" s="17" t="s">
        <v>5996</v>
      </c>
      <c r="G1265" s="17" t="s">
        <v>134</v>
      </c>
      <c r="H1265" s="17" t="s">
        <v>34</v>
      </c>
      <c r="I1265" s="17" t="s">
        <v>450</v>
      </c>
      <c r="J1265" s="17" t="s">
        <v>233</v>
      </c>
      <c r="K1265" s="19"/>
      <c r="L1265" s="19"/>
      <c r="M1265" s="19"/>
      <c r="N1265" s="19"/>
      <c r="O1265" s="17" t="n">
        <v>5</v>
      </c>
      <c r="P1265" s="18" t="s">
        <v>6272</v>
      </c>
      <c r="Q1265" s="18" t="s">
        <v>6293</v>
      </c>
      <c r="R1265" s="18" t="s">
        <v>6310</v>
      </c>
      <c r="S1265" s="17" t="s">
        <v>6311</v>
      </c>
      <c r="T1265" s="18" t="s">
        <v>6312</v>
      </c>
      <c r="U1265" s="19"/>
      <c r="V1265" s="18" t="s">
        <v>6313</v>
      </c>
      <c r="W1265" s="17" t="s">
        <v>5511</v>
      </c>
      <c r="X1265" s="17" t="s">
        <v>6314</v>
      </c>
      <c r="Y1265" s="17" t="s">
        <v>242</v>
      </c>
      <c r="Z1265" s="19"/>
      <c r="AA1265" s="19"/>
      <c r="AB1265" s="17"/>
      <c r="AC1265" s="19"/>
    </row>
    <row r="1266" customFormat="false" ht="22.35" hidden="false" customHeight="false" outlineLevel="0" collapsed="false">
      <c r="A1266" s="10" t="s">
        <v>6315</v>
      </c>
      <c r="B1266" s="17" t="s">
        <v>132</v>
      </c>
      <c r="C1266" s="18" t="s">
        <v>133</v>
      </c>
      <c r="D1266" s="17" t="s">
        <v>19</v>
      </c>
      <c r="E1266" s="17" t="s">
        <v>229</v>
      </c>
      <c r="F1266" s="17" t="s">
        <v>5996</v>
      </c>
      <c r="G1266" s="17" t="s">
        <v>134</v>
      </c>
      <c r="H1266" s="17" t="s">
        <v>34</v>
      </c>
      <c r="I1266" s="17" t="s">
        <v>289</v>
      </c>
      <c r="J1266" s="17" t="s">
        <v>233</v>
      </c>
      <c r="K1266" s="19"/>
      <c r="L1266" s="19"/>
      <c r="M1266" s="19"/>
      <c r="N1266" s="19"/>
      <c r="O1266" s="17" t="n">
        <v>5</v>
      </c>
      <c r="P1266" s="18" t="s">
        <v>6272</v>
      </c>
      <c r="Q1266" s="18" t="s">
        <v>6293</v>
      </c>
      <c r="R1266" s="18" t="s">
        <v>6316</v>
      </c>
      <c r="S1266" s="17" t="s">
        <v>6282</v>
      </c>
      <c r="T1266" s="18" t="s">
        <v>6256</v>
      </c>
      <c r="U1266" s="19"/>
      <c r="V1266" s="18" t="s">
        <v>6257</v>
      </c>
      <c r="W1266" s="17" t="s">
        <v>383</v>
      </c>
      <c r="X1266" s="17" t="s">
        <v>378</v>
      </c>
      <c r="Y1266" s="17" t="s">
        <v>242</v>
      </c>
      <c r="Z1266" s="19"/>
      <c r="AA1266" s="19"/>
      <c r="AB1266" s="17"/>
      <c r="AC1266" s="19"/>
    </row>
    <row r="1267" customFormat="false" ht="22.35" hidden="false" customHeight="false" outlineLevel="0" collapsed="false">
      <c r="A1267" s="10" t="s">
        <v>6317</v>
      </c>
      <c r="B1267" s="17" t="s">
        <v>132</v>
      </c>
      <c r="C1267" s="18" t="s">
        <v>133</v>
      </c>
      <c r="D1267" s="17" t="s">
        <v>19</v>
      </c>
      <c r="E1267" s="17" t="s">
        <v>75</v>
      </c>
      <c r="F1267" s="17" t="s">
        <v>5996</v>
      </c>
      <c r="G1267" s="17" t="s">
        <v>134</v>
      </c>
      <c r="H1267" s="17" t="s">
        <v>34</v>
      </c>
      <c r="I1267" s="17" t="s">
        <v>369</v>
      </c>
      <c r="J1267" s="17" t="s">
        <v>233</v>
      </c>
      <c r="K1267" s="19"/>
      <c r="L1267" s="19"/>
      <c r="M1267" s="19"/>
      <c r="N1267" s="19"/>
      <c r="O1267" s="17" t="n">
        <v>5</v>
      </c>
      <c r="P1267" s="18" t="s">
        <v>6272</v>
      </c>
      <c r="Q1267" s="18" t="s">
        <v>6293</v>
      </c>
      <c r="R1267" s="18" t="s">
        <v>6318</v>
      </c>
      <c r="S1267" s="17" t="s">
        <v>6286</v>
      </c>
      <c r="T1267" s="18" t="s">
        <v>6319</v>
      </c>
      <c r="U1267" s="19"/>
      <c r="V1267" s="18" t="s">
        <v>6320</v>
      </c>
      <c r="W1267" s="17" t="s">
        <v>5511</v>
      </c>
      <c r="X1267" s="17" t="s">
        <v>6125</v>
      </c>
      <c r="Y1267" s="17" t="s">
        <v>242</v>
      </c>
      <c r="Z1267" s="19"/>
      <c r="AA1267" s="19"/>
      <c r="AB1267" s="17"/>
      <c r="AC1267" s="19"/>
    </row>
    <row r="1268" customFormat="false" ht="22.35" hidden="false" customHeight="false" outlineLevel="0" collapsed="false">
      <c r="A1268" s="10" t="s">
        <v>6321</v>
      </c>
      <c r="B1268" s="17" t="s">
        <v>132</v>
      </c>
      <c r="C1268" s="18" t="s">
        <v>133</v>
      </c>
      <c r="D1268" s="17" t="s">
        <v>19</v>
      </c>
      <c r="E1268" s="17" t="s">
        <v>75</v>
      </c>
      <c r="F1268" s="17" t="s">
        <v>5996</v>
      </c>
      <c r="G1268" s="17" t="s">
        <v>134</v>
      </c>
      <c r="H1268" s="17" t="s">
        <v>34</v>
      </c>
      <c r="I1268" s="17" t="s">
        <v>283</v>
      </c>
      <c r="J1268" s="17" t="s">
        <v>233</v>
      </c>
      <c r="K1268" s="19"/>
      <c r="L1268" s="19"/>
      <c r="M1268" s="19"/>
      <c r="N1268" s="19"/>
      <c r="O1268" s="17" t="n">
        <v>5</v>
      </c>
      <c r="P1268" s="18" t="s">
        <v>6272</v>
      </c>
      <c r="Q1268" s="18" t="s">
        <v>6293</v>
      </c>
      <c r="R1268" s="18" t="s">
        <v>6322</v>
      </c>
      <c r="S1268" s="17" t="s">
        <v>6323</v>
      </c>
      <c r="T1268" s="18" t="s">
        <v>6037</v>
      </c>
      <c r="U1268" s="19"/>
      <c r="V1268" s="18" t="s">
        <v>6038</v>
      </c>
      <c r="W1268" s="17" t="s">
        <v>5511</v>
      </c>
      <c r="X1268" s="17" t="s">
        <v>6039</v>
      </c>
      <c r="Y1268" s="17" t="s">
        <v>242</v>
      </c>
      <c r="Z1268" s="19"/>
      <c r="AA1268" s="19"/>
      <c r="AB1268" s="17"/>
      <c r="AC1268" s="19"/>
    </row>
    <row r="1269" customFormat="false" ht="22.35" hidden="false" customHeight="false" outlineLevel="0" collapsed="false">
      <c r="A1269" s="10" t="s">
        <v>6324</v>
      </c>
      <c r="B1269" s="17" t="s">
        <v>137</v>
      </c>
      <c r="C1269" s="18" t="s">
        <v>138</v>
      </c>
      <c r="D1269" s="17" t="s">
        <v>19</v>
      </c>
      <c r="E1269" s="17" t="s">
        <v>229</v>
      </c>
      <c r="F1269" s="17" t="s">
        <v>5996</v>
      </c>
      <c r="G1269" s="17" t="s">
        <v>139</v>
      </c>
      <c r="H1269" s="17" t="s">
        <v>34</v>
      </c>
      <c r="I1269" s="17" t="s">
        <v>1413</v>
      </c>
      <c r="J1269" s="17" t="s">
        <v>233</v>
      </c>
      <c r="K1269" s="19"/>
      <c r="L1269" s="19"/>
      <c r="M1269" s="19"/>
      <c r="N1269" s="19"/>
      <c r="O1269" s="17" t="n">
        <v>0</v>
      </c>
      <c r="P1269" s="18" t="s">
        <v>6325</v>
      </c>
      <c r="Q1269" s="18" t="s">
        <v>6326</v>
      </c>
      <c r="R1269" s="18" t="s">
        <v>6327</v>
      </c>
      <c r="S1269" s="17" t="s">
        <v>237</v>
      </c>
      <c r="T1269" s="18" t="s">
        <v>6328</v>
      </c>
      <c r="U1269" s="19"/>
      <c r="V1269" s="18" t="s">
        <v>6329</v>
      </c>
      <c r="W1269" s="17" t="s">
        <v>240</v>
      </c>
      <c r="X1269" s="17" t="s">
        <v>6330</v>
      </c>
      <c r="Y1269" s="17" t="s">
        <v>242</v>
      </c>
      <c r="Z1269" s="19"/>
      <c r="AA1269" s="19"/>
      <c r="AB1269" s="17"/>
      <c r="AC1269" s="19"/>
    </row>
    <row r="1270" customFormat="false" ht="22.35" hidden="false" customHeight="false" outlineLevel="0" collapsed="false">
      <c r="A1270" s="10" t="s">
        <v>6331</v>
      </c>
      <c r="B1270" s="17" t="s">
        <v>137</v>
      </c>
      <c r="C1270" s="18" t="s">
        <v>138</v>
      </c>
      <c r="D1270" s="17" t="s">
        <v>19</v>
      </c>
      <c r="E1270" s="17" t="s">
        <v>229</v>
      </c>
      <c r="F1270" s="17" t="s">
        <v>5996</v>
      </c>
      <c r="G1270" s="17" t="s">
        <v>139</v>
      </c>
      <c r="H1270" s="17" t="s">
        <v>34</v>
      </c>
      <c r="I1270" s="17" t="s">
        <v>1413</v>
      </c>
      <c r="J1270" s="17" t="s">
        <v>233</v>
      </c>
      <c r="K1270" s="19"/>
      <c r="L1270" s="19"/>
      <c r="M1270" s="19"/>
      <c r="N1270" s="19"/>
      <c r="O1270" s="17" t="n">
        <v>0</v>
      </c>
      <c r="P1270" s="18" t="s">
        <v>6325</v>
      </c>
      <c r="Q1270" s="18" t="s">
        <v>6326</v>
      </c>
      <c r="R1270" s="18" t="s">
        <v>6332</v>
      </c>
      <c r="S1270" s="17" t="s">
        <v>6324</v>
      </c>
      <c r="T1270" s="18" t="s">
        <v>6333</v>
      </c>
      <c r="U1270" s="19"/>
      <c r="V1270" s="18" t="s">
        <v>6334</v>
      </c>
      <c r="W1270" s="17" t="s">
        <v>240</v>
      </c>
      <c r="X1270" s="17" t="s">
        <v>6335</v>
      </c>
      <c r="Y1270" s="17" t="s">
        <v>242</v>
      </c>
      <c r="Z1270" s="19"/>
      <c r="AA1270" s="19"/>
      <c r="AB1270" s="17"/>
      <c r="AC1270" s="19"/>
    </row>
    <row r="1271" customFormat="false" ht="32.8" hidden="false" customHeight="false" outlineLevel="0" collapsed="false">
      <c r="A1271" s="10" t="s">
        <v>6336</v>
      </c>
      <c r="B1271" s="17" t="s">
        <v>137</v>
      </c>
      <c r="C1271" s="18" t="s">
        <v>138</v>
      </c>
      <c r="D1271" s="17" t="s">
        <v>19</v>
      </c>
      <c r="E1271" s="17" t="s">
        <v>229</v>
      </c>
      <c r="F1271" s="17" t="s">
        <v>5996</v>
      </c>
      <c r="G1271" s="17" t="s">
        <v>139</v>
      </c>
      <c r="H1271" s="17" t="s">
        <v>34</v>
      </c>
      <c r="I1271" s="17" t="s">
        <v>232</v>
      </c>
      <c r="J1271" s="17" t="s">
        <v>233</v>
      </c>
      <c r="K1271" s="19"/>
      <c r="L1271" s="19"/>
      <c r="M1271" s="19"/>
      <c r="N1271" s="19"/>
      <c r="O1271" s="17" t="n">
        <v>0</v>
      </c>
      <c r="P1271" s="18" t="s">
        <v>6325</v>
      </c>
      <c r="Q1271" s="18" t="s">
        <v>6326</v>
      </c>
      <c r="R1271" s="18" t="s">
        <v>6337</v>
      </c>
      <c r="S1271" s="17" t="s">
        <v>443</v>
      </c>
      <c r="T1271" s="18" t="s">
        <v>6338</v>
      </c>
      <c r="U1271" s="19"/>
      <c r="V1271" s="18" t="s">
        <v>6339</v>
      </c>
      <c r="W1271" s="17" t="s">
        <v>240</v>
      </c>
      <c r="X1271" s="17" t="s">
        <v>6340</v>
      </c>
      <c r="Y1271" s="17" t="s">
        <v>242</v>
      </c>
      <c r="Z1271" s="19"/>
      <c r="AA1271" s="19"/>
      <c r="AB1271" s="17"/>
      <c r="AC1271" s="19"/>
    </row>
    <row r="1272" customFormat="false" ht="22.35" hidden="false" customHeight="false" outlineLevel="0" collapsed="false">
      <c r="A1272" s="10" t="s">
        <v>6341</v>
      </c>
      <c r="B1272" s="17" t="s">
        <v>137</v>
      </c>
      <c r="C1272" s="18" t="s">
        <v>138</v>
      </c>
      <c r="D1272" s="17" t="s">
        <v>19</v>
      </c>
      <c r="E1272" s="17" t="s">
        <v>229</v>
      </c>
      <c r="F1272" s="17" t="s">
        <v>5996</v>
      </c>
      <c r="G1272" s="17" t="s">
        <v>139</v>
      </c>
      <c r="H1272" s="17" t="s">
        <v>34</v>
      </c>
      <c r="I1272" s="17" t="s">
        <v>450</v>
      </c>
      <c r="J1272" s="17" t="s">
        <v>233</v>
      </c>
      <c r="K1272" s="19"/>
      <c r="L1272" s="19"/>
      <c r="M1272" s="19"/>
      <c r="N1272" s="19"/>
      <c r="O1272" s="17" t="n">
        <v>0</v>
      </c>
      <c r="P1272" s="18" t="s">
        <v>6325</v>
      </c>
      <c r="Q1272" s="18" t="s">
        <v>6326</v>
      </c>
      <c r="R1272" s="18" t="s">
        <v>6342</v>
      </c>
      <c r="S1272" s="17" t="s">
        <v>581</v>
      </c>
      <c r="T1272" s="18" t="s">
        <v>6343</v>
      </c>
      <c r="U1272" s="19"/>
      <c r="V1272" s="18" t="s">
        <v>6344</v>
      </c>
      <c r="W1272" s="17" t="s">
        <v>240</v>
      </c>
      <c r="X1272" s="17" t="s">
        <v>6345</v>
      </c>
      <c r="Y1272" s="17" t="s">
        <v>242</v>
      </c>
      <c r="Z1272" s="19"/>
      <c r="AA1272" s="19"/>
      <c r="AB1272" s="17"/>
      <c r="AC1272" s="19"/>
    </row>
    <row r="1273" customFormat="false" ht="32.8" hidden="false" customHeight="false" outlineLevel="0" collapsed="false">
      <c r="A1273" s="10" t="s">
        <v>6346</v>
      </c>
      <c r="B1273" s="17" t="s">
        <v>137</v>
      </c>
      <c r="C1273" s="18" t="s">
        <v>138</v>
      </c>
      <c r="D1273" s="17" t="s">
        <v>19</v>
      </c>
      <c r="E1273" s="17" t="s">
        <v>229</v>
      </c>
      <c r="F1273" s="17" t="s">
        <v>5996</v>
      </c>
      <c r="G1273" s="17" t="s">
        <v>139</v>
      </c>
      <c r="H1273" s="17" t="s">
        <v>34</v>
      </c>
      <c r="I1273" s="17" t="s">
        <v>1786</v>
      </c>
      <c r="J1273" s="17" t="s">
        <v>233</v>
      </c>
      <c r="K1273" s="19"/>
      <c r="L1273" s="19"/>
      <c r="M1273" s="19"/>
      <c r="N1273" s="19"/>
      <c r="O1273" s="17" t="n">
        <v>0</v>
      </c>
      <c r="P1273" s="18" t="s">
        <v>6325</v>
      </c>
      <c r="Q1273" s="18" t="s">
        <v>6326</v>
      </c>
      <c r="R1273" s="18" t="s">
        <v>6347</v>
      </c>
      <c r="S1273" s="17" t="s">
        <v>6341</v>
      </c>
      <c r="T1273" s="18" t="s">
        <v>6348</v>
      </c>
      <c r="U1273" s="19"/>
      <c r="V1273" s="18" t="s">
        <v>6349</v>
      </c>
      <c r="W1273" s="17" t="s">
        <v>240</v>
      </c>
      <c r="X1273" s="17" t="s">
        <v>6350</v>
      </c>
      <c r="Y1273" s="17" t="s">
        <v>242</v>
      </c>
      <c r="Z1273" s="19"/>
      <c r="AA1273" s="19"/>
      <c r="AB1273" s="17"/>
      <c r="AC1273" s="19"/>
    </row>
    <row r="1274" customFormat="false" ht="22.35" hidden="false" customHeight="false" outlineLevel="0" collapsed="false">
      <c r="A1274" s="10" t="s">
        <v>6351</v>
      </c>
      <c r="B1274" s="17" t="s">
        <v>137</v>
      </c>
      <c r="C1274" s="18" t="s">
        <v>138</v>
      </c>
      <c r="D1274" s="17" t="s">
        <v>19</v>
      </c>
      <c r="E1274" s="17" t="s">
        <v>229</v>
      </c>
      <c r="F1274" s="17" t="s">
        <v>5996</v>
      </c>
      <c r="G1274" s="17" t="s">
        <v>139</v>
      </c>
      <c r="H1274" s="17" t="s">
        <v>34</v>
      </c>
      <c r="I1274" s="17" t="s">
        <v>232</v>
      </c>
      <c r="J1274" s="17" t="s">
        <v>233</v>
      </c>
      <c r="K1274" s="19"/>
      <c r="L1274" s="19"/>
      <c r="M1274" s="19"/>
      <c r="N1274" s="19"/>
      <c r="O1274" s="17" t="n">
        <v>0</v>
      </c>
      <c r="P1274" s="18" t="s">
        <v>6325</v>
      </c>
      <c r="Q1274" s="18" t="s">
        <v>6326</v>
      </c>
      <c r="R1274" s="18" t="s">
        <v>6352</v>
      </c>
      <c r="S1274" s="17" t="s">
        <v>6336</v>
      </c>
      <c r="T1274" s="18" t="s">
        <v>6353</v>
      </c>
      <c r="U1274" s="19"/>
      <c r="V1274" s="18" t="s">
        <v>6354</v>
      </c>
      <c r="W1274" s="17" t="s">
        <v>240</v>
      </c>
      <c r="X1274" s="17" t="s">
        <v>6355</v>
      </c>
      <c r="Y1274" s="17" t="s">
        <v>242</v>
      </c>
      <c r="Z1274" s="19"/>
      <c r="AA1274" s="19"/>
      <c r="AB1274" s="17"/>
      <c r="AC1274" s="19"/>
    </row>
    <row r="1275" customFormat="false" ht="22.35" hidden="false" customHeight="false" outlineLevel="0" collapsed="false">
      <c r="A1275" s="10" t="s">
        <v>6356</v>
      </c>
      <c r="B1275" s="17" t="s">
        <v>137</v>
      </c>
      <c r="C1275" s="18" t="s">
        <v>138</v>
      </c>
      <c r="D1275" s="17" t="s">
        <v>19</v>
      </c>
      <c r="E1275" s="17" t="s">
        <v>229</v>
      </c>
      <c r="F1275" s="17" t="s">
        <v>5996</v>
      </c>
      <c r="G1275" s="17" t="s">
        <v>139</v>
      </c>
      <c r="H1275" s="17" t="s">
        <v>34</v>
      </c>
      <c r="I1275" s="17" t="s">
        <v>333</v>
      </c>
      <c r="J1275" s="17" t="s">
        <v>233</v>
      </c>
      <c r="K1275" s="19"/>
      <c r="L1275" s="19"/>
      <c r="M1275" s="19"/>
      <c r="N1275" s="19"/>
      <c r="O1275" s="17" t="n">
        <v>0</v>
      </c>
      <c r="P1275" s="18" t="s">
        <v>6325</v>
      </c>
      <c r="Q1275" s="18" t="s">
        <v>6326</v>
      </c>
      <c r="R1275" s="18" t="s">
        <v>6357</v>
      </c>
      <c r="S1275" s="17" t="s">
        <v>6336</v>
      </c>
      <c r="T1275" s="18" t="s">
        <v>6358</v>
      </c>
      <c r="U1275" s="19"/>
      <c r="V1275" s="18" t="s">
        <v>6359</v>
      </c>
      <c r="W1275" s="17" t="s">
        <v>240</v>
      </c>
      <c r="X1275" s="17" t="s">
        <v>6360</v>
      </c>
      <c r="Y1275" s="17" t="s">
        <v>242</v>
      </c>
      <c r="Z1275" s="19"/>
      <c r="AA1275" s="19"/>
      <c r="AB1275" s="17"/>
      <c r="AC1275" s="19"/>
    </row>
    <row r="1276" customFormat="false" ht="22.35" hidden="false" customHeight="false" outlineLevel="0" collapsed="false">
      <c r="A1276" s="10" t="s">
        <v>6361</v>
      </c>
      <c r="B1276" s="17" t="s">
        <v>137</v>
      </c>
      <c r="C1276" s="18" t="s">
        <v>138</v>
      </c>
      <c r="D1276" s="17" t="s">
        <v>19</v>
      </c>
      <c r="E1276" s="17" t="s">
        <v>229</v>
      </c>
      <c r="F1276" s="17" t="s">
        <v>5996</v>
      </c>
      <c r="G1276" s="17" t="s">
        <v>139</v>
      </c>
      <c r="H1276" s="17" t="s">
        <v>34</v>
      </c>
      <c r="I1276" s="17" t="s">
        <v>1028</v>
      </c>
      <c r="J1276" s="17" t="s">
        <v>233</v>
      </c>
      <c r="K1276" s="19"/>
      <c r="L1276" s="19"/>
      <c r="M1276" s="19"/>
      <c r="N1276" s="19"/>
      <c r="O1276" s="17" t="n">
        <v>0</v>
      </c>
      <c r="P1276" s="18" t="s">
        <v>6325</v>
      </c>
      <c r="Q1276" s="18" t="s">
        <v>6326</v>
      </c>
      <c r="R1276" s="18" t="s">
        <v>6362</v>
      </c>
      <c r="S1276" s="17" t="s">
        <v>6363</v>
      </c>
      <c r="T1276" s="18" t="s">
        <v>6364</v>
      </c>
      <c r="U1276" s="19"/>
      <c r="V1276" s="18" t="s">
        <v>6365</v>
      </c>
      <c r="W1276" s="17" t="s">
        <v>240</v>
      </c>
      <c r="X1276" s="17" t="s">
        <v>6366</v>
      </c>
      <c r="Y1276" s="17" t="s">
        <v>242</v>
      </c>
      <c r="Z1276" s="19"/>
      <c r="AA1276" s="19"/>
      <c r="AB1276" s="17" t="s">
        <v>1681</v>
      </c>
      <c r="AC1276" s="19"/>
    </row>
    <row r="1277" customFormat="false" ht="22.35" hidden="false" customHeight="false" outlineLevel="0" collapsed="false">
      <c r="A1277" s="10" t="s">
        <v>6367</v>
      </c>
      <c r="B1277" s="17" t="s">
        <v>137</v>
      </c>
      <c r="C1277" s="18" t="s">
        <v>138</v>
      </c>
      <c r="D1277" s="17" t="s">
        <v>19</v>
      </c>
      <c r="E1277" s="17" t="s">
        <v>229</v>
      </c>
      <c r="F1277" s="17" t="s">
        <v>5996</v>
      </c>
      <c r="G1277" s="17" t="s">
        <v>139</v>
      </c>
      <c r="H1277" s="17" t="s">
        <v>34</v>
      </c>
      <c r="I1277" s="17" t="s">
        <v>283</v>
      </c>
      <c r="J1277" s="17" t="s">
        <v>233</v>
      </c>
      <c r="K1277" s="19"/>
      <c r="L1277" s="19"/>
      <c r="M1277" s="19"/>
      <c r="N1277" s="19"/>
      <c r="O1277" s="17" t="n">
        <v>0</v>
      </c>
      <c r="P1277" s="18" t="s">
        <v>6325</v>
      </c>
      <c r="Q1277" s="18" t="s">
        <v>6326</v>
      </c>
      <c r="R1277" s="18" t="s">
        <v>6368</v>
      </c>
      <c r="S1277" s="17" t="s">
        <v>6369</v>
      </c>
      <c r="T1277" s="18" t="s">
        <v>6037</v>
      </c>
      <c r="U1277" s="19"/>
      <c r="V1277" s="18" t="s">
        <v>6038</v>
      </c>
      <c r="W1277" s="17" t="s">
        <v>240</v>
      </c>
      <c r="X1277" s="17" t="s">
        <v>6039</v>
      </c>
      <c r="Y1277" s="17" t="s">
        <v>242</v>
      </c>
      <c r="Z1277" s="19"/>
      <c r="AA1277" s="19"/>
      <c r="AB1277" s="17"/>
      <c r="AC1277" s="19"/>
    </row>
    <row r="1278" customFormat="false" ht="22.35" hidden="false" customHeight="false" outlineLevel="0" collapsed="false">
      <c r="A1278" s="10" t="s">
        <v>6370</v>
      </c>
      <c r="B1278" s="17" t="s">
        <v>137</v>
      </c>
      <c r="C1278" s="18" t="s">
        <v>138</v>
      </c>
      <c r="D1278" s="17" t="s">
        <v>19</v>
      </c>
      <c r="E1278" s="17" t="s">
        <v>229</v>
      </c>
      <c r="F1278" s="17" t="s">
        <v>5996</v>
      </c>
      <c r="G1278" s="17" t="s">
        <v>139</v>
      </c>
      <c r="H1278" s="17" t="s">
        <v>34</v>
      </c>
      <c r="I1278" s="17" t="s">
        <v>1413</v>
      </c>
      <c r="J1278" s="17" t="s">
        <v>233</v>
      </c>
      <c r="K1278" s="19"/>
      <c r="L1278" s="19"/>
      <c r="M1278" s="19"/>
      <c r="N1278" s="19"/>
      <c r="O1278" s="17" t="n">
        <v>3</v>
      </c>
      <c r="P1278" s="18" t="s">
        <v>6371</v>
      </c>
      <c r="Q1278" s="18" t="s">
        <v>6372</v>
      </c>
      <c r="R1278" s="18" t="s">
        <v>6373</v>
      </c>
      <c r="S1278" s="17" t="s">
        <v>6367</v>
      </c>
      <c r="T1278" s="18" t="s">
        <v>6374</v>
      </c>
      <c r="U1278" s="19"/>
      <c r="V1278" s="18" t="s">
        <v>6375</v>
      </c>
      <c r="W1278" s="17" t="s">
        <v>240</v>
      </c>
      <c r="X1278" s="17" t="s">
        <v>6376</v>
      </c>
      <c r="Y1278" s="17" t="s">
        <v>242</v>
      </c>
      <c r="Z1278" s="19"/>
      <c r="AA1278" s="19"/>
      <c r="AB1278" s="17"/>
      <c r="AC1278" s="19"/>
    </row>
    <row r="1279" customFormat="false" ht="22.35" hidden="false" customHeight="false" outlineLevel="0" collapsed="false">
      <c r="A1279" s="10" t="s">
        <v>6377</v>
      </c>
      <c r="B1279" s="17" t="s">
        <v>137</v>
      </c>
      <c r="C1279" s="18" t="s">
        <v>138</v>
      </c>
      <c r="D1279" s="17" t="s">
        <v>19</v>
      </c>
      <c r="E1279" s="17" t="s">
        <v>75</v>
      </c>
      <c r="F1279" s="17" t="s">
        <v>5996</v>
      </c>
      <c r="G1279" s="17" t="s">
        <v>139</v>
      </c>
      <c r="H1279" s="17" t="s">
        <v>34</v>
      </c>
      <c r="I1279" s="17" t="s">
        <v>1413</v>
      </c>
      <c r="J1279" s="17" t="s">
        <v>233</v>
      </c>
      <c r="K1279" s="19"/>
      <c r="L1279" s="19"/>
      <c r="M1279" s="19"/>
      <c r="N1279" s="19"/>
      <c r="O1279" s="17" t="n">
        <v>3</v>
      </c>
      <c r="P1279" s="18" t="s">
        <v>6371</v>
      </c>
      <c r="Q1279" s="18" t="s">
        <v>6372</v>
      </c>
      <c r="R1279" s="18" t="s">
        <v>6378</v>
      </c>
      <c r="S1279" s="17" t="s">
        <v>6379</v>
      </c>
      <c r="T1279" s="18" t="s">
        <v>6380</v>
      </c>
      <c r="U1279" s="19"/>
      <c r="V1279" s="18" t="s">
        <v>6381</v>
      </c>
      <c r="W1279" s="17" t="s">
        <v>240</v>
      </c>
      <c r="X1279" s="17" t="s">
        <v>6382</v>
      </c>
      <c r="Y1279" s="17" t="s">
        <v>242</v>
      </c>
      <c r="Z1279" s="19"/>
      <c r="AA1279" s="19"/>
      <c r="AB1279" s="17"/>
      <c r="AC1279" s="19"/>
    </row>
    <row r="1280" customFormat="false" ht="22.35" hidden="false" customHeight="false" outlineLevel="0" collapsed="false">
      <c r="A1280" s="10" t="s">
        <v>6383</v>
      </c>
      <c r="B1280" s="17" t="s">
        <v>137</v>
      </c>
      <c r="C1280" s="18" t="s">
        <v>138</v>
      </c>
      <c r="D1280" s="17" t="s">
        <v>19</v>
      </c>
      <c r="E1280" s="17" t="s">
        <v>229</v>
      </c>
      <c r="F1280" s="17" t="s">
        <v>5996</v>
      </c>
      <c r="G1280" s="17" t="s">
        <v>139</v>
      </c>
      <c r="H1280" s="17" t="s">
        <v>34</v>
      </c>
      <c r="I1280" s="17" t="s">
        <v>1413</v>
      </c>
      <c r="J1280" s="17" t="s">
        <v>233</v>
      </c>
      <c r="K1280" s="19"/>
      <c r="L1280" s="19"/>
      <c r="M1280" s="19"/>
      <c r="N1280" s="19"/>
      <c r="O1280" s="17" t="n">
        <v>3</v>
      </c>
      <c r="P1280" s="18" t="s">
        <v>6371</v>
      </c>
      <c r="Q1280" s="18" t="s">
        <v>6372</v>
      </c>
      <c r="R1280" s="18" t="s">
        <v>6384</v>
      </c>
      <c r="S1280" s="17" t="s">
        <v>6377</v>
      </c>
      <c r="T1280" s="18" t="s">
        <v>4524</v>
      </c>
      <c r="U1280" s="19"/>
      <c r="V1280" s="18" t="s">
        <v>6385</v>
      </c>
      <c r="W1280" s="17" t="s">
        <v>240</v>
      </c>
      <c r="X1280" s="17" t="s">
        <v>6376</v>
      </c>
      <c r="Y1280" s="17" t="s">
        <v>242</v>
      </c>
      <c r="Z1280" s="19"/>
      <c r="AA1280" s="19"/>
      <c r="AB1280" s="17"/>
      <c r="AC1280" s="19"/>
    </row>
    <row r="1281" customFormat="false" ht="22.35" hidden="false" customHeight="false" outlineLevel="0" collapsed="false">
      <c r="A1281" s="10" t="s">
        <v>6386</v>
      </c>
      <c r="B1281" s="17" t="s">
        <v>137</v>
      </c>
      <c r="C1281" s="18" t="s">
        <v>138</v>
      </c>
      <c r="D1281" s="17" t="s">
        <v>19</v>
      </c>
      <c r="E1281" s="17" t="s">
        <v>229</v>
      </c>
      <c r="F1281" s="17" t="s">
        <v>5996</v>
      </c>
      <c r="G1281" s="17" t="s">
        <v>139</v>
      </c>
      <c r="H1281" s="17" t="s">
        <v>34</v>
      </c>
      <c r="I1281" s="17" t="s">
        <v>316</v>
      </c>
      <c r="J1281" s="17" t="s">
        <v>233</v>
      </c>
      <c r="K1281" s="19"/>
      <c r="L1281" s="19"/>
      <c r="M1281" s="19"/>
      <c r="N1281" s="19"/>
      <c r="O1281" s="17" t="n">
        <v>3</v>
      </c>
      <c r="P1281" s="18" t="s">
        <v>6371</v>
      </c>
      <c r="Q1281" s="18" t="s">
        <v>6372</v>
      </c>
      <c r="R1281" s="18" t="s">
        <v>6387</v>
      </c>
      <c r="S1281" s="17" t="s">
        <v>6388</v>
      </c>
      <c r="T1281" s="18" t="s">
        <v>6389</v>
      </c>
      <c r="U1281" s="19"/>
      <c r="V1281" s="18" t="s">
        <v>6390</v>
      </c>
      <c r="W1281" s="17" t="s">
        <v>240</v>
      </c>
      <c r="X1281" s="17" t="s">
        <v>6391</v>
      </c>
      <c r="Y1281" s="17" t="s">
        <v>242</v>
      </c>
      <c r="Z1281" s="19"/>
      <c r="AA1281" s="19"/>
      <c r="AB1281" s="17"/>
      <c r="AC1281" s="19"/>
    </row>
    <row r="1282" customFormat="false" ht="22.35" hidden="false" customHeight="false" outlineLevel="0" collapsed="false">
      <c r="A1282" s="10" t="s">
        <v>6392</v>
      </c>
      <c r="B1282" s="17" t="s">
        <v>137</v>
      </c>
      <c r="C1282" s="18" t="s">
        <v>138</v>
      </c>
      <c r="D1282" s="17" t="s">
        <v>19</v>
      </c>
      <c r="E1282" s="17" t="s">
        <v>229</v>
      </c>
      <c r="F1282" s="17" t="s">
        <v>5996</v>
      </c>
      <c r="G1282" s="17" t="s">
        <v>139</v>
      </c>
      <c r="H1282" s="17" t="s">
        <v>34</v>
      </c>
      <c r="I1282" s="17" t="s">
        <v>893</v>
      </c>
      <c r="J1282" s="17" t="s">
        <v>233</v>
      </c>
      <c r="K1282" s="19"/>
      <c r="L1282" s="19"/>
      <c r="M1282" s="19"/>
      <c r="N1282" s="19"/>
      <c r="O1282" s="17" t="n">
        <v>3</v>
      </c>
      <c r="P1282" s="18" t="s">
        <v>6371</v>
      </c>
      <c r="Q1282" s="18" t="s">
        <v>6372</v>
      </c>
      <c r="R1282" s="18" t="s">
        <v>6393</v>
      </c>
      <c r="S1282" s="17" t="s">
        <v>6386</v>
      </c>
      <c r="T1282" s="18" t="s">
        <v>6394</v>
      </c>
      <c r="U1282" s="19"/>
      <c r="V1282" s="18" t="s">
        <v>6395</v>
      </c>
      <c r="W1282" s="17" t="s">
        <v>240</v>
      </c>
      <c r="X1282" s="17" t="s">
        <v>6396</v>
      </c>
      <c r="Y1282" s="17" t="s">
        <v>242</v>
      </c>
      <c r="Z1282" s="19"/>
      <c r="AA1282" s="19"/>
      <c r="AB1282" s="17"/>
      <c r="AC1282" s="19"/>
    </row>
    <row r="1283" customFormat="false" ht="32.8" hidden="false" customHeight="false" outlineLevel="0" collapsed="false">
      <c r="A1283" s="10" t="s">
        <v>6397</v>
      </c>
      <c r="B1283" s="17" t="s">
        <v>137</v>
      </c>
      <c r="C1283" s="18" t="s">
        <v>138</v>
      </c>
      <c r="D1283" s="17" t="s">
        <v>19</v>
      </c>
      <c r="E1283" s="17" t="s">
        <v>229</v>
      </c>
      <c r="F1283" s="17" t="s">
        <v>5996</v>
      </c>
      <c r="G1283" s="17" t="s">
        <v>139</v>
      </c>
      <c r="H1283" s="17" t="s">
        <v>34</v>
      </c>
      <c r="I1283" s="17" t="s">
        <v>316</v>
      </c>
      <c r="J1283" s="17" t="s">
        <v>233</v>
      </c>
      <c r="K1283" s="19"/>
      <c r="L1283" s="19"/>
      <c r="M1283" s="19"/>
      <c r="N1283" s="19"/>
      <c r="O1283" s="17" t="n">
        <v>3</v>
      </c>
      <c r="P1283" s="18" t="s">
        <v>6371</v>
      </c>
      <c r="Q1283" s="18" t="s">
        <v>6372</v>
      </c>
      <c r="R1283" s="18" t="s">
        <v>6398</v>
      </c>
      <c r="S1283" s="17" t="s">
        <v>6392</v>
      </c>
      <c r="T1283" s="18" t="s">
        <v>6399</v>
      </c>
      <c r="U1283" s="19"/>
      <c r="V1283" s="18" t="s">
        <v>6400</v>
      </c>
      <c r="W1283" s="17" t="s">
        <v>240</v>
      </c>
      <c r="X1283" s="17" t="s">
        <v>6401</v>
      </c>
      <c r="Y1283" s="17" t="s">
        <v>242</v>
      </c>
      <c r="Z1283" s="19"/>
      <c r="AA1283" s="19"/>
      <c r="AB1283" s="17"/>
      <c r="AC1283" s="19"/>
    </row>
    <row r="1284" customFormat="false" ht="22.35" hidden="false" customHeight="false" outlineLevel="0" collapsed="false">
      <c r="A1284" s="10" t="s">
        <v>6402</v>
      </c>
      <c r="B1284" s="17" t="s">
        <v>137</v>
      </c>
      <c r="C1284" s="18" t="s">
        <v>138</v>
      </c>
      <c r="D1284" s="17" t="s">
        <v>19</v>
      </c>
      <c r="E1284" s="17" t="s">
        <v>75</v>
      </c>
      <c r="F1284" s="17" t="s">
        <v>5996</v>
      </c>
      <c r="G1284" s="17" t="s">
        <v>139</v>
      </c>
      <c r="H1284" s="17" t="s">
        <v>34</v>
      </c>
      <c r="I1284" s="17" t="s">
        <v>316</v>
      </c>
      <c r="J1284" s="17" t="s">
        <v>233</v>
      </c>
      <c r="K1284" s="19"/>
      <c r="L1284" s="19"/>
      <c r="M1284" s="19"/>
      <c r="N1284" s="19"/>
      <c r="O1284" s="17" t="n">
        <v>3</v>
      </c>
      <c r="P1284" s="18" t="s">
        <v>6371</v>
      </c>
      <c r="Q1284" s="18" t="s">
        <v>6372</v>
      </c>
      <c r="R1284" s="18" t="s">
        <v>6403</v>
      </c>
      <c r="S1284" s="17" t="s">
        <v>6377</v>
      </c>
      <c r="T1284" s="18" t="s">
        <v>6404</v>
      </c>
      <c r="U1284" s="19"/>
      <c r="V1284" s="18" t="s">
        <v>6405</v>
      </c>
      <c r="W1284" s="17" t="s">
        <v>240</v>
      </c>
      <c r="X1284" s="17" t="s">
        <v>6406</v>
      </c>
      <c r="Y1284" s="17" t="s">
        <v>242</v>
      </c>
      <c r="Z1284" s="19"/>
      <c r="AA1284" s="19"/>
      <c r="AB1284" s="17"/>
      <c r="AC1284" s="19"/>
    </row>
    <row r="1285" customFormat="false" ht="22.35" hidden="false" customHeight="false" outlineLevel="0" collapsed="false">
      <c r="A1285" s="10" t="s">
        <v>6407</v>
      </c>
      <c r="B1285" s="17" t="s">
        <v>137</v>
      </c>
      <c r="C1285" s="18" t="s">
        <v>138</v>
      </c>
      <c r="D1285" s="17" t="s">
        <v>19</v>
      </c>
      <c r="E1285" s="17" t="s">
        <v>75</v>
      </c>
      <c r="F1285" s="17" t="s">
        <v>5996</v>
      </c>
      <c r="G1285" s="17" t="s">
        <v>139</v>
      </c>
      <c r="H1285" s="17" t="s">
        <v>34</v>
      </c>
      <c r="I1285" s="17" t="s">
        <v>2896</v>
      </c>
      <c r="J1285" s="17" t="s">
        <v>233</v>
      </c>
      <c r="K1285" s="19"/>
      <c r="L1285" s="19"/>
      <c r="M1285" s="19"/>
      <c r="N1285" s="19"/>
      <c r="O1285" s="17" t="n">
        <v>3</v>
      </c>
      <c r="P1285" s="18" t="s">
        <v>6371</v>
      </c>
      <c r="Q1285" s="18" t="s">
        <v>6408</v>
      </c>
      <c r="R1285" s="18" t="s">
        <v>6409</v>
      </c>
      <c r="S1285" s="17" t="s">
        <v>6410</v>
      </c>
      <c r="T1285" s="18" t="s">
        <v>6411</v>
      </c>
      <c r="U1285" s="19"/>
      <c r="V1285" s="18" t="s">
        <v>6412</v>
      </c>
      <c r="W1285" s="17" t="s">
        <v>240</v>
      </c>
      <c r="X1285" s="17" t="s">
        <v>6413</v>
      </c>
      <c r="Y1285" s="17" t="s">
        <v>242</v>
      </c>
      <c r="Z1285" s="19"/>
      <c r="AA1285" s="19"/>
      <c r="AB1285" s="17"/>
      <c r="AC1285" s="19"/>
    </row>
    <row r="1286" customFormat="false" ht="32.8" hidden="false" customHeight="false" outlineLevel="0" collapsed="false">
      <c r="A1286" s="10" t="s">
        <v>6414</v>
      </c>
      <c r="B1286" s="17" t="s">
        <v>137</v>
      </c>
      <c r="C1286" s="18" t="s">
        <v>138</v>
      </c>
      <c r="D1286" s="17" t="s">
        <v>19</v>
      </c>
      <c r="E1286" s="17" t="s">
        <v>229</v>
      </c>
      <c r="F1286" s="17" t="s">
        <v>5996</v>
      </c>
      <c r="G1286" s="17" t="s">
        <v>139</v>
      </c>
      <c r="H1286" s="17" t="s">
        <v>34</v>
      </c>
      <c r="I1286" s="17" t="s">
        <v>277</v>
      </c>
      <c r="J1286" s="17" t="s">
        <v>233</v>
      </c>
      <c r="K1286" s="19"/>
      <c r="L1286" s="19"/>
      <c r="M1286" s="19"/>
      <c r="N1286" s="19"/>
      <c r="O1286" s="17" t="n">
        <v>3</v>
      </c>
      <c r="P1286" s="18" t="s">
        <v>6371</v>
      </c>
      <c r="Q1286" s="18" t="s">
        <v>6408</v>
      </c>
      <c r="R1286" s="18" t="s">
        <v>6415</v>
      </c>
      <c r="S1286" s="17" t="s">
        <v>6416</v>
      </c>
      <c r="T1286" s="18" t="s">
        <v>3818</v>
      </c>
      <c r="U1286" s="19"/>
      <c r="V1286" s="18" t="s">
        <v>6417</v>
      </c>
      <c r="W1286" s="17" t="s">
        <v>240</v>
      </c>
      <c r="X1286" s="17" t="s">
        <v>6418</v>
      </c>
      <c r="Y1286" s="17" t="s">
        <v>242</v>
      </c>
      <c r="Z1286" s="19"/>
      <c r="AA1286" s="19"/>
      <c r="AB1286" s="17"/>
      <c r="AC1286" s="19"/>
    </row>
    <row r="1287" customFormat="false" ht="22.35" hidden="false" customHeight="false" outlineLevel="0" collapsed="false">
      <c r="A1287" s="10" t="s">
        <v>6419</v>
      </c>
      <c r="B1287" s="17" t="s">
        <v>137</v>
      </c>
      <c r="C1287" s="18" t="s">
        <v>138</v>
      </c>
      <c r="D1287" s="17" t="s">
        <v>19</v>
      </c>
      <c r="E1287" s="17" t="s">
        <v>75</v>
      </c>
      <c r="F1287" s="17" t="s">
        <v>5996</v>
      </c>
      <c r="G1287" s="17" t="s">
        <v>139</v>
      </c>
      <c r="H1287" s="17" t="s">
        <v>34</v>
      </c>
      <c r="I1287" s="17" t="s">
        <v>283</v>
      </c>
      <c r="J1287" s="17" t="s">
        <v>233</v>
      </c>
      <c r="K1287" s="19"/>
      <c r="L1287" s="19"/>
      <c r="M1287" s="19"/>
      <c r="N1287" s="19"/>
      <c r="O1287" s="17" t="n">
        <v>3</v>
      </c>
      <c r="P1287" s="18" t="s">
        <v>6371</v>
      </c>
      <c r="Q1287" s="18" t="s">
        <v>6408</v>
      </c>
      <c r="R1287" s="18" t="s">
        <v>6420</v>
      </c>
      <c r="S1287" s="17" t="s">
        <v>6421</v>
      </c>
      <c r="T1287" s="18" t="s">
        <v>6037</v>
      </c>
      <c r="U1287" s="19"/>
      <c r="V1287" s="18" t="s">
        <v>6038</v>
      </c>
      <c r="W1287" s="17" t="s">
        <v>240</v>
      </c>
      <c r="X1287" s="17" t="s">
        <v>6039</v>
      </c>
      <c r="Y1287" s="17" t="s">
        <v>242</v>
      </c>
      <c r="Z1287" s="19"/>
      <c r="AA1287" s="19"/>
      <c r="AB1287" s="17"/>
      <c r="AC1287" s="19"/>
    </row>
    <row r="1288" customFormat="false" ht="22.35" hidden="false" customHeight="false" outlineLevel="0" collapsed="false">
      <c r="A1288" s="10" t="s">
        <v>6422</v>
      </c>
      <c r="B1288" s="17" t="s">
        <v>137</v>
      </c>
      <c r="C1288" s="18" t="s">
        <v>138</v>
      </c>
      <c r="D1288" s="17" t="s">
        <v>19</v>
      </c>
      <c r="E1288" s="17" t="s">
        <v>75</v>
      </c>
      <c r="F1288" s="17" t="s">
        <v>5996</v>
      </c>
      <c r="G1288" s="17" t="s">
        <v>139</v>
      </c>
      <c r="H1288" s="17" t="s">
        <v>34</v>
      </c>
      <c r="I1288" s="17" t="s">
        <v>450</v>
      </c>
      <c r="J1288" s="17" t="s">
        <v>233</v>
      </c>
      <c r="K1288" s="19"/>
      <c r="L1288" s="19"/>
      <c r="M1288" s="19"/>
      <c r="N1288" s="19"/>
      <c r="O1288" s="17" t="n">
        <v>3</v>
      </c>
      <c r="P1288" s="18" t="s">
        <v>6423</v>
      </c>
      <c r="Q1288" s="18" t="s">
        <v>6424</v>
      </c>
      <c r="R1288" s="18" t="s">
        <v>6425</v>
      </c>
      <c r="S1288" s="17" t="s">
        <v>6386</v>
      </c>
      <c r="T1288" s="18" t="s">
        <v>6426</v>
      </c>
      <c r="U1288" s="19"/>
      <c r="V1288" s="18" t="s">
        <v>6427</v>
      </c>
      <c r="W1288" s="17" t="s">
        <v>240</v>
      </c>
      <c r="X1288" s="17" t="s">
        <v>6428</v>
      </c>
      <c r="Y1288" s="17" t="s">
        <v>242</v>
      </c>
      <c r="Z1288" s="19"/>
      <c r="AA1288" s="19"/>
      <c r="AB1288" s="17"/>
      <c r="AC1288" s="19"/>
    </row>
    <row r="1289" customFormat="false" ht="22.35" hidden="false" customHeight="false" outlineLevel="0" collapsed="false">
      <c r="A1289" s="10" t="s">
        <v>6429</v>
      </c>
      <c r="B1289" s="17" t="s">
        <v>137</v>
      </c>
      <c r="C1289" s="18" t="s">
        <v>138</v>
      </c>
      <c r="D1289" s="17" t="s">
        <v>19</v>
      </c>
      <c r="E1289" s="17" t="s">
        <v>75</v>
      </c>
      <c r="F1289" s="17" t="s">
        <v>5996</v>
      </c>
      <c r="G1289" s="17" t="s">
        <v>139</v>
      </c>
      <c r="H1289" s="17" t="s">
        <v>34</v>
      </c>
      <c r="I1289" s="17" t="s">
        <v>277</v>
      </c>
      <c r="J1289" s="17" t="s">
        <v>233</v>
      </c>
      <c r="K1289" s="19"/>
      <c r="L1289" s="19"/>
      <c r="M1289" s="19"/>
      <c r="N1289" s="19"/>
      <c r="O1289" s="17" t="n">
        <v>3</v>
      </c>
      <c r="P1289" s="18" t="s">
        <v>6423</v>
      </c>
      <c r="Q1289" s="18" t="s">
        <v>6424</v>
      </c>
      <c r="R1289" s="18" t="s">
        <v>6430</v>
      </c>
      <c r="S1289" s="17" t="s">
        <v>6431</v>
      </c>
      <c r="T1289" s="18" t="s">
        <v>6432</v>
      </c>
      <c r="U1289" s="19"/>
      <c r="V1289" s="18" t="s">
        <v>6433</v>
      </c>
      <c r="W1289" s="17" t="s">
        <v>240</v>
      </c>
      <c r="X1289" s="17" t="s">
        <v>6434</v>
      </c>
      <c r="Y1289" s="17" t="s">
        <v>242</v>
      </c>
      <c r="Z1289" s="19"/>
      <c r="AA1289" s="19"/>
      <c r="AB1289" s="17"/>
      <c r="AC1289" s="19"/>
    </row>
    <row r="1290" customFormat="false" ht="22.35" hidden="false" customHeight="false" outlineLevel="0" collapsed="false">
      <c r="A1290" s="10" t="s">
        <v>6435</v>
      </c>
      <c r="B1290" s="17" t="s">
        <v>137</v>
      </c>
      <c r="C1290" s="18" t="s">
        <v>138</v>
      </c>
      <c r="D1290" s="17" t="s">
        <v>19</v>
      </c>
      <c r="E1290" s="17" t="s">
        <v>75</v>
      </c>
      <c r="F1290" s="17" t="s">
        <v>5996</v>
      </c>
      <c r="G1290" s="17" t="s">
        <v>139</v>
      </c>
      <c r="H1290" s="17" t="s">
        <v>34</v>
      </c>
      <c r="I1290" s="17" t="s">
        <v>1413</v>
      </c>
      <c r="J1290" s="17" t="s">
        <v>233</v>
      </c>
      <c r="K1290" s="19"/>
      <c r="L1290" s="19"/>
      <c r="M1290" s="19"/>
      <c r="N1290" s="19"/>
      <c r="O1290" s="17" t="n">
        <v>3</v>
      </c>
      <c r="P1290" s="18" t="s">
        <v>6423</v>
      </c>
      <c r="Q1290" s="18" t="s">
        <v>6424</v>
      </c>
      <c r="R1290" s="18" t="s">
        <v>6436</v>
      </c>
      <c r="S1290" s="17" t="s">
        <v>6437</v>
      </c>
      <c r="T1290" s="18" t="s">
        <v>6438</v>
      </c>
      <c r="U1290" s="19"/>
      <c r="V1290" s="18" t="s">
        <v>6439</v>
      </c>
      <c r="W1290" s="17" t="s">
        <v>5511</v>
      </c>
      <c r="X1290" s="17" t="s">
        <v>6440</v>
      </c>
      <c r="Y1290" s="17" t="s">
        <v>242</v>
      </c>
      <c r="Z1290" s="19"/>
      <c r="AA1290" s="19"/>
      <c r="AB1290" s="17" t="s">
        <v>1681</v>
      </c>
      <c r="AC1290" s="19"/>
    </row>
    <row r="1291" customFormat="false" ht="22.35" hidden="false" customHeight="false" outlineLevel="0" collapsed="false">
      <c r="A1291" s="10" t="s">
        <v>6441</v>
      </c>
      <c r="B1291" s="17" t="s">
        <v>137</v>
      </c>
      <c r="C1291" s="18" t="s">
        <v>138</v>
      </c>
      <c r="D1291" s="17" t="s">
        <v>19</v>
      </c>
      <c r="E1291" s="17" t="s">
        <v>229</v>
      </c>
      <c r="F1291" s="17" t="s">
        <v>5996</v>
      </c>
      <c r="G1291" s="17" t="s">
        <v>139</v>
      </c>
      <c r="H1291" s="17" t="s">
        <v>34</v>
      </c>
      <c r="I1291" s="17" t="s">
        <v>333</v>
      </c>
      <c r="J1291" s="17" t="s">
        <v>233</v>
      </c>
      <c r="K1291" s="19"/>
      <c r="L1291" s="19"/>
      <c r="M1291" s="19"/>
      <c r="N1291" s="19"/>
      <c r="O1291" s="17" t="n">
        <v>3</v>
      </c>
      <c r="P1291" s="18" t="s">
        <v>6423</v>
      </c>
      <c r="Q1291" s="18" t="s">
        <v>6442</v>
      </c>
      <c r="R1291" s="18" t="s">
        <v>6443</v>
      </c>
      <c r="S1291" s="17" t="s">
        <v>6386</v>
      </c>
      <c r="T1291" s="18" t="s">
        <v>6444</v>
      </c>
      <c r="U1291" s="19"/>
      <c r="V1291" s="18" t="s">
        <v>6445</v>
      </c>
      <c r="W1291" s="17" t="s">
        <v>240</v>
      </c>
      <c r="X1291" s="17" t="s">
        <v>6446</v>
      </c>
      <c r="Y1291" s="17" t="s">
        <v>242</v>
      </c>
      <c r="Z1291" s="19"/>
      <c r="AA1291" s="19"/>
      <c r="AB1291" s="17"/>
      <c r="AC1291" s="19"/>
    </row>
    <row r="1292" customFormat="false" ht="22.35" hidden="false" customHeight="false" outlineLevel="0" collapsed="false">
      <c r="A1292" s="10" t="s">
        <v>6447</v>
      </c>
      <c r="B1292" s="17" t="s">
        <v>137</v>
      </c>
      <c r="C1292" s="18" t="s">
        <v>138</v>
      </c>
      <c r="D1292" s="17" t="s">
        <v>19</v>
      </c>
      <c r="E1292" s="17" t="s">
        <v>75</v>
      </c>
      <c r="F1292" s="17" t="s">
        <v>5996</v>
      </c>
      <c r="G1292" s="17" t="s">
        <v>139</v>
      </c>
      <c r="H1292" s="17" t="s">
        <v>34</v>
      </c>
      <c r="I1292" s="17" t="s">
        <v>289</v>
      </c>
      <c r="J1292" s="17" t="s">
        <v>233</v>
      </c>
      <c r="K1292" s="19"/>
      <c r="L1292" s="19"/>
      <c r="M1292" s="19"/>
      <c r="N1292" s="19"/>
      <c r="O1292" s="17" t="n">
        <v>3</v>
      </c>
      <c r="P1292" s="18" t="s">
        <v>6423</v>
      </c>
      <c r="Q1292" s="18" t="s">
        <v>6442</v>
      </c>
      <c r="R1292" s="18" t="s">
        <v>6448</v>
      </c>
      <c r="S1292" s="17" t="s">
        <v>6383</v>
      </c>
      <c r="T1292" s="18" t="s">
        <v>6449</v>
      </c>
      <c r="U1292" s="19"/>
      <c r="V1292" s="18" t="s">
        <v>6450</v>
      </c>
      <c r="W1292" s="17" t="s">
        <v>240</v>
      </c>
      <c r="X1292" s="17" t="s">
        <v>6095</v>
      </c>
      <c r="Y1292" s="17" t="s">
        <v>242</v>
      </c>
      <c r="Z1292" s="19"/>
      <c r="AA1292" s="19"/>
      <c r="AB1292" s="17"/>
      <c r="AC1292" s="19"/>
    </row>
    <row r="1293" customFormat="false" ht="22.35" hidden="false" customHeight="false" outlineLevel="0" collapsed="false">
      <c r="A1293" s="10" t="s">
        <v>6451</v>
      </c>
      <c r="B1293" s="17" t="s">
        <v>137</v>
      </c>
      <c r="C1293" s="18" t="s">
        <v>138</v>
      </c>
      <c r="D1293" s="17" t="s">
        <v>19</v>
      </c>
      <c r="E1293" s="17" t="s">
        <v>229</v>
      </c>
      <c r="F1293" s="17" t="s">
        <v>5996</v>
      </c>
      <c r="G1293" s="17" t="s">
        <v>139</v>
      </c>
      <c r="H1293" s="17" t="s">
        <v>34</v>
      </c>
      <c r="I1293" s="17" t="s">
        <v>289</v>
      </c>
      <c r="J1293" s="17" t="s">
        <v>233</v>
      </c>
      <c r="K1293" s="19"/>
      <c r="L1293" s="19"/>
      <c r="M1293" s="19"/>
      <c r="N1293" s="19"/>
      <c r="O1293" s="17" t="n">
        <v>3</v>
      </c>
      <c r="P1293" s="18" t="s">
        <v>6423</v>
      </c>
      <c r="Q1293" s="18" t="s">
        <v>6442</v>
      </c>
      <c r="R1293" s="18" t="s">
        <v>6452</v>
      </c>
      <c r="S1293" s="17" t="s">
        <v>6370</v>
      </c>
      <c r="T1293" s="18" t="s">
        <v>6453</v>
      </c>
      <c r="U1293" s="19"/>
      <c r="V1293" s="18" t="s">
        <v>6454</v>
      </c>
      <c r="W1293" s="17" t="s">
        <v>383</v>
      </c>
      <c r="X1293" s="17" t="s">
        <v>6455</v>
      </c>
      <c r="Y1293" s="17" t="s">
        <v>242</v>
      </c>
      <c r="Z1293" s="19"/>
      <c r="AA1293" s="19"/>
      <c r="AB1293" s="17"/>
      <c r="AC1293" s="19"/>
    </row>
    <row r="1294" customFormat="false" ht="22.35" hidden="false" customHeight="false" outlineLevel="0" collapsed="false">
      <c r="A1294" s="10" t="s">
        <v>6456</v>
      </c>
      <c r="B1294" s="17" t="s">
        <v>137</v>
      </c>
      <c r="C1294" s="18" t="s">
        <v>138</v>
      </c>
      <c r="D1294" s="17" t="s">
        <v>19</v>
      </c>
      <c r="E1294" s="17" t="s">
        <v>75</v>
      </c>
      <c r="F1294" s="17" t="s">
        <v>5996</v>
      </c>
      <c r="G1294" s="17" t="s">
        <v>139</v>
      </c>
      <c r="H1294" s="17" t="s">
        <v>34</v>
      </c>
      <c r="I1294" s="17" t="s">
        <v>369</v>
      </c>
      <c r="J1294" s="17" t="s">
        <v>233</v>
      </c>
      <c r="K1294" s="19"/>
      <c r="L1294" s="19"/>
      <c r="M1294" s="19"/>
      <c r="N1294" s="19"/>
      <c r="O1294" s="17" t="n">
        <v>3</v>
      </c>
      <c r="P1294" s="18" t="s">
        <v>6423</v>
      </c>
      <c r="Q1294" s="18" t="s">
        <v>6442</v>
      </c>
      <c r="R1294" s="18" t="s">
        <v>6457</v>
      </c>
      <c r="S1294" s="17" t="s">
        <v>6392</v>
      </c>
      <c r="T1294" s="18" t="s">
        <v>544</v>
      </c>
      <c r="U1294" s="19"/>
      <c r="V1294" s="18" t="s">
        <v>6458</v>
      </c>
      <c r="W1294" s="17" t="s">
        <v>240</v>
      </c>
      <c r="X1294" s="17" t="s">
        <v>6125</v>
      </c>
      <c r="Y1294" s="17" t="s">
        <v>242</v>
      </c>
      <c r="Z1294" s="19"/>
      <c r="AA1294" s="19"/>
      <c r="AB1294" s="17"/>
      <c r="AC1294" s="19"/>
    </row>
    <row r="1295" customFormat="false" ht="15" hidden="false" customHeight="false" outlineLevel="0" collapsed="false">
      <c r="A1295" s="10" t="s">
        <v>6459</v>
      </c>
      <c r="B1295" s="17" t="s">
        <v>137</v>
      </c>
      <c r="C1295" s="18" t="s">
        <v>138</v>
      </c>
      <c r="D1295" s="17" t="s">
        <v>19</v>
      </c>
      <c r="E1295" s="17" t="s">
        <v>75</v>
      </c>
      <c r="F1295" s="17" t="s">
        <v>5996</v>
      </c>
      <c r="G1295" s="17" t="s">
        <v>139</v>
      </c>
      <c r="H1295" s="17" t="s">
        <v>34</v>
      </c>
      <c r="I1295" s="17" t="s">
        <v>283</v>
      </c>
      <c r="J1295" s="17" t="s">
        <v>233</v>
      </c>
      <c r="K1295" s="19"/>
      <c r="L1295" s="19"/>
      <c r="M1295" s="19"/>
      <c r="N1295" s="19"/>
      <c r="O1295" s="17" t="n">
        <v>3</v>
      </c>
      <c r="P1295" s="18" t="s">
        <v>6423</v>
      </c>
      <c r="Q1295" s="18" t="s">
        <v>6442</v>
      </c>
      <c r="R1295" s="18" t="s">
        <v>6460</v>
      </c>
      <c r="S1295" s="17" t="s">
        <v>6461</v>
      </c>
      <c r="T1295" s="18" t="s">
        <v>6037</v>
      </c>
      <c r="U1295" s="19"/>
      <c r="V1295" s="18" t="s">
        <v>6038</v>
      </c>
      <c r="W1295" s="17" t="s">
        <v>240</v>
      </c>
      <c r="X1295" s="17" t="s">
        <v>6039</v>
      </c>
      <c r="Y1295" s="17" t="s">
        <v>242</v>
      </c>
      <c r="Z1295" s="19"/>
      <c r="AA1295" s="19"/>
      <c r="AB1295" s="17"/>
      <c r="AC1295" s="19"/>
    </row>
    <row r="1296" customFormat="false" ht="22.35" hidden="false" customHeight="false" outlineLevel="0" collapsed="false">
      <c r="A1296" s="10" t="s">
        <v>6462</v>
      </c>
      <c r="B1296" s="17" t="s">
        <v>140</v>
      </c>
      <c r="C1296" s="18" t="s">
        <v>141</v>
      </c>
      <c r="D1296" s="17" t="s">
        <v>19</v>
      </c>
      <c r="E1296" s="17" t="s">
        <v>229</v>
      </c>
      <c r="F1296" s="17" t="s">
        <v>5996</v>
      </c>
      <c r="G1296" s="17" t="s">
        <v>6463</v>
      </c>
      <c r="H1296" s="17" t="s">
        <v>34</v>
      </c>
      <c r="I1296" s="17" t="s">
        <v>316</v>
      </c>
      <c r="J1296" s="17" t="s">
        <v>233</v>
      </c>
      <c r="K1296" s="19"/>
      <c r="L1296" s="19"/>
      <c r="M1296" s="19"/>
      <c r="N1296" s="19"/>
      <c r="O1296" s="17" t="n">
        <v>2</v>
      </c>
      <c r="P1296" s="18" t="s">
        <v>6464</v>
      </c>
      <c r="Q1296" s="18" t="s">
        <v>6465</v>
      </c>
      <c r="R1296" s="18" t="s">
        <v>6466</v>
      </c>
      <c r="S1296" s="17" t="s">
        <v>237</v>
      </c>
      <c r="T1296" s="18" t="s">
        <v>6467</v>
      </c>
      <c r="U1296" s="19"/>
      <c r="V1296" s="18" t="s">
        <v>6468</v>
      </c>
      <c r="W1296" s="17" t="s">
        <v>240</v>
      </c>
      <c r="X1296" s="17" t="s">
        <v>6469</v>
      </c>
      <c r="Y1296" s="17" t="s">
        <v>242</v>
      </c>
      <c r="Z1296" s="19"/>
      <c r="AA1296" s="19"/>
      <c r="AB1296" s="17"/>
      <c r="AC1296" s="19"/>
    </row>
    <row r="1297" customFormat="false" ht="22.35" hidden="false" customHeight="false" outlineLevel="0" collapsed="false">
      <c r="A1297" s="10" t="s">
        <v>6470</v>
      </c>
      <c r="B1297" s="17" t="s">
        <v>140</v>
      </c>
      <c r="C1297" s="18" t="s">
        <v>141</v>
      </c>
      <c r="D1297" s="17" t="s">
        <v>19</v>
      </c>
      <c r="E1297" s="17" t="s">
        <v>75</v>
      </c>
      <c r="F1297" s="17" t="s">
        <v>5996</v>
      </c>
      <c r="G1297" s="17" t="s">
        <v>6463</v>
      </c>
      <c r="H1297" s="17" t="s">
        <v>34</v>
      </c>
      <c r="I1297" s="17" t="s">
        <v>1028</v>
      </c>
      <c r="J1297" s="17" t="s">
        <v>233</v>
      </c>
      <c r="K1297" s="19"/>
      <c r="L1297" s="19"/>
      <c r="M1297" s="19"/>
      <c r="N1297" s="19"/>
      <c r="O1297" s="17" t="n">
        <v>2</v>
      </c>
      <c r="P1297" s="18" t="s">
        <v>6464</v>
      </c>
      <c r="Q1297" s="18" t="s">
        <v>6465</v>
      </c>
      <c r="R1297" s="18" t="s">
        <v>6471</v>
      </c>
      <c r="S1297" s="17" t="s">
        <v>237</v>
      </c>
      <c r="T1297" s="18" t="s">
        <v>6472</v>
      </c>
      <c r="U1297" s="19"/>
      <c r="V1297" s="18" t="s">
        <v>6473</v>
      </c>
      <c r="W1297" s="17" t="s">
        <v>240</v>
      </c>
      <c r="X1297" s="17" t="s">
        <v>6474</v>
      </c>
      <c r="Y1297" s="17" t="s">
        <v>242</v>
      </c>
      <c r="Z1297" s="19"/>
      <c r="AA1297" s="19"/>
      <c r="AB1297" s="17"/>
      <c r="AC1297" s="19"/>
    </row>
    <row r="1298" customFormat="false" ht="22.35" hidden="false" customHeight="false" outlineLevel="0" collapsed="false">
      <c r="A1298" s="10" t="s">
        <v>6475</v>
      </c>
      <c r="B1298" s="17" t="s">
        <v>140</v>
      </c>
      <c r="C1298" s="18" t="s">
        <v>141</v>
      </c>
      <c r="D1298" s="17" t="s">
        <v>19</v>
      </c>
      <c r="E1298" s="17" t="s">
        <v>75</v>
      </c>
      <c r="F1298" s="17" t="s">
        <v>5996</v>
      </c>
      <c r="G1298" s="17" t="s">
        <v>6463</v>
      </c>
      <c r="H1298" s="17" t="s">
        <v>34</v>
      </c>
      <c r="I1298" s="17" t="s">
        <v>316</v>
      </c>
      <c r="J1298" s="17" t="s">
        <v>233</v>
      </c>
      <c r="K1298" s="19"/>
      <c r="L1298" s="19"/>
      <c r="M1298" s="19"/>
      <c r="N1298" s="19"/>
      <c r="O1298" s="17" t="n">
        <v>2</v>
      </c>
      <c r="P1298" s="18" t="s">
        <v>6464</v>
      </c>
      <c r="Q1298" s="18" t="s">
        <v>6465</v>
      </c>
      <c r="R1298" s="18" t="s">
        <v>6476</v>
      </c>
      <c r="S1298" s="17" t="s">
        <v>6462</v>
      </c>
      <c r="T1298" s="18" t="s">
        <v>6477</v>
      </c>
      <c r="U1298" s="19"/>
      <c r="V1298" s="18" t="s">
        <v>6478</v>
      </c>
      <c r="W1298" s="17" t="s">
        <v>240</v>
      </c>
      <c r="X1298" s="17" t="s">
        <v>6479</v>
      </c>
      <c r="Y1298" s="17" t="s">
        <v>242</v>
      </c>
      <c r="Z1298" s="19"/>
      <c r="AA1298" s="19"/>
      <c r="AB1298" s="17"/>
      <c r="AC1298" s="19"/>
    </row>
    <row r="1299" customFormat="false" ht="22.35" hidden="false" customHeight="false" outlineLevel="0" collapsed="false">
      <c r="A1299" s="10" t="s">
        <v>6480</v>
      </c>
      <c r="B1299" s="17" t="s">
        <v>140</v>
      </c>
      <c r="C1299" s="18" t="s">
        <v>141</v>
      </c>
      <c r="D1299" s="17" t="s">
        <v>19</v>
      </c>
      <c r="E1299" s="17" t="s">
        <v>75</v>
      </c>
      <c r="F1299" s="17" t="s">
        <v>5996</v>
      </c>
      <c r="G1299" s="17" t="s">
        <v>6463</v>
      </c>
      <c r="H1299" s="17" t="s">
        <v>34</v>
      </c>
      <c r="I1299" s="17" t="s">
        <v>316</v>
      </c>
      <c r="J1299" s="17" t="s">
        <v>233</v>
      </c>
      <c r="K1299" s="19"/>
      <c r="L1299" s="19"/>
      <c r="M1299" s="19"/>
      <c r="N1299" s="19"/>
      <c r="O1299" s="17" t="n">
        <v>4</v>
      </c>
      <c r="P1299" s="18" t="s">
        <v>6464</v>
      </c>
      <c r="Q1299" s="18" t="s">
        <v>6481</v>
      </c>
      <c r="R1299" s="18" t="s">
        <v>6482</v>
      </c>
      <c r="S1299" s="17" t="s">
        <v>6475</v>
      </c>
      <c r="T1299" s="18" t="s">
        <v>6483</v>
      </c>
      <c r="U1299" s="19"/>
      <c r="V1299" s="18" t="s">
        <v>6484</v>
      </c>
      <c r="W1299" s="17" t="s">
        <v>240</v>
      </c>
      <c r="X1299" s="17" t="s">
        <v>6485</v>
      </c>
      <c r="Y1299" s="17" t="s">
        <v>242</v>
      </c>
      <c r="Z1299" s="19"/>
      <c r="AA1299" s="19"/>
      <c r="AB1299" s="17"/>
      <c r="AC1299" s="19"/>
    </row>
    <row r="1300" customFormat="false" ht="22.35" hidden="false" customHeight="false" outlineLevel="0" collapsed="false">
      <c r="A1300" s="10" t="s">
        <v>6486</v>
      </c>
      <c r="B1300" s="17" t="s">
        <v>140</v>
      </c>
      <c r="C1300" s="18" t="s">
        <v>141</v>
      </c>
      <c r="D1300" s="17" t="s">
        <v>19</v>
      </c>
      <c r="E1300" s="17" t="s">
        <v>75</v>
      </c>
      <c r="F1300" s="17" t="s">
        <v>5996</v>
      </c>
      <c r="G1300" s="17" t="s">
        <v>6463</v>
      </c>
      <c r="H1300" s="17" t="s">
        <v>34</v>
      </c>
      <c r="I1300" s="17" t="s">
        <v>316</v>
      </c>
      <c r="J1300" s="17" t="s">
        <v>233</v>
      </c>
      <c r="K1300" s="19"/>
      <c r="L1300" s="19"/>
      <c r="M1300" s="19"/>
      <c r="N1300" s="19"/>
      <c r="O1300" s="17" t="n">
        <v>4</v>
      </c>
      <c r="P1300" s="18" t="s">
        <v>6464</v>
      </c>
      <c r="Q1300" s="18" t="s">
        <v>6481</v>
      </c>
      <c r="R1300" s="18" t="s">
        <v>6487</v>
      </c>
      <c r="S1300" s="17" t="s">
        <v>6488</v>
      </c>
      <c r="T1300" s="18" t="s">
        <v>6489</v>
      </c>
      <c r="U1300" s="19"/>
      <c r="V1300" s="18" t="s">
        <v>6490</v>
      </c>
      <c r="W1300" s="17" t="s">
        <v>240</v>
      </c>
      <c r="X1300" s="17" t="s">
        <v>6491</v>
      </c>
      <c r="Y1300" s="17" t="s">
        <v>242</v>
      </c>
      <c r="Z1300" s="19"/>
      <c r="AA1300" s="19"/>
      <c r="AB1300" s="17"/>
      <c r="AC1300" s="19"/>
    </row>
    <row r="1301" customFormat="false" ht="22.35" hidden="false" customHeight="false" outlineLevel="0" collapsed="false">
      <c r="A1301" s="10" t="s">
        <v>6492</v>
      </c>
      <c r="B1301" s="17" t="s">
        <v>140</v>
      </c>
      <c r="C1301" s="18" t="s">
        <v>141</v>
      </c>
      <c r="D1301" s="17" t="s">
        <v>19</v>
      </c>
      <c r="E1301" s="17" t="s">
        <v>75</v>
      </c>
      <c r="F1301" s="17" t="s">
        <v>5996</v>
      </c>
      <c r="G1301" s="17" t="s">
        <v>6463</v>
      </c>
      <c r="H1301" s="17" t="s">
        <v>34</v>
      </c>
      <c r="I1301" s="17" t="s">
        <v>277</v>
      </c>
      <c r="J1301" s="17" t="s">
        <v>233</v>
      </c>
      <c r="K1301" s="19"/>
      <c r="L1301" s="19"/>
      <c r="M1301" s="19"/>
      <c r="N1301" s="19"/>
      <c r="O1301" s="17" t="n">
        <v>4</v>
      </c>
      <c r="P1301" s="18" t="s">
        <v>6464</v>
      </c>
      <c r="Q1301" s="18" t="s">
        <v>6481</v>
      </c>
      <c r="R1301" s="18" t="s">
        <v>6493</v>
      </c>
      <c r="S1301" s="17" t="s">
        <v>6486</v>
      </c>
      <c r="T1301" s="18" t="s">
        <v>6083</v>
      </c>
      <c r="U1301" s="19"/>
      <c r="V1301" s="18" t="s">
        <v>6494</v>
      </c>
      <c r="W1301" s="17" t="s">
        <v>240</v>
      </c>
      <c r="X1301" s="17" t="s">
        <v>6495</v>
      </c>
      <c r="Y1301" s="17" t="s">
        <v>242</v>
      </c>
      <c r="Z1301" s="19"/>
      <c r="AA1301" s="19"/>
      <c r="AB1301" s="17"/>
      <c r="AC1301" s="19"/>
    </row>
    <row r="1302" customFormat="false" ht="22.35" hidden="false" customHeight="false" outlineLevel="0" collapsed="false">
      <c r="A1302" s="10" t="s">
        <v>6496</v>
      </c>
      <c r="B1302" s="17" t="s">
        <v>140</v>
      </c>
      <c r="C1302" s="18" t="s">
        <v>141</v>
      </c>
      <c r="D1302" s="17" t="s">
        <v>19</v>
      </c>
      <c r="E1302" s="17" t="s">
        <v>75</v>
      </c>
      <c r="F1302" s="17" t="s">
        <v>5996</v>
      </c>
      <c r="G1302" s="17" t="s">
        <v>6463</v>
      </c>
      <c r="H1302" s="17" t="s">
        <v>34</v>
      </c>
      <c r="I1302" s="17" t="s">
        <v>2896</v>
      </c>
      <c r="J1302" s="17" t="s">
        <v>233</v>
      </c>
      <c r="K1302" s="19"/>
      <c r="L1302" s="19"/>
      <c r="M1302" s="19"/>
      <c r="N1302" s="19"/>
      <c r="O1302" s="17" t="n">
        <v>4</v>
      </c>
      <c r="P1302" s="18" t="s">
        <v>6464</v>
      </c>
      <c r="Q1302" s="18" t="s">
        <v>6481</v>
      </c>
      <c r="R1302" s="18" t="s">
        <v>6497</v>
      </c>
      <c r="S1302" s="17" t="s">
        <v>6480</v>
      </c>
      <c r="T1302" s="18" t="s">
        <v>6498</v>
      </c>
      <c r="U1302" s="19"/>
      <c r="V1302" s="18" t="s">
        <v>6499</v>
      </c>
      <c r="W1302" s="17" t="s">
        <v>240</v>
      </c>
      <c r="X1302" s="17" t="s">
        <v>6500</v>
      </c>
      <c r="Y1302" s="17" t="s">
        <v>242</v>
      </c>
      <c r="Z1302" s="19"/>
      <c r="AA1302" s="19"/>
      <c r="AB1302" s="17"/>
      <c r="AC1302" s="19"/>
    </row>
    <row r="1303" customFormat="false" ht="22.35" hidden="false" customHeight="false" outlineLevel="0" collapsed="false">
      <c r="A1303" s="10" t="s">
        <v>6501</v>
      </c>
      <c r="B1303" s="17" t="s">
        <v>140</v>
      </c>
      <c r="C1303" s="18" t="s">
        <v>141</v>
      </c>
      <c r="D1303" s="17" t="s">
        <v>19</v>
      </c>
      <c r="E1303" s="17" t="s">
        <v>75</v>
      </c>
      <c r="F1303" s="17" t="s">
        <v>5996</v>
      </c>
      <c r="G1303" s="17" t="s">
        <v>6463</v>
      </c>
      <c r="H1303" s="17" t="s">
        <v>34</v>
      </c>
      <c r="I1303" s="17" t="s">
        <v>316</v>
      </c>
      <c r="J1303" s="17" t="s">
        <v>233</v>
      </c>
      <c r="K1303" s="19"/>
      <c r="L1303" s="19"/>
      <c r="M1303" s="19"/>
      <c r="N1303" s="19"/>
      <c r="O1303" s="17" t="n">
        <v>4</v>
      </c>
      <c r="P1303" s="18" t="s">
        <v>6464</v>
      </c>
      <c r="Q1303" s="18" t="s">
        <v>6481</v>
      </c>
      <c r="R1303" s="18" t="s">
        <v>6502</v>
      </c>
      <c r="S1303" s="17" t="s">
        <v>6480</v>
      </c>
      <c r="T1303" s="18" t="s">
        <v>6503</v>
      </c>
      <c r="U1303" s="19"/>
      <c r="V1303" s="18" t="s">
        <v>6504</v>
      </c>
      <c r="W1303" s="17" t="s">
        <v>240</v>
      </c>
      <c r="X1303" s="17" t="s">
        <v>6505</v>
      </c>
      <c r="Y1303" s="17" t="s">
        <v>242</v>
      </c>
      <c r="Z1303" s="19"/>
      <c r="AA1303" s="19"/>
      <c r="AB1303" s="17"/>
      <c r="AC1303" s="19"/>
    </row>
    <row r="1304" customFormat="false" ht="22.35" hidden="false" customHeight="false" outlineLevel="0" collapsed="false">
      <c r="A1304" s="10" t="s">
        <v>6506</v>
      </c>
      <c r="B1304" s="17" t="s">
        <v>140</v>
      </c>
      <c r="C1304" s="18" t="s">
        <v>141</v>
      </c>
      <c r="D1304" s="17" t="s">
        <v>19</v>
      </c>
      <c r="E1304" s="17" t="s">
        <v>75</v>
      </c>
      <c r="F1304" s="17" t="s">
        <v>5996</v>
      </c>
      <c r="G1304" s="17" t="s">
        <v>6463</v>
      </c>
      <c r="H1304" s="17" t="s">
        <v>34</v>
      </c>
      <c r="I1304" s="17" t="s">
        <v>289</v>
      </c>
      <c r="J1304" s="17" t="s">
        <v>233</v>
      </c>
      <c r="K1304" s="19"/>
      <c r="L1304" s="19"/>
      <c r="M1304" s="19"/>
      <c r="N1304" s="19"/>
      <c r="O1304" s="17" t="n">
        <v>4</v>
      </c>
      <c r="P1304" s="18" t="s">
        <v>6464</v>
      </c>
      <c r="Q1304" s="18" t="s">
        <v>6507</v>
      </c>
      <c r="R1304" s="18" t="s">
        <v>6508</v>
      </c>
      <c r="S1304" s="17" t="s">
        <v>6486</v>
      </c>
      <c r="T1304" s="18" t="s">
        <v>6509</v>
      </c>
      <c r="U1304" s="19"/>
      <c r="V1304" s="18" t="s">
        <v>6510</v>
      </c>
      <c r="W1304" s="17" t="s">
        <v>240</v>
      </c>
      <c r="X1304" s="17" t="s">
        <v>6095</v>
      </c>
      <c r="Y1304" s="17" t="s">
        <v>242</v>
      </c>
      <c r="Z1304" s="19"/>
      <c r="AA1304" s="19"/>
      <c r="AB1304" s="17"/>
      <c r="AC1304" s="19"/>
    </row>
    <row r="1305" customFormat="false" ht="22.35" hidden="false" customHeight="false" outlineLevel="0" collapsed="false">
      <c r="A1305" s="10" t="s">
        <v>6511</v>
      </c>
      <c r="B1305" s="17" t="s">
        <v>140</v>
      </c>
      <c r="C1305" s="18" t="s">
        <v>141</v>
      </c>
      <c r="D1305" s="17" t="s">
        <v>19</v>
      </c>
      <c r="E1305" s="17" t="s">
        <v>229</v>
      </c>
      <c r="F1305" s="17" t="s">
        <v>5996</v>
      </c>
      <c r="G1305" s="17" t="s">
        <v>6463</v>
      </c>
      <c r="H1305" s="17" t="s">
        <v>34</v>
      </c>
      <c r="I1305" s="17" t="s">
        <v>289</v>
      </c>
      <c r="J1305" s="17" t="s">
        <v>233</v>
      </c>
      <c r="K1305" s="19"/>
      <c r="L1305" s="19"/>
      <c r="M1305" s="19"/>
      <c r="N1305" s="19"/>
      <c r="O1305" s="17" t="n">
        <v>4</v>
      </c>
      <c r="P1305" s="18" t="s">
        <v>6464</v>
      </c>
      <c r="Q1305" s="18" t="s">
        <v>6507</v>
      </c>
      <c r="R1305" s="18" t="s">
        <v>6512</v>
      </c>
      <c r="S1305" s="17" t="s">
        <v>6480</v>
      </c>
      <c r="T1305" s="18" t="s">
        <v>6513</v>
      </c>
      <c r="U1305" s="19"/>
      <c r="V1305" s="18" t="s">
        <v>6514</v>
      </c>
      <c r="W1305" s="17" t="s">
        <v>383</v>
      </c>
      <c r="X1305" s="17" t="s">
        <v>378</v>
      </c>
      <c r="Y1305" s="17" t="s">
        <v>242</v>
      </c>
      <c r="Z1305" s="19"/>
      <c r="AA1305" s="19"/>
      <c r="AB1305" s="17"/>
      <c r="AC1305" s="19"/>
    </row>
    <row r="1306" customFormat="false" ht="22.35" hidden="false" customHeight="false" outlineLevel="0" collapsed="false">
      <c r="A1306" s="10" t="s">
        <v>6515</v>
      </c>
      <c r="B1306" s="17" t="s">
        <v>140</v>
      </c>
      <c r="C1306" s="18" t="s">
        <v>141</v>
      </c>
      <c r="D1306" s="17" t="s">
        <v>19</v>
      </c>
      <c r="E1306" s="17" t="s">
        <v>75</v>
      </c>
      <c r="F1306" s="17" t="s">
        <v>5996</v>
      </c>
      <c r="G1306" s="17" t="s">
        <v>6463</v>
      </c>
      <c r="H1306" s="17" t="s">
        <v>34</v>
      </c>
      <c r="I1306" s="17" t="s">
        <v>369</v>
      </c>
      <c r="J1306" s="17" t="s">
        <v>233</v>
      </c>
      <c r="K1306" s="19"/>
      <c r="L1306" s="19"/>
      <c r="M1306" s="19"/>
      <c r="N1306" s="19"/>
      <c r="O1306" s="17" t="n">
        <v>4</v>
      </c>
      <c r="P1306" s="18" t="s">
        <v>6464</v>
      </c>
      <c r="Q1306" s="18" t="s">
        <v>6507</v>
      </c>
      <c r="R1306" s="18" t="s">
        <v>6516</v>
      </c>
      <c r="S1306" s="17" t="s">
        <v>6496</v>
      </c>
      <c r="T1306" s="18" t="s">
        <v>544</v>
      </c>
      <c r="U1306" s="19"/>
      <c r="V1306" s="18" t="s">
        <v>6517</v>
      </c>
      <c r="W1306" s="17" t="s">
        <v>240</v>
      </c>
      <c r="X1306" s="17" t="s">
        <v>6125</v>
      </c>
      <c r="Y1306" s="17" t="s">
        <v>242</v>
      </c>
      <c r="Z1306" s="19"/>
      <c r="AA1306" s="19"/>
      <c r="AB1306" s="17"/>
      <c r="AC1306" s="19"/>
    </row>
    <row r="1307" customFormat="false" ht="15" hidden="false" customHeight="false" outlineLevel="0" collapsed="false">
      <c r="A1307" s="10" t="s">
        <v>6518</v>
      </c>
      <c r="B1307" s="17" t="s">
        <v>140</v>
      </c>
      <c r="C1307" s="18" t="s">
        <v>141</v>
      </c>
      <c r="D1307" s="17" t="s">
        <v>19</v>
      </c>
      <c r="E1307" s="17" t="s">
        <v>75</v>
      </c>
      <c r="F1307" s="17" t="s">
        <v>5996</v>
      </c>
      <c r="G1307" s="17" t="s">
        <v>6463</v>
      </c>
      <c r="H1307" s="17" t="s">
        <v>34</v>
      </c>
      <c r="I1307" s="17" t="s">
        <v>283</v>
      </c>
      <c r="J1307" s="17" t="s">
        <v>233</v>
      </c>
      <c r="K1307" s="19"/>
      <c r="L1307" s="19"/>
      <c r="M1307" s="19"/>
      <c r="N1307" s="19"/>
      <c r="O1307" s="17" t="n">
        <v>4</v>
      </c>
      <c r="P1307" s="18" t="s">
        <v>6464</v>
      </c>
      <c r="Q1307" s="18" t="s">
        <v>6507</v>
      </c>
      <c r="R1307" s="18" t="s">
        <v>6519</v>
      </c>
      <c r="S1307" s="17" t="s">
        <v>6520</v>
      </c>
      <c r="T1307" s="18" t="s">
        <v>6037</v>
      </c>
      <c r="U1307" s="19"/>
      <c r="V1307" s="18" t="s">
        <v>6038</v>
      </c>
      <c r="W1307" s="17" t="s">
        <v>240</v>
      </c>
      <c r="X1307" s="17" t="s">
        <v>6039</v>
      </c>
      <c r="Y1307" s="17" t="s">
        <v>242</v>
      </c>
      <c r="Z1307" s="19"/>
      <c r="AA1307" s="19"/>
      <c r="AB1307" s="17"/>
      <c r="AC1307" s="19"/>
    </row>
    <row r="1308" customFormat="false" ht="32.8" hidden="false" customHeight="false" outlineLevel="0" collapsed="false">
      <c r="A1308" s="10" t="s">
        <v>6521</v>
      </c>
      <c r="B1308" s="17" t="s">
        <v>143</v>
      </c>
      <c r="C1308" s="18" t="s">
        <v>144</v>
      </c>
      <c r="D1308" s="17" t="s">
        <v>19</v>
      </c>
      <c r="E1308" s="17" t="s">
        <v>75</v>
      </c>
      <c r="F1308" s="17" t="s">
        <v>5996</v>
      </c>
      <c r="G1308" s="17" t="s">
        <v>6522</v>
      </c>
      <c r="H1308" s="17" t="s">
        <v>34</v>
      </c>
      <c r="I1308" s="17" t="s">
        <v>232</v>
      </c>
      <c r="J1308" s="17" t="s">
        <v>233</v>
      </c>
      <c r="K1308" s="19"/>
      <c r="L1308" s="19"/>
      <c r="M1308" s="19"/>
      <c r="N1308" s="19"/>
      <c r="O1308" s="17" t="n">
        <v>2</v>
      </c>
      <c r="P1308" s="18" t="s">
        <v>6523</v>
      </c>
      <c r="Q1308" s="18" t="s">
        <v>6524</v>
      </c>
      <c r="R1308" s="18" t="s">
        <v>6525</v>
      </c>
      <c r="S1308" s="17" t="s">
        <v>237</v>
      </c>
      <c r="T1308" s="18" t="s">
        <v>6526</v>
      </c>
      <c r="U1308" s="19"/>
      <c r="V1308" s="18" t="s">
        <v>6527</v>
      </c>
      <c r="W1308" s="17" t="s">
        <v>240</v>
      </c>
      <c r="X1308" s="17" t="s">
        <v>6528</v>
      </c>
      <c r="Y1308" s="17" t="s">
        <v>242</v>
      </c>
      <c r="Z1308" s="19"/>
      <c r="AA1308" s="19"/>
      <c r="AB1308" s="17"/>
      <c r="AC1308" s="19"/>
    </row>
    <row r="1309" customFormat="false" ht="22.35" hidden="false" customHeight="false" outlineLevel="0" collapsed="false">
      <c r="A1309" s="10" t="s">
        <v>6529</v>
      </c>
      <c r="B1309" s="17" t="s">
        <v>143</v>
      </c>
      <c r="C1309" s="18" t="s">
        <v>144</v>
      </c>
      <c r="D1309" s="17" t="s">
        <v>19</v>
      </c>
      <c r="E1309" s="17" t="s">
        <v>75</v>
      </c>
      <c r="F1309" s="17" t="s">
        <v>5996</v>
      </c>
      <c r="G1309" s="17" t="s">
        <v>6522</v>
      </c>
      <c r="H1309" s="17" t="s">
        <v>34</v>
      </c>
      <c r="I1309" s="17" t="s">
        <v>1786</v>
      </c>
      <c r="J1309" s="17" t="s">
        <v>233</v>
      </c>
      <c r="K1309" s="19"/>
      <c r="L1309" s="19"/>
      <c r="M1309" s="19"/>
      <c r="N1309" s="19"/>
      <c r="O1309" s="17" t="n">
        <v>2</v>
      </c>
      <c r="P1309" s="18" t="s">
        <v>6523</v>
      </c>
      <c r="Q1309" s="18" t="s">
        <v>6524</v>
      </c>
      <c r="R1309" s="18" t="s">
        <v>6530</v>
      </c>
      <c r="S1309" s="17" t="s">
        <v>237</v>
      </c>
      <c r="T1309" s="18" t="s">
        <v>6531</v>
      </c>
      <c r="U1309" s="19"/>
      <c r="V1309" s="18" t="s">
        <v>6532</v>
      </c>
      <c r="W1309" s="17" t="s">
        <v>240</v>
      </c>
      <c r="X1309" s="17" t="s">
        <v>6533</v>
      </c>
      <c r="Y1309" s="17" t="s">
        <v>242</v>
      </c>
      <c r="Z1309" s="19"/>
      <c r="AA1309" s="19"/>
      <c r="AB1309" s="17"/>
      <c r="AC1309" s="19"/>
    </row>
    <row r="1310" customFormat="false" ht="22.35" hidden="false" customHeight="false" outlineLevel="0" collapsed="false">
      <c r="A1310" s="10" t="s">
        <v>6534</v>
      </c>
      <c r="B1310" s="17" t="s">
        <v>143</v>
      </c>
      <c r="C1310" s="18" t="s">
        <v>144</v>
      </c>
      <c r="D1310" s="17" t="s">
        <v>19</v>
      </c>
      <c r="E1310" s="17" t="s">
        <v>75</v>
      </c>
      <c r="F1310" s="17" t="s">
        <v>5996</v>
      </c>
      <c r="G1310" s="17" t="s">
        <v>6522</v>
      </c>
      <c r="H1310" s="17" t="s">
        <v>34</v>
      </c>
      <c r="I1310" s="17" t="s">
        <v>2638</v>
      </c>
      <c r="J1310" s="17" t="s">
        <v>233</v>
      </c>
      <c r="K1310" s="19"/>
      <c r="L1310" s="19"/>
      <c r="M1310" s="19"/>
      <c r="N1310" s="19"/>
      <c r="O1310" s="17" t="n">
        <v>2</v>
      </c>
      <c r="P1310" s="18" t="s">
        <v>6523</v>
      </c>
      <c r="Q1310" s="18" t="s">
        <v>6524</v>
      </c>
      <c r="R1310" s="18" t="s">
        <v>6535</v>
      </c>
      <c r="S1310" s="17" t="s">
        <v>6020</v>
      </c>
      <c r="T1310" s="18" t="s">
        <v>6536</v>
      </c>
      <c r="U1310" s="19"/>
      <c r="V1310" s="18" t="s">
        <v>6537</v>
      </c>
      <c r="W1310" s="17" t="s">
        <v>240</v>
      </c>
      <c r="X1310" s="17" t="s">
        <v>6538</v>
      </c>
      <c r="Y1310" s="17" t="s">
        <v>242</v>
      </c>
      <c r="Z1310" s="19"/>
      <c r="AA1310" s="19"/>
      <c r="AB1310" s="17"/>
      <c r="AC1310" s="19"/>
    </row>
    <row r="1311" customFormat="false" ht="22.35" hidden="false" customHeight="false" outlineLevel="0" collapsed="false">
      <c r="A1311" s="10" t="s">
        <v>6539</v>
      </c>
      <c r="B1311" s="17" t="s">
        <v>143</v>
      </c>
      <c r="C1311" s="18" t="s">
        <v>144</v>
      </c>
      <c r="D1311" s="17" t="s">
        <v>19</v>
      </c>
      <c r="E1311" s="17" t="s">
        <v>75</v>
      </c>
      <c r="F1311" s="17" t="s">
        <v>5996</v>
      </c>
      <c r="G1311" s="17" t="s">
        <v>6522</v>
      </c>
      <c r="H1311" s="17" t="s">
        <v>34</v>
      </c>
      <c r="I1311" s="17" t="s">
        <v>2638</v>
      </c>
      <c r="J1311" s="17" t="s">
        <v>233</v>
      </c>
      <c r="K1311" s="19"/>
      <c r="L1311" s="19"/>
      <c r="M1311" s="19"/>
      <c r="N1311" s="19"/>
      <c r="O1311" s="17" t="n">
        <v>4</v>
      </c>
      <c r="P1311" s="18" t="s">
        <v>6523</v>
      </c>
      <c r="Q1311" s="18" t="s">
        <v>19</v>
      </c>
      <c r="R1311" s="18" t="s">
        <v>6540</v>
      </c>
      <c r="S1311" s="17" t="s">
        <v>6541</v>
      </c>
      <c r="T1311" s="18" t="s">
        <v>6542</v>
      </c>
      <c r="U1311" s="19"/>
      <c r="V1311" s="18" t="s">
        <v>6543</v>
      </c>
      <c r="W1311" s="17" t="s">
        <v>240</v>
      </c>
      <c r="X1311" s="17" t="s">
        <v>6544</v>
      </c>
      <c r="Y1311" s="17" t="s">
        <v>242</v>
      </c>
      <c r="Z1311" s="19"/>
      <c r="AA1311" s="19"/>
      <c r="AB1311" s="17"/>
      <c r="AC1311" s="19"/>
    </row>
    <row r="1312" customFormat="false" ht="22.35" hidden="false" customHeight="false" outlineLevel="0" collapsed="false">
      <c r="A1312" s="10" t="s">
        <v>6545</v>
      </c>
      <c r="B1312" s="17" t="s">
        <v>143</v>
      </c>
      <c r="C1312" s="18" t="s">
        <v>144</v>
      </c>
      <c r="D1312" s="17" t="s">
        <v>19</v>
      </c>
      <c r="E1312" s="17" t="s">
        <v>75</v>
      </c>
      <c r="F1312" s="17" t="s">
        <v>5996</v>
      </c>
      <c r="G1312" s="17" t="s">
        <v>6522</v>
      </c>
      <c r="H1312" s="17" t="s">
        <v>34</v>
      </c>
      <c r="I1312" s="17" t="s">
        <v>2638</v>
      </c>
      <c r="J1312" s="17" t="s">
        <v>233</v>
      </c>
      <c r="K1312" s="19"/>
      <c r="L1312" s="19"/>
      <c r="M1312" s="19"/>
      <c r="N1312" s="19"/>
      <c r="O1312" s="17" t="n">
        <v>4</v>
      </c>
      <c r="P1312" s="18" t="s">
        <v>6523</v>
      </c>
      <c r="Q1312" s="18" t="s">
        <v>19</v>
      </c>
      <c r="R1312" s="18" t="s">
        <v>6546</v>
      </c>
      <c r="S1312" s="17" t="s">
        <v>6547</v>
      </c>
      <c r="T1312" s="18" t="s">
        <v>6548</v>
      </c>
      <c r="U1312" s="19"/>
      <c r="V1312" s="18" t="s">
        <v>6549</v>
      </c>
      <c r="W1312" s="17" t="s">
        <v>240</v>
      </c>
      <c r="X1312" s="17" t="s">
        <v>6550</v>
      </c>
      <c r="Y1312" s="17" t="s">
        <v>242</v>
      </c>
      <c r="Z1312" s="19"/>
      <c r="AA1312" s="19"/>
      <c r="AB1312" s="17"/>
      <c r="AC1312" s="19"/>
    </row>
    <row r="1313" customFormat="false" ht="22.35" hidden="false" customHeight="false" outlineLevel="0" collapsed="false">
      <c r="A1313" s="10" t="s">
        <v>6551</v>
      </c>
      <c r="B1313" s="17" t="s">
        <v>143</v>
      </c>
      <c r="C1313" s="18" t="s">
        <v>144</v>
      </c>
      <c r="D1313" s="17" t="s">
        <v>19</v>
      </c>
      <c r="E1313" s="17" t="s">
        <v>229</v>
      </c>
      <c r="F1313" s="17" t="s">
        <v>5996</v>
      </c>
      <c r="G1313" s="17" t="s">
        <v>6522</v>
      </c>
      <c r="H1313" s="17" t="s">
        <v>34</v>
      </c>
      <c r="I1313" s="17" t="s">
        <v>2638</v>
      </c>
      <c r="J1313" s="17" t="s">
        <v>233</v>
      </c>
      <c r="K1313" s="19"/>
      <c r="L1313" s="19"/>
      <c r="M1313" s="19"/>
      <c r="N1313" s="19"/>
      <c r="O1313" s="17" t="n">
        <v>4</v>
      </c>
      <c r="P1313" s="18" t="s">
        <v>6523</v>
      </c>
      <c r="Q1313" s="18" t="s">
        <v>19</v>
      </c>
      <c r="R1313" s="18" t="s">
        <v>6552</v>
      </c>
      <c r="S1313" s="17" t="s">
        <v>6553</v>
      </c>
      <c r="T1313" s="18" t="s">
        <v>6554</v>
      </c>
      <c r="U1313" s="19"/>
      <c r="V1313" s="18" t="s">
        <v>6555</v>
      </c>
      <c r="W1313" s="17" t="s">
        <v>240</v>
      </c>
      <c r="X1313" s="17" t="s">
        <v>6556</v>
      </c>
      <c r="Y1313" s="17" t="s">
        <v>242</v>
      </c>
      <c r="Z1313" s="19"/>
      <c r="AA1313" s="19"/>
      <c r="AB1313" s="17"/>
      <c r="AC1313" s="19"/>
    </row>
    <row r="1314" customFormat="false" ht="22.35" hidden="false" customHeight="false" outlineLevel="0" collapsed="false">
      <c r="A1314" s="10" t="s">
        <v>6557</v>
      </c>
      <c r="B1314" s="17" t="s">
        <v>143</v>
      </c>
      <c r="C1314" s="18" t="s">
        <v>144</v>
      </c>
      <c r="D1314" s="17" t="s">
        <v>19</v>
      </c>
      <c r="E1314" s="17" t="s">
        <v>75</v>
      </c>
      <c r="F1314" s="17" t="s">
        <v>5996</v>
      </c>
      <c r="G1314" s="17" t="s">
        <v>6522</v>
      </c>
      <c r="H1314" s="17" t="s">
        <v>34</v>
      </c>
      <c r="I1314" s="17" t="s">
        <v>333</v>
      </c>
      <c r="J1314" s="17" t="s">
        <v>233</v>
      </c>
      <c r="K1314" s="19"/>
      <c r="L1314" s="19"/>
      <c r="M1314" s="19"/>
      <c r="N1314" s="19"/>
      <c r="O1314" s="17" t="n">
        <v>4</v>
      </c>
      <c r="P1314" s="18" t="s">
        <v>6523</v>
      </c>
      <c r="Q1314" s="18" t="s">
        <v>19</v>
      </c>
      <c r="R1314" s="18" t="s">
        <v>6558</v>
      </c>
      <c r="S1314" s="17" t="s">
        <v>6539</v>
      </c>
      <c r="T1314" s="18" t="s">
        <v>6559</v>
      </c>
      <c r="U1314" s="19"/>
      <c r="V1314" s="18" t="s">
        <v>6560</v>
      </c>
      <c r="W1314" s="17" t="s">
        <v>240</v>
      </c>
      <c r="X1314" s="17" t="s">
        <v>6561</v>
      </c>
      <c r="Y1314" s="17" t="s">
        <v>242</v>
      </c>
      <c r="Z1314" s="19"/>
      <c r="AA1314" s="19"/>
      <c r="AB1314" s="17"/>
      <c r="AC1314" s="19"/>
    </row>
    <row r="1315" customFormat="false" ht="22.35" hidden="false" customHeight="false" outlineLevel="0" collapsed="false">
      <c r="A1315" s="10" t="s">
        <v>6562</v>
      </c>
      <c r="B1315" s="17" t="s">
        <v>143</v>
      </c>
      <c r="C1315" s="18" t="s">
        <v>144</v>
      </c>
      <c r="D1315" s="17" t="s">
        <v>19</v>
      </c>
      <c r="E1315" s="17" t="s">
        <v>75</v>
      </c>
      <c r="F1315" s="17" t="s">
        <v>5996</v>
      </c>
      <c r="G1315" s="17" t="s">
        <v>6522</v>
      </c>
      <c r="H1315" s="17" t="s">
        <v>34</v>
      </c>
      <c r="I1315" s="17" t="s">
        <v>277</v>
      </c>
      <c r="J1315" s="17" t="s">
        <v>233</v>
      </c>
      <c r="K1315" s="19"/>
      <c r="L1315" s="19"/>
      <c r="M1315" s="19"/>
      <c r="N1315" s="19"/>
      <c r="O1315" s="17" t="n">
        <v>4</v>
      </c>
      <c r="P1315" s="18" t="s">
        <v>6523</v>
      </c>
      <c r="Q1315" s="18" t="s">
        <v>19</v>
      </c>
      <c r="R1315" s="18" t="s">
        <v>6563</v>
      </c>
      <c r="S1315" s="17" t="s">
        <v>6564</v>
      </c>
      <c r="T1315" s="18" t="s">
        <v>6565</v>
      </c>
      <c r="U1315" s="19"/>
      <c r="V1315" s="18" t="s">
        <v>6566</v>
      </c>
      <c r="W1315" s="17" t="s">
        <v>240</v>
      </c>
      <c r="X1315" s="17" t="s">
        <v>6567</v>
      </c>
      <c r="Y1315" s="17" t="s">
        <v>242</v>
      </c>
      <c r="Z1315" s="19"/>
      <c r="AA1315" s="19"/>
      <c r="AB1315" s="17"/>
      <c r="AC1315" s="19"/>
    </row>
    <row r="1316" customFormat="false" ht="15" hidden="false" customHeight="false" outlineLevel="0" collapsed="false">
      <c r="A1316" s="10" t="s">
        <v>6568</v>
      </c>
      <c r="B1316" s="17" t="s">
        <v>143</v>
      </c>
      <c r="C1316" s="18" t="s">
        <v>144</v>
      </c>
      <c r="D1316" s="17" t="s">
        <v>19</v>
      </c>
      <c r="E1316" s="17" t="s">
        <v>75</v>
      </c>
      <c r="F1316" s="17" t="s">
        <v>5996</v>
      </c>
      <c r="G1316" s="17" t="s">
        <v>6522</v>
      </c>
      <c r="H1316" s="17" t="s">
        <v>34</v>
      </c>
      <c r="I1316" s="17" t="s">
        <v>283</v>
      </c>
      <c r="J1316" s="17" t="s">
        <v>233</v>
      </c>
      <c r="K1316" s="19"/>
      <c r="L1316" s="19"/>
      <c r="M1316" s="19"/>
      <c r="N1316" s="19"/>
      <c r="O1316" s="17" t="n">
        <v>4</v>
      </c>
      <c r="P1316" s="18" t="s">
        <v>6523</v>
      </c>
      <c r="Q1316" s="18" t="s">
        <v>19</v>
      </c>
      <c r="R1316" s="18" t="s">
        <v>6569</v>
      </c>
      <c r="S1316" s="17" t="s">
        <v>6570</v>
      </c>
      <c r="T1316" s="18" t="s">
        <v>6037</v>
      </c>
      <c r="U1316" s="19"/>
      <c r="V1316" s="18" t="s">
        <v>6038</v>
      </c>
      <c r="W1316" s="17" t="s">
        <v>240</v>
      </c>
      <c r="X1316" s="17" t="s">
        <v>6039</v>
      </c>
      <c r="Y1316" s="17" t="s">
        <v>242</v>
      </c>
      <c r="Z1316" s="19"/>
      <c r="AA1316" s="19"/>
      <c r="AB1316" s="17"/>
      <c r="AC1316" s="19"/>
    </row>
    <row r="1317" customFormat="false" ht="22.35" hidden="false" customHeight="false" outlineLevel="0" collapsed="false">
      <c r="A1317" s="10" t="s">
        <v>6571</v>
      </c>
      <c r="B1317" s="17" t="s">
        <v>143</v>
      </c>
      <c r="C1317" s="18" t="s">
        <v>144</v>
      </c>
      <c r="D1317" s="17" t="s">
        <v>19</v>
      </c>
      <c r="E1317" s="17" t="s">
        <v>75</v>
      </c>
      <c r="F1317" s="17" t="s">
        <v>5996</v>
      </c>
      <c r="G1317" s="17" t="s">
        <v>6522</v>
      </c>
      <c r="H1317" s="17" t="s">
        <v>34</v>
      </c>
      <c r="I1317" s="17" t="s">
        <v>277</v>
      </c>
      <c r="J1317" s="17" t="s">
        <v>233</v>
      </c>
      <c r="K1317" s="19"/>
      <c r="L1317" s="19"/>
      <c r="M1317" s="19"/>
      <c r="N1317" s="19"/>
      <c r="O1317" s="17" t="n">
        <v>4</v>
      </c>
      <c r="P1317" s="18" t="s">
        <v>6572</v>
      </c>
      <c r="Q1317" s="18" t="s">
        <v>6408</v>
      </c>
      <c r="R1317" s="18" t="s">
        <v>6573</v>
      </c>
      <c r="S1317" s="17" t="s">
        <v>6568</v>
      </c>
      <c r="T1317" s="18" t="s">
        <v>6574</v>
      </c>
      <c r="U1317" s="19"/>
      <c r="V1317" s="18" t="s">
        <v>6575</v>
      </c>
      <c r="W1317" s="17" t="s">
        <v>240</v>
      </c>
      <c r="X1317" s="17" t="s">
        <v>6576</v>
      </c>
      <c r="Y1317" s="17" t="s">
        <v>242</v>
      </c>
      <c r="Z1317" s="19"/>
      <c r="AA1317" s="19"/>
      <c r="AB1317" s="17"/>
      <c r="AC1317" s="19"/>
    </row>
    <row r="1318" customFormat="false" ht="22.35" hidden="false" customHeight="false" outlineLevel="0" collapsed="false">
      <c r="A1318" s="10" t="s">
        <v>6577</v>
      </c>
      <c r="B1318" s="17" t="s">
        <v>143</v>
      </c>
      <c r="C1318" s="18" t="s">
        <v>144</v>
      </c>
      <c r="D1318" s="17" t="s">
        <v>19</v>
      </c>
      <c r="E1318" s="17" t="s">
        <v>75</v>
      </c>
      <c r="F1318" s="17" t="s">
        <v>5996</v>
      </c>
      <c r="G1318" s="17" t="s">
        <v>6522</v>
      </c>
      <c r="H1318" s="17" t="s">
        <v>34</v>
      </c>
      <c r="I1318" s="17" t="s">
        <v>277</v>
      </c>
      <c r="J1318" s="17" t="s">
        <v>233</v>
      </c>
      <c r="K1318" s="19"/>
      <c r="L1318" s="19"/>
      <c r="M1318" s="19"/>
      <c r="N1318" s="19"/>
      <c r="O1318" s="17" t="n">
        <v>4</v>
      </c>
      <c r="P1318" s="18" t="s">
        <v>6572</v>
      </c>
      <c r="Q1318" s="18" t="s">
        <v>6408</v>
      </c>
      <c r="R1318" s="18" t="s">
        <v>6578</v>
      </c>
      <c r="S1318" s="17" t="s">
        <v>6571</v>
      </c>
      <c r="T1318" s="18" t="s">
        <v>3818</v>
      </c>
      <c r="U1318" s="19"/>
      <c r="V1318" s="18" t="s">
        <v>6579</v>
      </c>
      <c r="W1318" s="17" t="s">
        <v>240</v>
      </c>
      <c r="X1318" s="17" t="s">
        <v>6580</v>
      </c>
      <c r="Y1318" s="17" t="s">
        <v>242</v>
      </c>
      <c r="Z1318" s="19"/>
      <c r="AA1318" s="19"/>
      <c r="AB1318" s="17"/>
      <c r="AC1318" s="19"/>
    </row>
    <row r="1319" customFormat="false" ht="22.35" hidden="false" customHeight="false" outlineLevel="0" collapsed="false">
      <c r="A1319" s="10" t="s">
        <v>6581</v>
      </c>
      <c r="B1319" s="17" t="s">
        <v>143</v>
      </c>
      <c r="C1319" s="18" t="s">
        <v>144</v>
      </c>
      <c r="D1319" s="17" t="s">
        <v>19</v>
      </c>
      <c r="E1319" s="17" t="s">
        <v>75</v>
      </c>
      <c r="F1319" s="17" t="s">
        <v>5996</v>
      </c>
      <c r="G1319" s="17" t="s">
        <v>6522</v>
      </c>
      <c r="H1319" s="17" t="s">
        <v>34</v>
      </c>
      <c r="I1319" s="17" t="s">
        <v>277</v>
      </c>
      <c r="J1319" s="17" t="s">
        <v>233</v>
      </c>
      <c r="K1319" s="19"/>
      <c r="L1319" s="19"/>
      <c r="M1319" s="19"/>
      <c r="N1319" s="19"/>
      <c r="O1319" s="17" t="n">
        <v>4</v>
      </c>
      <c r="P1319" s="18" t="s">
        <v>6572</v>
      </c>
      <c r="Q1319" s="18" t="s">
        <v>6408</v>
      </c>
      <c r="R1319" s="18" t="s">
        <v>6582</v>
      </c>
      <c r="S1319" s="17" t="s">
        <v>6571</v>
      </c>
      <c r="T1319" s="18" t="s">
        <v>6583</v>
      </c>
      <c r="U1319" s="19"/>
      <c r="V1319" s="18" t="s">
        <v>6584</v>
      </c>
      <c r="W1319" s="17" t="s">
        <v>240</v>
      </c>
      <c r="X1319" s="17" t="s">
        <v>6585</v>
      </c>
      <c r="Y1319" s="17" t="s">
        <v>242</v>
      </c>
      <c r="Z1319" s="19"/>
      <c r="AA1319" s="19"/>
      <c r="AB1319" s="17"/>
      <c r="AC1319" s="19"/>
    </row>
    <row r="1320" customFormat="false" ht="22.35" hidden="false" customHeight="false" outlineLevel="0" collapsed="false">
      <c r="A1320" s="10" t="s">
        <v>6586</v>
      </c>
      <c r="B1320" s="17" t="s">
        <v>143</v>
      </c>
      <c r="C1320" s="18" t="s">
        <v>144</v>
      </c>
      <c r="D1320" s="17" t="s">
        <v>19</v>
      </c>
      <c r="E1320" s="17" t="s">
        <v>229</v>
      </c>
      <c r="F1320" s="17" t="s">
        <v>5996</v>
      </c>
      <c r="G1320" s="17" t="s">
        <v>6522</v>
      </c>
      <c r="H1320" s="17" t="s">
        <v>34</v>
      </c>
      <c r="I1320" s="17" t="s">
        <v>289</v>
      </c>
      <c r="J1320" s="17" t="s">
        <v>233</v>
      </c>
      <c r="K1320" s="19"/>
      <c r="L1320" s="19"/>
      <c r="M1320" s="19"/>
      <c r="N1320" s="19"/>
      <c r="O1320" s="17" t="n">
        <v>4</v>
      </c>
      <c r="P1320" s="18" t="s">
        <v>6572</v>
      </c>
      <c r="Q1320" s="18" t="s">
        <v>6507</v>
      </c>
      <c r="R1320" s="18" t="s">
        <v>6587</v>
      </c>
      <c r="S1320" s="17" t="s">
        <v>6568</v>
      </c>
      <c r="T1320" s="18" t="s">
        <v>6588</v>
      </c>
      <c r="U1320" s="19"/>
      <c r="V1320" s="18" t="s">
        <v>6589</v>
      </c>
      <c r="W1320" s="17" t="s">
        <v>240</v>
      </c>
      <c r="X1320" s="17" t="s">
        <v>6590</v>
      </c>
      <c r="Y1320" s="17" t="s">
        <v>242</v>
      </c>
      <c r="Z1320" s="19"/>
      <c r="AA1320" s="19"/>
      <c r="AB1320" s="17"/>
      <c r="AC1320" s="19"/>
    </row>
    <row r="1321" customFormat="false" ht="22.35" hidden="false" customHeight="false" outlineLevel="0" collapsed="false">
      <c r="A1321" s="10" t="s">
        <v>6591</v>
      </c>
      <c r="B1321" s="17" t="s">
        <v>143</v>
      </c>
      <c r="C1321" s="18" t="s">
        <v>144</v>
      </c>
      <c r="D1321" s="17" t="s">
        <v>19</v>
      </c>
      <c r="E1321" s="17" t="s">
        <v>229</v>
      </c>
      <c r="F1321" s="17" t="s">
        <v>5996</v>
      </c>
      <c r="G1321" s="17" t="s">
        <v>6522</v>
      </c>
      <c r="H1321" s="17" t="s">
        <v>34</v>
      </c>
      <c r="I1321" s="17" t="s">
        <v>289</v>
      </c>
      <c r="J1321" s="17" t="s">
        <v>233</v>
      </c>
      <c r="K1321" s="19"/>
      <c r="L1321" s="19"/>
      <c r="M1321" s="19"/>
      <c r="N1321" s="19"/>
      <c r="O1321" s="17" t="n">
        <v>4</v>
      </c>
      <c r="P1321" s="18" t="s">
        <v>6572</v>
      </c>
      <c r="Q1321" s="18" t="s">
        <v>6507</v>
      </c>
      <c r="R1321" s="18" t="s">
        <v>6592</v>
      </c>
      <c r="S1321" s="17" t="s">
        <v>6586</v>
      </c>
      <c r="T1321" s="18" t="s">
        <v>6256</v>
      </c>
      <c r="U1321" s="19"/>
      <c r="V1321" s="18" t="s">
        <v>6593</v>
      </c>
      <c r="W1321" s="17" t="s">
        <v>383</v>
      </c>
      <c r="X1321" s="17" t="s">
        <v>378</v>
      </c>
      <c r="Y1321" s="17" t="s">
        <v>242</v>
      </c>
      <c r="Z1321" s="19"/>
      <c r="AA1321" s="19"/>
      <c r="AB1321" s="17"/>
      <c r="AC1321" s="19"/>
    </row>
    <row r="1322" customFormat="false" ht="22.35" hidden="false" customHeight="false" outlineLevel="0" collapsed="false">
      <c r="A1322" s="10" t="s">
        <v>6594</v>
      </c>
      <c r="B1322" s="17" t="s">
        <v>143</v>
      </c>
      <c r="C1322" s="18" t="s">
        <v>144</v>
      </c>
      <c r="D1322" s="17" t="s">
        <v>19</v>
      </c>
      <c r="E1322" s="17" t="s">
        <v>75</v>
      </c>
      <c r="F1322" s="17" t="s">
        <v>5996</v>
      </c>
      <c r="G1322" s="17" t="s">
        <v>6522</v>
      </c>
      <c r="H1322" s="17" t="s">
        <v>34</v>
      </c>
      <c r="I1322" s="17" t="s">
        <v>289</v>
      </c>
      <c r="J1322" s="17" t="s">
        <v>233</v>
      </c>
      <c r="K1322" s="19"/>
      <c r="L1322" s="19"/>
      <c r="M1322" s="19"/>
      <c r="N1322" s="19"/>
      <c r="O1322" s="17" t="n">
        <v>4</v>
      </c>
      <c r="P1322" s="18" t="s">
        <v>6572</v>
      </c>
      <c r="Q1322" s="18" t="s">
        <v>6507</v>
      </c>
      <c r="R1322" s="18" t="s">
        <v>6595</v>
      </c>
      <c r="S1322" s="17" t="s">
        <v>6551</v>
      </c>
      <c r="T1322" s="18" t="s">
        <v>6509</v>
      </c>
      <c r="U1322" s="19"/>
      <c r="V1322" s="18" t="s">
        <v>6596</v>
      </c>
      <c r="W1322" s="17" t="s">
        <v>240</v>
      </c>
      <c r="X1322" s="17" t="s">
        <v>6095</v>
      </c>
      <c r="Y1322" s="17" t="s">
        <v>242</v>
      </c>
      <c r="Z1322" s="19"/>
      <c r="AA1322" s="19"/>
      <c r="AB1322" s="17"/>
      <c r="AC1322" s="19"/>
    </row>
    <row r="1323" customFormat="false" ht="22.35" hidden="false" customHeight="false" outlineLevel="0" collapsed="false">
      <c r="A1323" s="10" t="s">
        <v>6597</v>
      </c>
      <c r="B1323" s="17" t="s">
        <v>143</v>
      </c>
      <c r="C1323" s="18" t="s">
        <v>144</v>
      </c>
      <c r="D1323" s="17" t="s">
        <v>19</v>
      </c>
      <c r="E1323" s="17" t="s">
        <v>75</v>
      </c>
      <c r="F1323" s="17" t="s">
        <v>5996</v>
      </c>
      <c r="G1323" s="17" t="s">
        <v>6522</v>
      </c>
      <c r="H1323" s="17" t="s">
        <v>34</v>
      </c>
      <c r="I1323" s="17" t="s">
        <v>369</v>
      </c>
      <c r="J1323" s="17" t="s">
        <v>233</v>
      </c>
      <c r="K1323" s="19"/>
      <c r="L1323" s="19"/>
      <c r="M1323" s="19"/>
      <c r="N1323" s="19"/>
      <c r="O1323" s="17" t="n">
        <v>4</v>
      </c>
      <c r="P1323" s="18" t="s">
        <v>6572</v>
      </c>
      <c r="Q1323" s="18" t="s">
        <v>6507</v>
      </c>
      <c r="R1323" s="18" t="s">
        <v>6598</v>
      </c>
      <c r="S1323" s="17" t="s">
        <v>6586</v>
      </c>
      <c r="T1323" s="18" t="s">
        <v>544</v>
      </c>
      <c r="U1323" s="19"/>
      <c r="V1323" s="18" t="s">
        <v>6599</v>
      </c>
      <c r="W1323" s="17" t="s">
        <v>240</v>
      </c>
      <c r="X1323" s="17" t="s">
        <v>6125</v>
      </c>
      <c r="Y1323" s="17" t="s">
        <v>242</v>
      </c>
      <c r="Z1323" s="19"/>
      <c r="AA1323" s="19"/>
      <c r="AB1323" s="17"/>
      <c r="AC1323" s="19"/>
    </row>
    <row r="1324" customFormat="false" ht="15" hidden="false" customHeight="false" outlineLevel="0" collapsed="false">
      <c r="A1324" s="10" t="s">
        <v>6600</v>
      </c>
      <c r="B1324" s="17" t="s">
        <v>143</v>
      </c>
      <c r="C1324" s="18" t="s">
        <v>144</v>
      </c>
      <c r="D1324" s="17" t="s">
        <v>19</v>
      </c>
      <c r="E1324" s="17" t="s">
        <v>75</v>
      </c>
      <c r="F1324" s="17" t="s">
        <v>5996</v>
      </c>
      <c r="G1324" s="17" t="s">
        <v>6522</v>
      </c>
      <c r="H1324" s="17" t="s">
        <v>34</v>
      </c>
      <c r="I1324" s="17" t="s">
        <v>283</v>
      </c>
      <c r="J1324" s="17" t="s">
        <v>233</v>
      </c>
      <c r="K1324" s="19"/>
      <c r="L1324" s="19"/>
      <c r="M1324" s="19"/>
      <c r="N1324" s="19"/>
      <c r="O1324" s="17" t="n">
        <v>4</v>
      </c>
      <c r="P1324" s="18" t="s">
        <v>6572</v>
      </c>
      <c r="Q1324" s="18" t="s">
        <v>6507</v>
      </c>
      <c r="R1324" s="18" t="s">
        <v>6601</v>
      </c>
      <c r="S1324" s="17" t="s">
        <v>6602</v>
      </c>
      <c r="T1324" s="18" t="s">
        <v>6037</v>
      </c>
      <c r="U1324" s="19"/>
      <c r="V1324" s="18" t="s">
        <v>6038</v>
      </c>
      <c r="W1324" s="17" t="s">
        <v>240</v>
      </c>
      <c r="X1324" s="17" t="s">
        <v>6039</v>
      </c>
      <c r="Y1324" s="17" t="s">
        <v>242</v>
      </c>
      <c r="Z1324" s="19"/>
      <c r="AA1324" s="19"/>
      <c r="AB1324" s="17"/>
      <c r="AC1324" s="19"/>
    </row>
    <row r="1325" customFormat="false" ht="22.35" hidden="false" customHeight="false" outlineLevel="0" collapsed="false">
      <c r="A1325" s="10" t="s">
        <v>6603</v>
      </c>
      <c r="B1325" s="17" t="s">
        <v>150</v>
      </c>
      <c r="C1325" s="18" t="s">
        <v>151</v>
      </c>
      <c r="D1325" s="17" t="s">
        <v>19</v>
      </c>
      <c r="E1325" s="17" t="s">
        <v>75</v>
      </c>
      <c r="F1325" s="17" t="s">
        <v>5996</v>
      </c>
      <c r="G1325" s="17" t="s">
        <v>152</v>
      </c>
      <c r="H1325" s="17" t="s">
        <v>34</v>
      </c>
      <c r="I1325" s="17" t="s">
        <v>1028</v>
      </c>
      <c r="J1325" s="17" t="s">
        <v>233</v>
      </c>
      <c r="K1325" s="19"/>
      <c r="L1325" s="19"/>
      <c r="M1325" s="19"/>
      <c r="N1325" s="19"/>
      <c r="O1325" s="17" t="n">
        <v>3</v>
      </c>
      <c r="P1325" s="18" t="s">
        <v>6604</v>
      </c>
      <c r="Q1325" s="18" t="s">
        <v>6605</v>
      </c>
      <c r="R1325" s="18" t="s">
        <v>6606</v>
      </c>
      <c r="S1325" s="17" t="s">
        <v>6607</v>
      </c>
      <c r="T1325" s="18" t="s">
        <v>6608</v>
      </c>
      <c r="U1325" s="19"/>
      <c r="V1325" s="18" t="s">
        <v>6609</v>
      </c>
      <c r="W1325" s="17" t="s">
        <v>240</v>
      </c>
      <c r="X1325" s="17" t="s">
        <v>6610</v>
      </c>
      <c r="Y1325" s="17" t="s">
        <v>242</v>
      </c>
      <c r="Z1325" s="19"/>
      <c r="AA1325" s="19"/>
      <c r="AB1325" s="17"/>
      <c r="AC1325" s="19"/>
    </row>
    <row r="1326" customFormat="false" ht="22.35" hidden="false" customHeight="false" outlineLevel="0" collapsed="false">
      <c r="A1326" s="10" t="s">
        <v>6611</v>
      </c>
      <c r="B1326" s="17" t="s">
        <v>150</v>
      </c>
      <c r="C1326" s="18" t="s">
        <v>151</v>
      </c>
      <c r="D1326" s="17" t="s">
        <v>19</v>
      </c>
      <c r="E1326" s="17" t="s">
        <v>75</v>
      </c>
      <c r="F1326" s="17" t="s">
        <v>5996</v>
      </c>
      <c r="G1326" s="17" t="s">
        <v>152</v>
      </c>
      <c r="H1326" s="17" t="s">
        <v>34</v>
      </c>
      <c r="I1326" s="17" t="s">
        <v>1786</v>
      </c>
      <c r="J1326" s="17" t="s">
        <v>233</v>
      </c>
      <c r="K1326" s="19"/>
      <c r="L1326" s="19"/>
      <c r="M1326" s="19"/>
      <c r="N1326" s="19"/>
      <c r="O1326" s="17" t="n">
        <v>3</v>
      </c>
      <c r="P1326" s="18" t="s">
        <v>6604</v>
      </c>
      <c r="Q1326" s="18" t="s">
        <v>6605</v>
      </c>
      <c r="R1326" s="18" t="s">
        <v>6612</v>
      </c>
      <c r="S1326" s="17" t="s">
        <v>6603</v>
      </c>
      <c r="T1326" s="18" t="s">
        <v>6613</v>
      </c>
      <c r="U1326" s="19"/>
      <c r="V1326" s="18" t="s">
        <v>6614</v>
      </c>
      <c r="W1326" s="17" t="s">
        <v>240</v>
      </c>
      <c r="X1326" s="17" t="s">
        <v>6615</v>
      </c>
      <c r="Y1326" s="17" t="s">
        <v>242</v>
      </c>
      <c r="Z1326" s="19"/>
      <c r="AA1326" s="19"/>
      <c r="AB1326" s="17"/>
      <c r="AC1326" s="19"/>
    </row>
    <row r="1327" customFormat="false" ht="22.35" hidden="false" customHeight="false" outlineLevel="0" collapsed="false">
      <c r="A1327" s="10" t="s">
        <v>6616</v>
      </c>
      <c r="B1327" s="17" t="s">
        <v>150</v>
      </c>
      <c r="C1327" s="18" t="s">
        <v>151</v>
      </c>
      <c r="D1327" s="17" t="s">
        <v>19</v>
      </c>
      <c r="E1327" s="17" t="s">
        <v>75</v>
      </c>
      <c r="F1327" s="17" t="s">
        <v>5996</v>
      </c>
      <c r="G1327" s="17" t="s">
        <v>152</v>
      </c>
      <c r="H1327" s="17" t="s">
        <v>34</v>
      </c>
      <c r="I1327" s="17" t="s">
        <v>1786</v>
      </c>
      <c r="J1327" s="17" t="s">
        <v>233</v>
      </c>
      <c r="K1327" s="19"/>
      <c r="L1327" s="19"/>
      <c r="M1327" s="19"/>
      <c r="N1327" s="19"/>
      <c r="O1327" s="17" t="n">
        <v>3</v>
      </c>
      <c r="P1327" s="18" t="s">
        <v>6604</v>
      </c>
      <c r="Q1327" s="18" t="s">
        <v>6605</v>
      </c>
      <c r="R1327" s="18" t="s">
        <v>6617</v>
      </c>
      <c r="S1327" s="17" t="s">
        <v>6611</v>
      </c>
      <c r="T1327" s="18" t="s">
        <v>6618</v>
      </c>
      <c r="U1327" s="19"/>
      <c r="V1327" s="18" t="s">
        <v>6619</v>
      </c>
      <c r="W1327" s="17" t="s">
        <v>240</v>
      </c>
      <c r="X1327" s="17" t="s">
        <v>6620</v>
      </c>
      <c r="Y1327" s="17" t="s">
        <v>242</v>
      </c>
      <c r="Z1327" s="19"/>
      <c r="AA1327" s="19"/>
      <c r="AB1327" s="17"/>
      <c r="AC1327" s="19"/>
    </row>
    <row r="1328" customFormat="false" ht="32.8" hidden="false" customHeight="false" outlineLevel="0" collapsed="false">
      <c r="A1328" s="10" t="s">
        <v>6621</v>
      </c>
      <c r="B1328" s="17" t="s">
        <v>150</v>
      </c>
      <c r="C1328" s="18" t="s">
        <v>151</v>
      </c>
      <c r="D1328" s="17" t="s">
        <v>19</v>
      </c>
      <c r="E1328" s="17" t="s">
        <v>75</v>
      </c>
      <c r="F1328" s="17" t="s">
        <v>5996</v>
      </c>
      <c r="G1328" s="17" t="s">
        <v>152</v>
      </c>
      <c r="H1328" s="17" t="s">
        <v>34</v>
      </c>
      <c r="I1328" s="17" t="s">
        <v>450</v>
      </c>
      <c r="J1328" s="17" t="s">
        <v>233</v>
      </c>
      <c r="K1328" s="19"/>
      <c r="L1328" s="19"/>
      <c r="M1328" s="19"/>
      <c r="N1328" s="19"/>
      <c r="O1328" s="17" t="n">
        <v>3</v>
      </c>
      <c r="P1328" s="18" t="s">
        <v>6604</v>
      </c>
      <c r="Q1328" s="18" t="s">
        <v>6605</v>
      </c>
      <c r="R1328" s="18" t="s">
        <v>6622</v>
      </c>
      <c r="S1328" s="17" t="s">
        <v>6623</v>
      </c>
      <c r="T1328" s="18" t="s">
        <v>6624</v>
      </c>
      <c r="U1328" s="19"/>
      <c r="V1328" s="18" t="s">
        <v>6625</v>
      </c>
      <c r="W1328" s="17" t="s">
        <v>240</v>
      </c>
      <c r="X1328" s="17" t="s">
        <v>6626</v>
      </c>
      <c r="Y1328" s="17" t="s">
        <v>242</v>
      </c>
      <c r="Z1328" s="19"/>
      <c r="AA1328" s="19"/>
      <c r="AB1328" s="17"/>
      <c r="AC1328" s="19"/>
    </row>
    <row r="1329" customFormat="false" ht="22.35" hidden="false" customHeight="false" outlineLevel="0" collapsed="false">
      <c r="A1329" s="10" t="s">
        <v>6627</v>
      </c>
      <c r="B1329" s="17" t="s">
        <v>150</v>
      </c>
      <c r="C1329" s="18" t="s">
        <v>151</v>
      </c>
      <c r="D1329" s="17" t="s">
        <v>19</v>
      </c>
      <c r="E1329" s="17" t="s">
        <v>75</v>
      </c>
      <c r="F1329" s="17" t="s">
        <v>5996</v>
      </c>
      <c r="G1329" s="17" t="s">
        <v>152</v>
      </c>
      <c r="H1329" s="17" t="s">
        <v>34</v>
      </c>
      <c r="I1329" s="17" t="s">
        <v>1028</v>
      </c>
      <c r="J1329" s="17" t="s">
        <v>233</v>
      </c>
      <c r="K1329" s="19"/>
      <c r="L1329" s="19"/>
      <c r="M1329" s="19"/>
      <c r="N1329" s="19"/>
      <c r="O1329" s="17" t="n">
        <v>3</v>
      </c>
      <c r="P1329" s="18" t="s">
        <v>6604</v>
      </c>
      <c r="Q1329" s="18" t="s">
        <v>6605</v>
      </c>
      <c r="R1329" s="18" t="s">
        <v>6628</v>
      </c>
      <c r="S1329" s="17" t="s">
        <v>6611</v>
      </c>
      <c r="T1329" s="18" t="s">
        <v>6629</v>
      </c>
      <c r="U1329" s="19"/>
      <c r="V1329" s="18" t="s">
        <v>6630</v>
      </c>
      <c r="W1329" s="17" t="s">
        <v>5511</v>
      </c>
      <c r="X1329" s="17" t="s">
        <v>6631</v>
      </c>
      <c r="Y1329" s="17" t="s">
        <v>242</v>
      </c>
      <c r="Z1329" s="19"/>
      <c r="AA1329" s="19"/>
      <c r="AB1329" s="17"/>
      <c r="AC1329" s="19"/>
    </row>
    <row r="1330" customFormat="false" ht="22.35" hidden="false" customHeight="false" outlineLevel="0" collapsed="false">
      <c r="A1330" s="10" t="s">
        <v>6632</v>
      </c>
      <c r="B1330" s="17" t="s">
        <v>150</v>
      </c>
      <c r="C1330" s="18" t="s">
        <v>151</v>
      </c>
      <c r="D1330" s="17" t="s">
        <v>19</v>
      </c>
      <c r="E1330" s="17" t="s">
        <v>75</v>
      </c>
      <c r="F1330" s="17" t="s">
        <v>5996</v>
      </c>
      <c r="G1330" s="17" t="s">
        <v>152</v>
      </c>
      <c r="H1330" s="17" t="s">
        <v>34</v>
      </c>
      <c r="I1330" s="17" t="s">
        <v>283</v>
      </c>
      <c r="J1330" s="17" t="s">
        <v>233</v>
      </c>
      <c r="K1330" s="19"/>
      <c r="L1330" s="19"/>
      <c r="M1330" s="19"/>
      <c r="N1330" s="19"/>
      <c r="O1330" s="17" t="n">
        <v>3</v>
      </c>
      <c r="P1330" s="18" t="s">
        <v>6604</v>
      </c>
      <c r="Q1330" s="18" t="s">
        <v>6605</v>
      </c>
      <c r="R1330" s="18" t="s">
        <v>6633</v>
      </c>
      <c r="S1330" s="17" t="s">
        <v>6634</v>
      </c>
      <c r="T1330" s="18" t="s">
        <v>6037</v>
      </c>
      <c r="U1330" s="19"/>
      <c r="V1330" s="18" t="s">
        <v>6038</v>
      </c>
      <c r="W1330" s="17" t="s">
        <v>240</v>
      </c>
      <c r="X1330" s="17" t="s">
        <v>6039</v>
      </c>
      <c r="Y1330" s="17" t="s">
        <v>242</v>
      </c>
      <c r="Z1330" s="19"/>
      <c r="AA1330" s="19"/>
      <c r="AB1330" s="17"/>
      <c r="AC1330" s="19"/>
    </row>
    <row r="1331" customFormat="false" ht="22.35" hidden="false" customHeight="false" outlineLevel="0" collapsed="false">
      <c r="A1331" s="10" t="s">
        <v>6635</v>
      </c>
      <c r="B1331" s="17" t="s">
        <v>150</v>
      </c>
      <c r="C1331" s="18" t="s">
        <v>151</v>
      </c>
      <c r="D1331" s="17" t="s">
        <v>19</v>
      </c>
      <c r="E1331" s="17" t="s">
        <v>75</v>
      </c>
      <c r="F1331" s="17" t="s">
        <v>5996</v>
      </c>
      <c r="G1331" s="17" t="s">
        <v>152</v>
      </c>
      <c r="H1331" s="17" t="s">
        <v>34</v>
      </c>
      <c r="I1331" s="17" t="s">
        <v>2638</v>
      </c>
      <c r="J1331" s="17" t="s">
        <v>233</v>
      </c>
      <c r="K1331" s="19"/>
      <c r="L1331" s="19"/>
      <c r="M1331" s="19"/>
      <c r="N1331" s="19"/>
      <c r="O1331" s="17" t="n">
        <v>4</v>
      </c>
      <c r="P1331" s="18" t="s">
        <v>6636</v>
      </c>
      <c r="Q1331" s="18" t="s">
        <v>19</v>
      </c>
      <c r="R1331" s="18" t="s">
        <v>6637</v>
      </c>
      <c r="S1331" s="17" t="s">
        <v>6632</v>
      </c>
      <c r="T1331" s="18" t="s">
        <v>6638</v>
      </c>
      <c r="U1331" s="19"/>
      <c r="V1331" s="18" t="s">
        <v>6639</v>
      </c>
      <c r="W1331" s="17" t="s">
        <v>240</v>
      </c>
      <c r="X1331" s="17" t="s">
        <v>6640</v>
      </c>
      <c r="Y1331" s="17" t="s">
        <v>242</v>
      </c>
      <c r="Z1331" s="19"/>
      <c r="AA1331" s="19"/>
      <c r="AB1331" s="17"/>
      <c r="AC1331" s="19"/>
    </row>
    <row r="1332" customFormat="false" ht="22.35" hidden="false" customHeight="false" outlineLevel="0" collapsed="false">
      <c r="A1332" s="10" t="s">
        <v>6641</v>
      </c>
      <c r="B1332" s="17" t="s">
        <v>150</v>
      </c>
      <c r="C1332" s="18" t="s">
        <v>151</v>
      </c>
      <c r="D1332" s="17" t="s">
        <v>19</v>
      </c>
      <c r="E1332" s="17" t="s">
        <v>75</v>
      </c>
      <c r="F1332" s="17" t="s">
        <v>5996</v>
      </c>
      <c r="G1332" s="17" t="s">
        <v>152</v>
      </c>
      <c r="H1332" s="17" t="s">
        <v>34</v>
      </c>
      <c r="I1332" s="17" t="s">
        <v>2638</v>
      </c>
      <c r="J1332" s="17" t="s">
        <v>233</v>
      </c>
      <c r="K1332" s="19"/>
      <c r="L1332" s="19"/>
      <c r="M1332" s="19"/>
      <c r="N1332" s="19"/>
      <c r="O1332" s="17" t="n">
        <v>4</v>
      </c>
      <c r="P1332" s="18" t="s">
        <v>6636</v>
      </c>
      <c r="Q1332" s="18" t="s">
        <v>19</v>
      </c>
      <c r="R1332" s="18" t="s">
        <v>6642</v>
      </c>
      <c r="S1332" s="17" t="s">
        <v>6643</v>
      </c>
      <c r="T1332" s="18" t="s">
        <v>6644</v>
      </c>
      <c r="U1332" s="19"/>
      <c r="V1332" s="18" t="s">
        <v>6645</v>
      </c>
      <c r="W1332" s="17" t="s">
        <v>240</v>
      </c>
      <c r="X1332" s="17" t="s">
        <v>6646</v>
      </c>
      <c r="Y1332" s="17" t="s">
        <v>242</v>
      </c>
      <c r="Z1332" s="19"/>
      <c r="AA1332" s="19"/>
      <c r="AB1332" s="17"/>
      <c r="AC1332" s="19"/>
    </row>
    <row r="1333" customFormat="false" ht="22.35" hidden="false" customHeight="false" outlineLevel="0" collapsed="false">
      <c r="A1333" s="10" t="s">
        <v>6647</v>
      </c>
      <c r="B1333" s="17" t="s">
        <v>150</v>
      </c>
      <c r="C1333" s="18" t="s">
        <v>151</v>
      </c>
      <c r="D1333" s="17" t="s">
        <v>19</v>
      </c>
      <c r="E1333" s="17" t="s">
        <v>75</v>
      </c>
      <c r="F1333" s="17" t="s">
        <v>5996</v>
      </c>
      <c r="G1333" s="17" t="s">
        <v>152</v>
      </c>
      <c r="H1333" s="17" t="s">
        <v>34</v>
      </c>
      <c r="I1333" s="17" t="s">
        <v>333</v>
      </c>
      <c r="J1333" s="17" t="s">
        <v>233</v>
      </c>
      <c r="K1333" s="19"/>
      <c r="L1333" s="19"/>
      <c r="M1333" s="19"/>
      <c r="N1333" s="19"/>
      <c r="O1333" s="17" t="n">
        <v>4</v>
      </c>
      <c r="P1333" s="18" t="s">
        <v>6636</v>
      </c>
      <c r="Q1333" s="18" t="s">
        <v>19</v>
      </c>
      <c r="R1333" s="18" t="s">
        <v>6648</v>
      </c>
      <c r="S1333" s="17" t="s">
        <v>6649</v>
      </c>
      <c r="T1333" s="18" t="s">
        <v>6650</v>
      </c>
      <c r="U1333" s="19"/>
      <c r="V1333" s="18" t="s">
        <v>6651</v>
      </c>
      <c r="W1333" s="17" t="s">
        <v>5511</v>
      </c>
      <c r="X1333" s="17" t="s">
        <v>6652</v>
      </c>
      <c r="Y1333" s="17" t="s">
        <v>242</v>
      </c>
      <c r="Z1333" s="19"/>
      <c r="AA1333" s="19"/>
      <c r="AB1333" s="17"/>
      <c r="AC1333" s="19"/>
    </row>
    <row r="1334" customFormat="false" ht="22.35" hidden="false" customHeight="false" outlineLevel="0" collapsed="false">
      <c r="A1334" s="10" t="s">
        <v>6653</v>
      </c>
      <c r="B1334" s="17" t="s">
        <v>150</v>
      </c>
      <c r="C1334" s="18" t="s">
        <v>151</v>
      </c>
      <c r="D1334" s="17" t="s">
        <v>19</v>
      </c>
      <c r="E1334" s="17" t="s">
        <v>75</v>
      </c>
      <c r="F1334" s="17" t="s">
        <v>5996</v>
      </c>
      <c r="G1334" s="17" t="s">
        <v>152</v>
      </c>
      <c r="H1334" s="17" t="s">
        <v>34</v>
      </c>
      <c r="I1334" s="17" t="s">
        <v>277</v>
      </c>
      <c r="J1334" s="17" t="s">
        <v>233</v>
      </c>
      <c r="K1334" s="19"/>
      <c r="L1334" s="19"/>
      <c r="M1334" s="19"/>
      <c r="N1334" s="19"/>
      <c r="O1334" s="17" t="n">
        <v>4</v>
      </c>
      <c r="P1334" s="18" t="s">
        <v>6636</v>
      </c>
      <c r="Q1334" s="18" t="s">
        <v>6654</v>
      </c>
      <c r="R1334" s="18" t="s">
        <v>6655</v>
      </c>
      <c r="S1334" s="17" t="s">
        <v>6635</v>
      </c>
      <c r="T1334" s="18" t="s">
        <v>6656</v>
      </c>
      <c r="U1334" s="19"/>
      <c r="V1334" s="18" t="s">
        <v>6657</v>
      </c>
      <c r="W1334" s="17" t="s">
        <v>240</v>
      </c>
      <c r="X1334" s="17" t="s">
        <v>6658</v>
      </c>
      <c r="Y1334" s="17" t="s">
        <v>242</v>
      </c>
      <c r="Z1334" s="19"/>
      <c r="AA1334" s="19"/>
      <c r="AB1334" s="17"/>
      <c r="AC1334" s="19"/>
    </row>
    <row r="1335" customFormat="false" ht="22.35" hidden="false" customHeight="false" outlineLevel="0" collapsed="false">
      <c r="A1335" s="10" t="s">
        <v>6659</v>
      </c>
      <c r="B1335" s="17" t="s">
        <v>150</v>
      </c>
      <c r="C1335" s="18" t="s">
        <v>151</v>
      </c>
      <c r="D1335" s="17" t="s">
        <v>19</v>
      </c>
      <c r="E1335" s="17" t="s">
        <v>75</v>
      </c>
      <c r="F1335" s="17" t="s">
        <v>5996</v>
      </c>
      <c r="G1335" s="17" t="s">
        <v>152</v>
      </c>
      <c r="H1335" s="17" t="s">
        <v>34</v>
      </c>
      <c r="I1335" s="17" t="s">
        <v>2896</v>
      </c>
      <c r="J1335" s="17" t="s">
        <v>233</v>
      </c>
      <c r="K1335" s="19"/>
      <c r="L1335" s="19"/>
      <c r="M1335" s="19"/>
      <c r="N1335" s="19"/>
      <c r="O1335" s="17" t="n">
        <v>4</v>
      </c>
      <c r="P1335" s="18" t="s">
        <v>6636</v>
      </c>
      <c r="Q1335" s="18" t="s">
        <v>6654</v>
      </c>
      <c r="R1335" s="18" t="s">
        <v>6660</v>
      </c>
      <c r="S1335" s="17" t="s">
        <v>6661</v>
      </c>
      <c r="T1335" s="18" t="s">
        <v>6662</v>
      </c>
      <c r="U1335" s="19"/>
      <c r="V1335" s="18" t="s">
        <v>6663</v>
      </c>
      <c r="W1335" s="17" t="s">
        <v>240</v>
      </c>
      <c r="X1335" s="17" t="s">
        <v>6664</v>
      </c>
      <c r="Y1335" s="17" t="s">
        <v>242</v>
      </c>
      <c r="Z1335" s="19"/>
      <c r="AA1335" s="19"/>
      <c r="AB1335" s="17"/>
      <c r="AC1335" s="19"/>
    </row>
    <row r="1336" customFormat="false" ht="22.35" hidden="false" customHeight="false" outlineLevel="0" collapsed="false">
      <c r="A1336" s="10" t="s">
        <v>6665</v>
      </c>
      <c r="B1336" s="17" t="s">
        <v>150</v>
      </c>
      <c r="C1336" s="18" t="s">
        <v>151</v>
      </c>
      <c r="D1336" s="17" t="s">
        <v>19</v>
      </c>
      <c r="E1336" s="17" t="s">
        <v>75</v>
      </c>
      <c r="F1336" s="17" t="s">
        <v>5996</v>
      </c>
      <c r="G1336" s="17" t="s">
        <v>152</v>
      </c>
      <c r="H1336" s="17" t="s">
        <v>34</v>
      </c>
      <c r="I1336" s="17" t="s">
        <v>450</v>
      </c>
      <c r="J1336" s="17" t="s">
        <v>233</v>
      </c>
      <c r="K1336" s="19"/>
      <c r="L1336" s="19"/>
      <c r="M1336" s="19"/>
      <c r="N1336" s="19"/>
      <c r="O1336" s="17" t="n">
        <v>4</v>
      </c>
      <c r="P1336" s="18" t="s">
        <v>6636</v>
      </c>
      <c r="Q1336" s="18" t="s">
        <v>6654</v>
      </c>
      <c r="R1336" s="18" t="s">
        <v>6666</v>
      </c>
      <c r="S1336" s="17" t="s">
        <v>6667</v>
      </c>
      <c r="T1336" s="18" t="s">
        <v>6668</v>
      </c>
      <c r="U1336" s="19"/>
      <c r="V1336" s="18" t="s">
        <v>6669</v>
      </c>
      <c r="W1336" s="17" t="s">
        <v>240</v>
      </c>
      <c r="X1336" s="17" t="s">
        <v>6670</v>
      </c>
      <c r="Y1336" s="17" t="s">
        <v>242</v>
      </c>
      <c r="Z1336" s="19"/>
      <c r="AA1336" s="19"/>
      <c r="AB1336" s="17"/>
      <c r="AC1336" s="19"/>
    </row>
    <row r="1337" customFormat="false" ht="22.35" hidden="false" customHeight="false" outlineLevel="0" collapsed="false">
      <c r="A1337" s="10" t="s">
        <v>6671</v>
      </c>
      <c r="B1337" s="17" t="s">
        <v>150</v>
      </c>
      <c r="C1337" s="18" t="s">
        <v>151</v>
      </c>
      <c r="D1337" s="17" t="s">
        <v>19</v>
      </c>
      <c r="E1337" s="17" t="s">
        <v>75</v>
      </c>
      <c r="F1337" s="17" t="s">
        <v>5996</v>
      </c>
      <c r="G1337" s="17" t="s">
        <v>152</v>
      </c>
      <c r="H1337" s="17" t="s">
        <v>34</v>
      </c>
      <c r="I1337" s="17" t="s">
        <v>289</v>
      </c>
      <c r="J1337" s="17" t="s">
        <v>233</v>
      </c>
      <c r="K1337" s="19"/>
      <c r="L1337" s="19"/>
      <c r="M1337" s="19"/>
      <c r="N1337" s="19"/>
      <c r="O1337" s="17" t="n">
        <v>4</v>
      </c>
      <c r="P1337" s="18" t="s">
        <v>6636</v>
      </c>
      <c r="Q1337" s="18" t="s">
        <v>6654</v>
      </c>
      <c r="R1337" s="18" t="s">
        <v>6672</v>
      </c>
      <c r="S1337" s="17" t="s">
        <v>6641</v>
      </c>
      <c r="T1337" s="18" t="s">
        <v>6509</v>
      </c>
      <c r="U1337" s="19"/>
      <c r="V1337" s="18" t="s">
        <v>6673</v>
      </c>
      <c r="W1337" s="17" t="s">
        <v>240</v>
      </c>
      <c r="X1337" s="17" t="s">
        <v>6095</v>
      </c>
      <c r="Y1337" s="17" t="s">
        <v>242</v>
      </c>
      <c r="Z1337" s="19"/>
      <c r="AA1337" s="19"/>
      <c r="AB1337" s="17"/>
      <c r="AC1337" s="19"/>
    </row>
    <row r="1338" customFormat="false" ht="22.35" hidden="false" customHeight="false" outlineLevel="0" collapsed="false">
      <c r="A1338" s="10" t="s">
        <v>6674</v>
      </c>
      <c r="B1338" s="17" t="s">
        <v>150</v>
      </c>
      <c r="C1338" s="18" t="s">
        <v>151</v>
      </c>
      <c r="D1338" s="17" t="s">
        <v>19</v>
      </c>
      <c r="E1338" s="17" t="s">
        <v>229</v>
      </c>
      <c r="F1338" s="17" t="s">
        <v>5996</v>
      </c>
      <c r="G1338" s="17" t="s">
        <v>152</v>
      </c>
      <c r="H1338" s="17" t="s">
        <v>34</v>
      </c>
      <c r="I1338" s="17" t="s">
        <v>289</v>
      </c>
      <c r="J1338" s="17" t="s">
        <v>233</v>
      </c>
      <c r="K1338" s="19"/>
      <c r="L1338" s="19"/>
      <c r="M1338" s="19"/>
      <c r="N1338" s="19"/>
      <c r="O1338" s="17" t="n">
        <v>4</v>
      </c>
      <c r="P1338" s="18" t="s">
        <v>6636</v>
      </c>
      <c r="Q1338" s="18" t="s">
        <v>6654</v>
      </c>
      <c r="R1338" s="18" t="s">
        <v>6675</v>
      </c>
      <c r="S1338" s="17" t="s">
        <v>6635</v>
      </c>
      <c r="T1338" s="18" t="s">
        <v>6513</v>
      </c>
      <c r="U1338" s="19"/>
      <c r="V1338" s="18" t="s">
        <v>6514</v>
      </c>
      <c r="W1338" s="17" t="s">
        <v>383</v>
      </c>
      <c r="X1338" s="17" t="s">
        <v>378</v>
      </c>
      <c r="Y1338" s="17" t="s">
        <v>242</v>
      </c>
      <c r="Z1338" s="19"/>
      <c r="AA1338" s="19"/>
      <c r="AB1338" s="17"/>
      <c r="AC1338" s="19"/>
    </row>
    <row r="1339" customFormat="false" ht="22.35" hidden="false" customHeight="false" outlineLevel="0" collapsed="false">
      <c r="A1339" s="10" t="s">
        <v>6676</v>
      </c>
      <c r="B1339" s="17" t="s">
        <v>150</v>
      </c>
      <c r="C1339" s="18" t="s">
        <v>151</v>
      </c>
      <c r="D1339" s="17" t="s">
        <v>19</v>
      </c>
      <c r="E1339" s="17" t="s">
        <v>75</v>
      </c>
      <c r="F1339" s="17" t="s">
        <v>5996</v>
      </c>
      <c r="G1339" s="17" t="s">
        <v>152</v>
      </c>
      <c r="H1339" s="17" t="s">
        <v>34</v>
      </c>
      <c r="I1339" s="17" t="s">
        <v>369</v>
      </c>
      <c r="J1339" s="17" t="s">
        <v>233</v>
      </c>
      <c r="K1339" s="19"/>
      <c r="L1339" s="19"/>
      <c r="M1339" s="19"/>
      <c r="N1339" s="19"/>
      <c r="O1339" s="17" t="n">
        <v>4</v>
      </c>
      <c r="P1339" s="18" t="s">
        <v>6636</v>
      </c>
      <c r="Q1339" s="18" t="s">
        <v>6654</v>
      </c>
      <c r="R1339" s="18" t="s">
        <v>6677</v>
      </c>
      <c r="S1339" s="17" t="s">
        <v>6659</v>
      </c>
      <c r="T1339" s="18" t="s">
        <v>544</v>
      </c>
      <c r="U1339" s="19"/>
      <c r="V1339" s="18" t="s">
        <v>6678</v>
      </c>
      <c r="W1339" s="17" t="s">
        <v>240</v>
      </c>
      <c r="X1339" s="17" t="s">
        <v>6125</v>
      </c>
      <c r="Y1339" s="17" t="s">
        <v>242</v>
      </c>
      <c r="Z1339" s="19"/>
      <c r="AA1339" s="19"/>
      <c r="AB1339" s="17"/>
      <c r="AC1339" s="19"/>
    </row>
    <row r="1340" customFormat="false" ht="22.35" hidden="false" customHeight="false" outlineLevel="0" collapsed="false">
      <c r="A1340" s="10" t="s">
        <v>6679</v>
      </c>
      <c r="B1340" s="17" t="s">
        <v>150</v>
      </c>
      <c r="C1340" s="18" t="s">
        <v>151</v>
      </c>
      <c r="D1340" s="17" t="s">
        <v>19</v>
      </c>
      <c r="E1340" s="17" t="s">
        <v>75</v>
      </c>
      <c r="F1340" s="17" t="s">
        <v>5996</v>
      </c>
      <c r="G1340" s="17" t="s">
        <v>152</v>
      </c>
      <c r="H1340" s="17" t="s">
        <v>34</v>
      </c>
      <c r="I1340" s="17" t="s">
        <v>283</v>
      </c>
      <c r="J1340" s="17" t="s">
        <v>233</v>
      </c>
      <c r="K1340" s="19"/>
      <c r="L1340" s="19"/>
      <c r="M1340" s="19"/>
      <c r="N1340" s="19"/>
      <c r="O1340" s="17" t="n">
        <v>4</v>
      </c>
      <c r="P1340" s="18" t="s">
        <v>6636</v>
      </c>
      <c r="Q1340" s="18" t="s">
        <v>6654</v>
      </c>
      <c r="R1340" s="18" t="s">
        <v>6680</v>
      </c>
      <c r="S1340" s="17" t="s">
        <v>6681</v>
      </c>
      <c r="T1340" s="18" t="s">
        <v>6037</v>
      </c>
      <c r="U1340" s="19"/>
      <c r="V1340" s="18" t="s">
        <v>6038</v>
      </c>
      <c r="W1340" s="17" t="s">
        <v>240</v>
      </c>
      <c r="X1340" s="17" t="s">
        <v>6039</v>
      </c>
      <c r="Y1340" s="17" t="s">
        <v>242</v>
      </c>
      <c r="Z1340" s="19"/>
      <c r="AA1340" s="19"/>
      <c r="AB1340" s="17"/>
      <c r="AC1340" s="19"/>
    </row>
    <row r="1341" customFormat="false" ht="22.35" hidden="false" customHeight="false" outlineLevel="0" collapsed="false">
      <c r="A1341" s="10" t="s">
        <v>6682</v>
      </c>
      <c r="B1341" s="17" t="s">
        <v>165</v>
      </c>
      <c r="C1341" s="18" t="s">
        <v>166</v>
      </c>
      <c r="D1341" s="17" t="s">
        <v>19</v>
      </c>
      <c r="E1341" s="17" t="s">
        <v>229</v>
      </c>
      <c r="F1341" s="17" t="s">
        <v>6683</v>
      </c>
      <c r="G1341" s="17" t="s">
        <v>177</v>
      </c>
      <c r="H1341" s="17" t="s">
        <v>28</v>
      </c>
      <c r="I1341" s="17" t="s">
        <v>232</v>
      </c>
      <c r="J1341" s="17" t="s">
        <v>233</v>
      </c>
      <c r="K1341" s="19"/>
      <c r="L1341" s="19"/>
      <c r="M1341" s="19"/>
      <c r="N1341" s="19"/>
      <c r="O1341" s="17" t="n">
        <v>0</v>
      </c>
      <c r="P1341" s="18" t="s">
        <v>6684</v>
      </c>
      <c r="Q1341" s="18" t="s">
        <v>6685</v>
      </c>
      <c r="R1341" s="18" t="s">
        <v>6686</v>
      </c>
      <c r="S1341" s="17" t="s">
        <v>6687</v>
      </c>
      <c r="T1341" s="18" t="s">
        <v>3941</v>
      </c>
      <c r="U1341" s="19"/>
      <c r="V1341" s="18" t="s">
        <v>6688</v>
      </c>
      <c r="W1341" s="17" t="s">
        <v>240</v>
      </c>
      <c r="X1341" s="17" t="s">
        <v>6689</v>
      </c>
      <c r="Y1341" s="17" t="s">
        <v>242</v>
      </c>
      <c r="Z1341" s="19"/>
      <c r="AA1341" s="19"/>
      <c r="AB1341" s="17"/>
      <c r="AC1341" s="19"/>
    </row>
    <row r="1342" customFormat="false" ht="32.8" hidden="false" customHeight="false" outlineLevel="0" collapsed="false">
      <c r="A1342" s="10" t="s">
        <v>6690</v>
      </c>
      <c r="B1342" s="17" t="s">
        <v>165</v>
      </c>
      <c r="C1342" s="18" t="s">
        <v>166</v>
      </c>
      <c r="D1342" s="17" t="s">
        <v>19</v>
      </c>
      <c r="E1342" s="17" t="s">
        <v>229</v>
      </c>
      <c r="F1342" s="17" t="s">
        <v>6683</v>
      </c>
      <c r="G1342" s="17" t="s">
        <v>177</v>
      </c>
      <c r="H1342" s="17" t="s">
        <v>28</v>
      </c>
      <c r="I1342" s="17" t="s">
        <v>232</v>
      </c>
      <c r="J1342" s="17" t="s">
        <v>233</v>
      </c>
      <c r="K1342" s="19"/>
      <c r="L1342" s="19"/>
      <c r="M1342" s="19"/>
      <c r="N1342" s="19"/>
      <c r="O1342" s="17" t="n">
        <v>0</v>
      </c>
      <c r="P1342" s="18" t="s">
        <v>6684</v>
      </c>
      <c r="Q1342" s="18" t="s">
        <v>6685</v>
      </c>
      <c r="R1342" s="18" t="s">
        <v>6691</v>
      </c>
      <c r="S1342" s="17" t="s">
        <v>6682</v>
      </c>
      <c r="T1342" s="18" t="s">
        <v>6692</v>
      </c>
      <c r="U1342" s="19"/>
      <c r="V1342" s="18" t="s">
        <v>6693</v>
      </c>
      <c r="W1342" s="17" t="s">
        <v>240</v>
      </c>
      <c r="X1342" s="17" t="s">
        <v>6694</v>
      </c>
      <c r="Y1342" s="17" t="s">
        <v>242</v>
      </c>
      <c r="Z1342" s="19"/>
      <c r="AA1342" s="19"/>
      <c r="AB1342" s="17"/>
      <c r="AC1342" s="19"/>
    </row>
    <row r="1343" customFormat="false" ht="22.35" hidden="false" customHeight="false" outlineLevel="0" collapsed="false">
      <c r="A1343" s="10" t="s">
        <v>6695</v>
      </c>
      <c r="B1343" s="17" t="s">
        <v>165</v>
      </c>
      <c r="C1343" s="18" t="s">
        <v>166</v>
      </c>
      <c r="D1343" s="17" t="s">
        <v>19</v>
      </c>
      <c r="E1343" s="17" t="s">
        <v>229</v>
      </c>
      <c r="F1343" s="17" t="s">
        <v>6683</v>
      </c>
      <c r="G1343" s="17" t="s">
        <v>177</v>
      </c>
      <c r="H1343" s="17" t="s">
        <v>28</v>
      </c>
      <c r="I1343" s="17" t="s">
        <v>232</v>
      </c>
      <c r="J1343" s="17" t="s">
        <v>233</v>
      </c>
      <c r="K1343" s="19"/>
      <c r="L1343" s="19"/>
      <c r="M1343" s="19"/>
      <c r="N1343" s="19"/>
      <c r="O1343" s="17" t="n">
        <v>0</v>
      </c>
      <c r="P1343" s="18" t="s">
        <v>6684</v>
      </c>
      <c r="Q1343" s="18" t="s">
        <v>6685</v>
      </c>
      <c r="R1343" s="18" t="s">
        <v>6696</v>
      </c>
      <c r="S1343" s="17" t="s">
        <v>6682</v>
      </c>
      <c r="T1343" s="18" t="s">
        <v>6697</v>
      </c>
      <c r="U1343" s="19"/>
      <c r="V1343" s="18" t="s">
        <v>6698</v>
      </c>
      <c r="W1343" s="17" t="s">
        <v>240</v>
      </c>
      <c r="X1343" s="17" t="s">
        <v>6699</v>
      </c>
      <c r="Y1343" s="17" t="s">
        <v>242</v>
      </c>
      <c r="Z1343" s="19"/>
      <c r="AA1343" s="19"/>
      <c r="AB1343" s="17"/>
      <c r="AC1343" s="19"/>
    </row>
    <row r="1344" customFormat="false" ht="22.35" hidden="false" customHeight="false" outlineLevel="0" collapsed="false">
      <c r="A1344" s="10" t="s">
        <v>6700</v>
      </c>
      <c r="B1344" s="17" t="s">
        <v>165</v>
      </c>
      <c r="C1344" s="18" t="s">
        <v>166</v>
      </c>
      <c r="D1344" s="17" t="s">
        <v>19</v>
      </c>
      <c r="E1344" s="17" t="s">
        <v>75</v>
      </c>
      <c r="F1344" s="17" t="s">
        <v>6683</v>
      </c>
      <c r="G1344" s="17" t="s">
        <v>177</v>
      </c>
      <c r="H1344" s="17" t="s">
        <v>28</v>
      </c>
      <c r="I1344" s="17" t="s">
        <v>316</v>
      </c>
      <c r="J1344" s="17" t="s">
        <v>233</v>
      </c>
      <c r="K1344" s="19"/>
      <c r="L1344" s="19"/>
      <c r="M1344" s="19"/>
      <c r="N1344" s="19"/>
      <c r="O1344" s="17" t="n">
        <v>1</v>
      </c>
      <c r="P1344" s="18" t="s">
        <v>6684</v>
      </c>
      <c r="Q1344" s="18" t="s">
        <v>6701</v>
      </c>
      <c r="R1344" s="18" t="s">
        <v>6702</v>
      </c>
      <c r="S1344" s="17" t="s">
        <v>6682</v>
      </c>
      <c r="T1344" s="18" t="s">
        <v>6703</v>
      </c>
      <c r="U1344" s="19"/>
      <c r="V1344" s="18" t="s">
        <v>6704</v>
      </c>
      <c r="W1344" s="17" t="s">
        <v>240</v>
      </c>
      <c r="X1344" s="17" t="s">
        <v>6705</v>
      </c>
      <c r="Y1344" s="17" t="s">
        <v>242</v>
      </c>
      <c r="Z1344" s="19"/>
      <c r="AA1344" s="19"/>
      <c r="AB1344" s="17"/>
      <c r="AC1344" s="19"/>
    </row>
    <row r="1345" customFormat="false" ht="22.35" hidden="false" customHeight="false" outlineLevel="0" collapsed="false">
      <c r="A1345" s="10" t="s">
        <v>6706</v>
      </c>
      <c r="B1345" s="17" t="s">
        <v>165</v>
      </c>
      <c r="C1345" s="18" t="s">
        <v>166</v>
      </c>
      <c r="D1345" s="17" t="s">
        <v>19</v>
      </c>
      <c r="E1345" s="17" t="s">
        <v>75</v>
      </c>
      <c r="F1345" s="17" t="s">
        <v>6683</v>
      </c>
      <c r="G1345" s="17" t="s">
        <v>177</v>
      </c>
      <c r="H1345" s="17" t="s">
        <v>28</v>
      </c>
      <c r="I1345" s="17" t="s">
        <v>316</v>
      </c>
      <c r="J1345" s="17" t="s">
        <v>233</v>
      </c>
      <c r="K1345" s="19"/>
      <c r="L1345" s="19"/>
      <c r="M1345" s="19"/>
      <c r="N1345" s="19"/>
      <c r="O1345" s="17" t="n">
        <v>1</v>
      </c>
      <c r="P1345" s="18" t="s">
        <v>6684</v>
      </c>
      <c r="Q1345" s="18" t="s">
        <v>6701</v>
      </c>
      <c r="R1345" s="18" t="s">
        <v>6707</v>
      </c>
      <c r="S1345" s="17" t="s">
        <v>6682</v>
      </c>
      <c r="T1345" s="18" t="s">
        <v>6708</v>
      </c>
      <c r="U1345" s="19"/>
      <c r="V1345" s="18" t="s">
        <v>6709</v>
      </c>
      <c r="W1345" s="17" t="s">
        <v>240</v>
      </c>
      <c r="X1345" s="17" t="s">
        <v>6705</v>
      </c>
      <c r="Y1345" s="17" t="s">
        <v>242</v>
      </c>
      <c r="Z1345" s="19"/>
      <c r="AA1345" s="19"/>
      <c r="AB1345" s="17"/>
      <c r="AC1345" s="19"/>
    </row>
    <row r="1346" customFormat="false" ht="22.35" hidden="false" customHeight="false" outlineLevel="0" collapsed="false">
      <c r="A1346" s="10" t="s">
        <v>6710</v>
      </c>
      <c r="B1346" s="17" t="s">
        <v>165</v>
      </c>
      <c r="C1346" s="18" t="s">
        <v>166</v>
      </c>
      <c r="D1346" s="17" t="s">
        <v>19</v>
      </c>
      <c r="E1346" s="17" t="s">
        <v>75</v>
      </c>
      <c r="F1346" s="17" t="s">
        <v>6683</v>
      </c>
      <c r="G1346" s="17" t="s">
        <v>177</v>
      </c>
      <c r="H1346" s="17" t="s">
        <v>28</v>
      </c>
      <c r="I1346" s="17" t="s">
        <v>316</v>
      </c>
      <c r="J1346" s="17" t="s">
        <v>233</v>
      </c>
      <c r="K1346" s="19"/>
      <c r="L1346" s="19"/>
      <c r="M1346" s="19"/>
      <c r="N1346" s="19"/>
      <c r="O1346" s="17" t="n">
        <v>1</v>
      </c>
      <c r="P1346" s="18" t="s">
        <v>6684</v>
      </c>
      <c r="Q1346" s="18" t="s">
        <v>6701</v>
      </c>
      <c r="R1346" s="18" t="s">
        <v>6711</v>
      </c>
      <c r="S1346" s="17" t="s">
        <v>6690</v>
      </c>
      <c r="T1346" s="18" t="s">
        <v>6712</v>
      </c>
      <c r="U1346" s="19"/>
      <c r="V1346" s="18" t="s">
        <v>6713</v>
      </c>
      <c r="W1346" s="17" t="s">
        <v>240</v>
      </c>
      <c r="X1346" s="17" t="s">
        <v>6714</v>
      </c>
      <c r="Y1346" s="17" t="s">
        <v>242</v>
      </c>
      <c r="Z1346" s="19"/>
      <c r="AA1346" s="19"/>
      <c r="AB1346" s="17"/>
      <c r="AC1346" s="19"/>
    </row>
    <row r="1347" customFormat="false" ht="22.35" hidden="false" customHeight="false" outlineLevel="0" collapsed="false">
      <c r="A1347" s="10" t="s">
        <v>6715</v>
      </c>
      <c r="B1347" s="17" t="s">
        <v>165</v>
      </c>
      <c r="C1347" s="18" t="s">
        <v>166</v>
      </c>
      <c r="D1347" s="17" t="s">
        <v>19</v>
      </c>
      <c r="E1347" s="17" t="s">
        <v>75</v>
      </c>
      <c r="F1347" s="17" t="s">
        <v>6683</v>
      </c>
      <c r="G1347" s="17" t="s">
        <v>177</v>
      </c>
      <c r="H1347" s="17" t="s">
        <v>28</v>
      </c>
      <c r="I1347" s="17" t="s">
        <v>316</v>
      </c>
      <c r="J1347" s="17" t="s">
        <v>233</v>
      </c>
      <c r="K1347" s="19"/>
      <c r="L1347" s="19"/>
      <c r="M1347" s="19"/>
      <c r="N1347" s="19"/>
      <c r="O1347" s="17" t="n">
        <v>1</v>
      </c>
      <c r="P1347" s="18" t="s">
        <v>6684</v>
      </c>
      <c r="Q1347" s="18" t="s">
        <v>6701</v>
      </c>
      <c r="R1347" s="18" t="s">
        <v>6716</v>
      </c>
      <c r="S1347" s="17" t="s">
        <v>6700</v>
      </c>
      <c r="T1347" s="18" t="s">
        <v>6717</v>
      </c>
      <c r="U1347" s="19"/>
      <c r="V1347" s="18" t="s">
        <v>6718</v>
      </c>
      <c r="W1347" s="17" t="s">
        <v>240</v>
      </c>
      <c r="X1347" s="17" t="s">
        <v>6719</v>
      </c>
      <c r="Y1347" s="17" t="s">
        <v>242</v>
      </c>
      <c r="Z1347" s="19"/>
      <c r="AA1347" s="19"/>
      <c r="AB1347" s="17"/>
      <c r="AC1347" s="19"/>
    </row>
    <row r="1348" customFormat="false" ht="22.35" hidden="false" customHeight="false" outlineLevel="0" collapsed="false">
      <c r="A1348" s="10" t="s">
        <v>6720</v>
      </c>
      <c r="B1348" s="17" t="s">
        <v>165</v>
      </c>
      <c r="C1348" s="18" t="s">
        <v>166</v>
      </c>
      <c r="D1348" s="17" t="s">
        <v>19</v>
      </c>
      <c r="E1348" s="17" t="s">
        <v>229</v>
      </c>
      <c r="F1348" s="17" t="s">
        <v>6683</v>
      </c>
      <c r="G1348" s="17" t="s">
        <v>177</v>
      </c>
      <c r="H1348" s="17" t="s">
        <v>28</v>
      </c>
      <c r="I1348" s="17" t="s">
        <v>333</v>
      </c>
      <c r="J1348" s="17" t="s">
        <v>233</v>
      </c>
      <c r="K1348" s="19"/>
      <c r="L1348" s="19"/>
      <c r="M1348" s="19"/>
      <c r="N1348" s="19"/>
      <c r="O1348" s="17" t="n">
        <v>1</v>
      </c>
      <c r="P1348" s="18" t="s">
        <v>6684</v>
      </c>
      <c r="Q1348" s="18" t="s">
        <v>6721</v>
      </c>
      <c r="R1348" s="18" t="s">
        <v>6722</v>
      </c>
      <c r="S1348" s="17" t="s">
        <v>6695</v>
      </c>
      <c r="T1348" s="18" t="s">
        <v>6723</v>
      </c>
      <c r="U1348" s="19"/>
      <c r="V1348" s="18" t="s">
        <v>6724</v>
      </c>
      <c r="W1348" s="17" t="s">
        <v>240</v>
      </c>
      <c r="X1348" s="17" t="s">
        <v>6725</v>
      </c>
      <c r="Y1348" s="17" t="s">
        <v>242</v>
      </c>
      <c r="Z1348" s="19"/>
      <c r="AA1348" s="19"/>
      <c r="AB1348" s="17"/>
      <c r="AC1348" s="19"/>
    </row>
    <row r="1349" customFormat="false" ht="22.35" hidden="false" customHeight="false" outlineLevel="0" collapsed="false">
      <c r="A1349" s="10" t="s">
        <v>6726</v>
      </c>
      <c r="B1349" s="17" t="s">
        <v>165</v>
      </c>
      <c r="C1349" s="18" t="s">
        <v>166</v>
      </c>
      <c r="D1349" s="17" t="s">
        <v>19</v>
      </c>
      <c r="E1349" s="17" t="s">
        <v>229</v>
      </c>
      <c r="F1349" s="17" t="s">
        <v>6683</v>
      </c>
      <c r="G1349" s="17" t="s">
        <v>177</v>
      </c>
      <c r="H1349" s="17" t="s">
        <v>28</v>
      </c>
      <c r="I1349" s="17" t="s">
        <v>289</v>
      </c>
      <c r="J1349" s="17" t="s">
        <v>233</v>
      </c>
      <c r="K1349" s="19"/>
      <c r="L1349" s="19"/>
      <c r="M1349" s="19"/>
      <c r="N1349" s="19"/>
      <c r="O1349" s="17" t="n">
        <v>1</v>
      </c>
      <c r="P1349" s="18" t="s">
        <v>6684</v>
      </c>
      <c r="Q1349" s="18" t="s">
        <v>6721</v>
      </c>
      <c r="R1349" s="18" t="s">
        <v>6727</v>
      </c>
      <c r="S1349" s="17" t="s">
        <v>6720</v>
      </c>
      <c r="T1349" s="18" t="s">
        <v>6728</v>
      </c>
      <c r="U1349" s="19"/>
      <c r="V1349" s="18" t="s">
        <v>6729</v>
      </c>
      <c r="W1349" s="17" t="s">
        <v>240</v>
      </c>
      <c r="X1349" s="17" t="s">
        <v>6730</v>
      </c>
      <c r="Y1349" s="17" t="s">
        <v>242</v>
      </c>
      <c r="Z1349" s="19"/>
      <c r="AA1349" s="19"/>
      <c r="AB1349" s="17"/>
      <c r="AC1349" s="19"/>
    </row>
    <row r="1350" customFormat="false" ht="22.35" hidden="false" customHeight="false" outlineLevel="0" collapsed="false">
      <c r="A1350" s="10" t="s">
        <v>6731</v>
      </c>
      <c r="B1350" s="17" t="s">
        <v>165</v>
      </c>
      <c r="C1350" s="18" t="s">
        <v>166</v>
      </c>
      <c r="D1350" s="17" t="s">
        <v>19</v>
      </c>
      <c r="E1350" s="17" t="s">
        <v>229</v>
      </c>
      <c r="F1350" s="17" t="s">
        <v>6683</v>
      </c>
      <c r="G1350" s="17" t="s">
        <v>177</v>
      </c>
      <c r="H1350" s="17" t="s">
        <v>28</v>
      </c>
      <c r="I1350" s="17" t="s">
        <v>333</v>
      </c>
      <c r="J1350" s="17" t="s">
        <v>233</v>
      </c>
      <c r="K1350" s="19"/>
      <c r="L1350" s="19"/>
      <c r="M1350" s="19"/>
      <c r="N1350" s="19"/>
      <c r="O1350" s="17" t="n">
        <v>2</v>
      </c>
      <c r="P1350" s="18" t="s">
        <v>6684</v>
      </c>
      <c r="Q1350" s="18" t="s">
        <v>6721</v>
      </c>
      <c r="R1350" s="18" t="s">
        <v>6732</v>
      </c>
      <c r="S1350" s="17" t="s">
        <v>6720</v>
      </c>
      <c r="T1350" s="18" t="s">
        <v>6733</v>
      </c>
      <c r="U1350" s="19"/>
      <c r="V1350" s="18" t="s">
        <v>6734</v>
      </c>
      <c r="W1350" s="17" t="s">
        <v>240</v>
      </c>
      <c r="X1350" s="17" t="s">
        <v>6735</v>
      </c>
      <c r="Y1350" s="17" t="s">
        <v>242</v>
      </c>
      <c r="Z1350" s="19"/>
      <c r="AA1350" s="19"/>
      <c r="AB1350" s="17"/>
      <c r="AC1350" s="19"/>
    </row>
    <row r="1351" customFormat="false" ht="22.35" hidden="false" customHeight="false" outlineLevel="0" collapsed="false">
      <c r="A1351" s="10" t="s">
        <v>6736</v>
      </c>
      <c r="B1351" s="17" t="s">
        <v>165</v>
      </c>
      <c r="C1351" s="18" t="s">
        <v>166</v>
      </c>
      <c r="D1351" s="17" t="s">
        <v>19</v>
      </c>
      <c r="E1351" s="17" t="s">
        <v>75</v>
      </c>
      <c r="F1351" s="17" t="s">
        <v>6683</v>
      </c>
      <c r="G1351" s="17" t="s">
        <v>177</v>
      </c>
      <c r="H1351" s="17" t="s">
        <v>28</v>
      </c>
      <c r="I1351" s="17" t="s">
        <v>232</v>
      </c>
      <c r="J1351" s="17" t="s">
        <v>233</v>
      </c>
      <c r="K1351" s="19"/>
      <c r="L1351" s="19"/>
      <c r="M1351" s="19"/>
      <c r="N1351" s="19"/>
      <c r="O1351" s="17" t="n">
        <v>1</v>
      </c>
      <c r="P1351" s="18" t="s">
        <v>6684</v>
      </c>
      <c r="Q1351" s="18" t="s">
        <v>6721</v>
      </c>
      <c r="R1351" s="18" t="s">
        <v>6737</v>
      </c>
      <c r="S1351" s="17" t="s">
        <v>6731</v>
      </c>
      <c r="T1351" s="18" t="s">
        <v>285</v>
      </c>
      <c r="U1351" s="19"/>
      <c r="V1351" s="18" t="s">
        <v>4226</v>
      </c>
      <c r="W1351" s="17" t="s">
        <v>240</v>
      </c>
      <c r="X1351" s="17" t="s">
        <v>3977</v>
      </c>
      <c r="Y1351" s="17" t="s">
        <v>242</v>
      </c>
      <c r="Z1351" s="19"/>
      <c r="AA1351" s="19"/>
      <c r="AB1351" s="17" t="s">
        <v>1681</v>
      </c>
      <c r="AC1351" s="19"/>
    </row>
    <row r="1352" customFormat="false" ht="22.35" hidden="false" customHeight="false" outlineLevel="0" collapsed="false">
      <c r="A1352" s="10" t="s">
        <v>2195</v>
      </c>
      <c r="B1352" s="17" t="s">
        <v>165</v>
      </c>
      <c r="C1352" s="18" t="s">
        <v>166</v>
      </c>
      <c r="D1352" s="17" t="s">
        <v>19</v>
      </c>
      <c r="E1352" s="17" t="s">
        <v>229</v>
      </c>
      <c r="F1352" s="17" t="s">
        <v>6683</v>
      </c>
      <c r="G1352" s="17" t="s">
        <v>177</v>
      </c>
      <c r="H1352" s="17" t="s">
        <v>28</v>
      </c>
      <c r="I1352" s="17" t="s">
        <v>232</v>
      </c>
      <c r="J1352" s="17" t="s">
        <v>233</v>
      </c>
      <c r="K1352" s="19"/>
      <c r="L1352" s="19"/>
      <c r="M1352" s="19"/>
      <c r="N1352" s="19"/>
      <c r="O1352" s="17" t="n">
        <v>0</v>
      </c>
      <c r="P1352" s="18" t="s">
        <v>6738</v>
      </c>
      <c r="Q1352" s="18" t="s">
        <v>6739</v>
      </c>
      <c r="R1352" s="18" t="s">
        <v>6740</v>
      </c>
      <c r="S1352" s="17" t="s">
        <v>443</v>
      </c>
      <c r="T1352" s="18" t="s">
        <v>6741</v>
      </c>
      <c r="U1352" s="19"/>
      <c r="V1352" s="18" t="s">
        <v>6742</v>
      </c>
      <c r="W1352" s="17" t="s">
        <v>240</v>
      </c>
      <c r="X1352" s="17" t="s">
        <v>6743</v>
      </c>
      <c r="Y1352" s="17" t="s">
        <v>242</v>
      </c>
      <c r="Z1352" s="19"/>
      <c r="AA1352" s="19"/>
      <c r="AB1352" s="17"/>
      <c r="AC1352" s="19"/>
    </row>
    <row r="1353" customFormat="false" ht="22.35" hidden="false" customHeight="false" outlineLevel="0" collapsed="false">
      <c r="A1353" s="10" t="s">
        <v>6744</v>
      </c>
      <c r="B1353" s="17" t="s">
        <v>165</v>
      </c>
      <c r="C1353" s="18" t="s">
        <v>166</v>
      </c>
      <c r="D1353" s="17" t="s">
        <v>19</v>
      </c>
      <c r="E1353" s="17" t="s">
        <v>229</v>
      </c>
      <c r="F1353" s="17" t="s">
        <v>6683</v>
      </c>
      <c r="G1353" s="17" t="s">
        <v>177</v>
      </c>
      <c r="H1353" s="17" t="s">
        <v>28</v>
      </c>
      <c r="I1353" s="17" t="s">
        <v>316</v>
      </c>
      <c r="J1353" s="17" t="s">
        <v>233</v>
      </c>
      <c r="K1353" s="19"/>
      <c r="L1353" s="19"/>
      <c r="M1353" s="19"/>
      <c r="N1353" s="19"/>
      <c r="O1353" s="17" t="n">
        <v>1</v>
      </c>
      <c r="P1353" s="18" t="s">
        <v>6738</v>
      </c>
      <c r="Q1353" s="18" t="s">
        <v>6739</v>
      </c>
      <c r="R1353" s="18" t="s">
        <v>6745</v>
      </c>
      <c r="S1353" s="17" t="s">
        <v>2195</v>
      </c>
      <c r="T1353" s="18" t="s">
        <v>6746</v>
      </c>
      <c r="U1353" s="19"/>
      <c r="V1353" s="18" t="s">
        <v>6747</v>
      </c>
      <c r="W1353" s="17" t="s">
        <v>240</v>
      </c>
      <c r="X1353" s="17" t="s">
        <v>356</v>
      </c>
      <c r="Y1353" s="17" t="s">
        <v>242</v>
      </c>
      <c r="Z1353" s="19"/>
      <c r="AA1353" s="19"/>
      <c r="AB1353" s="17"/>
      <c r="AC1353" s="19"/>
    </row>
    <row r="1354" customFormat="false" ht="22.35" hidden="false" customHeight="false" outlineLevel="0" collapsed="false">
      <c r="A1354" s="10" t="s">
        <v>4567</v>
      </c>
      <c r="B1354" s="17" t="s">
        <v>165</v>
      </c>
      <c r="C1354" s="18" t="s">
        <v>166</v>
      </c>
      <c r="D1354" s="17" t="s">
        <v>19</v>
      </c>
      <c r="E1354" s="17" t="s">
        <v>75</v>
      </c>
      <c r="F1354" s="17" t="s">
        <v>6683</v>
      </c>
      <c r="G1354" s="17" t="s">
        <v>177</v>
      </c>
      <c r="H1354" s="17" t="s">
        <v>28</v>
      </c>
      <c r="I1354" s="17" t="s">
        <v>316</v>
      </c>
      <c r="J1354" s="17" t="s">
        <v>233</v>
      </c>
      <c r="K1354" s="19"/>
      <c r="L1354" s="19"/>
      <c r="M1354" s="19"/>
      <c r="N1354" s="19"/>
      <c r="O1354" s="17" t="n">
        <v>1</v>
      </c>
      <c r="P1354" s="18" t="s">
        <v>6738</v>
      </c>
      <c r="Q1354" s="18" t="s">
        <v>6739</v>
      </c>
      <c r="R1354" s="18" t="s">
        <v>6748</v>
      </c>
      <c r="S1354" s="17" t="s">
        <v>6744</v>
      </c>
      <c r="T1354" s="18" t="s">
        <v>6749</v>
      </c>
      <c r="U1354" s="19"/>
      <c r="V1354" s="18" t="s">
        <v>6750</v>
      </c>
      <c r="W1354" s="17" t="s">
        <v>240</v>
      </c>
      <c r="X1354" s="17" t="s">
        <v>6751</v>
      </c>
      <c r="Y1354" s="17" t="s">
        <v>242</v>
      </c>
      <c r="Z1354" s="19"/>
      <c r="AA1354" s="19"/>
      <c r="AB1354" s="17"/>
      <c r="AC1354" s="19"/>
    </row>
    <row r="1355" customFormat="false" ht="22.35" hidden="false" customHeight="false" outlineLevel="0" collapsed="false">
      <c r="A1355" s="10" t="s">
        <v>6752</v>
      </c>
      <c r="B1355" s="17" t="s">
        <v>165</v>
      </c>
      <c r="C1355" s="18" t="s">
        <v>166</v>
      </c>
      <c r="D1355" s="17" t="s">
        <v>19</v>
      </c>
      <c r="E1355" s="17" t="s">
        <v>229</v>
      </c>
      <c r="F1355" s="17" t="s">
        <v>6683</v>
      </c>
      <c r="G1355" s="17" t="s">
        <v>177</v>
      </c>
      <c r="H1355" s="17" t="s">
        <v>28</v>
      </c>
      <c r="I1355" s="17" t="s">
        <v>316</v>
      </c>
      <c r="J1355" s="17" t="s">
        <v>233</v>
      </c>
      <c r="K1355" s="19"/>
      <c r="L1355" s="19"/>
      <c r="M1355" s="19"/>
      <c r="N1355" s="19"/>
      <c r="O1355" s="17" t="n">
        <v>1</v>
      </c>
      <c r="P1355" s="18" t="s">
        <v>6738</v>
      </c>
      <c r="Q1355" s="18" t="s">
        <v>6739</v>
      </c>
      <c r="R1355" s="18" t="s">
        <v>6753</v>
      </c>
      <c r="S1355" s="17" t="s">
        <v>6744</v>
      </c>
      <c r="T1355" s="18" t="s">
        <v>6754</v>
      </c>
      <c r="U1355" s="19"/>
      <c r="V1355" s="18" t="s">
        <v>6755</v>
      </c>
      <c r="W1355" s="17" t="s">
        <v>240</v>
      </c>
      <c r="X1355" s="17" t="s">
        <v>356</v>
      </c>
      <c r="Y1355" s="17" t="s">
        <v>242</v>
      </c>
      <c r="Z1355" s="19"/>
      <c r="AA1355" s="19"/>
      <c r="AB1355" s="17"/>
      <c r="AC1355" s="19"/>
    </row>
    <row r="1356" customFormat="false" ht="22.35" hidden="false" customHeight="false" outlineLevel="0" collapsed="false">
      <c r="A1356" s="10" t="s">
        <v>6756</v>
      </c>
      <c r="B1356" s="17" t="s">
        <v>165</v>
      </c>
      <c r="C1356" s="18" t="s">
        <v>166</v>
      </c>
      <c r="D1356" s="17" t="s">
        <v>19</v>
      </c>
      <c r="E1356" s="17" t="s">
        <v>229</v>
      </c>
      <c r="F1356" s="17" t="s">
        <v>6683</v>
      </c>
      <c r="G1356" s="17" t="s">
        <v>177</v>
      </c>
      <c r="H1356" s="17" t="s">
        <v>28</v>
      </c>
      <c r="I1356" s="17" t="s">
        <v>333</v>
      </c>
      <c r="J1356" s="17" t="s">
        <v>233</v>
      </c>
      <c r="K1356" s="19"/>
      <c r="L1356" s="19"/>
      <c r="M1356" s="19"/>
      <c r="N1356" s="19"/>
      <c r="O1356" s="17" t="n">
        <v>1</v>
      </c>
      <c r="P1356" s="18" t="s">
        <v>6738</v>
      </c>
      <c r="Q1356" s="18" t="s">
        <v>6739</v>
      </c>
      <c r="R1356" s="18" t="s">
        <v>6757</v>
      </c>
      <c r="S1356" s="17" t="s">
        <v>6752</v>
      </c>
      <c r="T1356" s="18" t="s">
        <v>6758</v>
      </c>
      <c r="U1356" s="19"/>
      <c r="V1356" s="18" t="s">
        <v>6759</v>
      </c>
      <c r="W1356" s="17" t="s">
        <v>240</v>
      </c>
      <c r="X1356" s="17" t="s">
        <v>6760</v>
      </c>
      <c r="Y1356" s="17" t="s">
        <v>242</v>
      </c>
      <c r="Z1356" s="19"/>
      <c r="AA1356" s="19"/>
      <c r="AB1356" s="17"/>
      <c r="AC1356" s="19"/>
    </row>
    <row r="1357" customFormat="false" ht="22.35" hidden="false" customHeight="false" outlineLevel="0" collapsed="false">
      <c r="A1357" s="10" t="s">
        <v>6761</v>
      </c>
      <c r="B1357" s="17" t="s">
        <v>165</v>
      </c>
      <c r="C1357" s="18" t="s">
        <v>166</v>
      </c>
      <c r="D1357" s="17" t="s">
        <v>19</v>
      </c>
      <c r="E1357" s="17" t="s">
        <v>229</v>
      </c>
      <c r="F1357" s="17" t="s">
        <v>6683</v>
      </c>
      <c r="G1357" s="17" t="s">
        <v>177</v>
      </c>
      <c r="H1357" s="17" t="s">
        <v>28</v>
      </c>
      <c r="I1357" s="17" t="s">
        <v>316</v>
      </c>
      <c r="J1357" s="17" t="s">
        <v>233</v>
      </c>
      <c r="K1357" s="19"/>
      <c r="L1357" s="19"/>
      <c r="M1357" s="19"/>
      <c r="N1357" s="19"/>
      <c r="O1357" s="17" t="n">
        <v>1</v>
      </c>
      <c r="P1357" s="18" t="s">
        <v>6738</v>
      </c>
      <c r="Q1357" s="18" t="s">
        <v>6739</v>
      </c>
      <c r="R1357" s="18" t="s">
        <v>6762</v>
      </c>
      <c r="S1357" s="17" t="s">
        <v>4567</v>
      </c>
      <c r="T1357" s="18" t="s">
        <v>6763</v>
      </c>
      <c r="U1357" s="19"/>
      <c r="V1357" s="18" t="s">
        <v>6764</v>
      </c>
      <c r="W1357" s="17" t="s">
        <v>240</v>
      </c>
      <c r="X1357" s="17" t="s">
        <v>6765</v>
      </c>
      <c r="Y1357" s="17" t="s">
        <v>242</v>
      </c>
      <c r="Z1357" s="19"/>
      <c r="AA1357" s="19"/>
      <c r="AB1357" s="17"/>
      <c r="AC1357" s="19"/>
    </row>
    <row r="1358" customFormat="false" ht="22.35" hidden="false" customHeight="false" outlineLevel="0" collapsed="false">
      <c r="A1358" s="10" t="s">
        <v>6766</v>
      </c>
      <c r="B1358" s="17" t="s">
        <v>165</v>
      </c>
      <c r="C1358" s="18" t="s">
        <v>166</v>
      </c>
      <c r="D1358" s="17" t="s">
        <v>19</v>
      </c>
      <c r="E1358" s="17" t="s">
        <v>229</v>
      </c>
      <c r="F1358" s="17" t="s">
        <v>6683</v>
      </c>
      <c r="G1358" s="17" t="s">
        <v>177</v>
      </c>
      <c r="H1358" s="17" t="s">
        <v>28</v>
      </c>
      <c r="I1358" s="17" t="s">
        <v>289</v>
      </c>
      <c r="J1358" s="17" t="s">
        <v>233</v>
      </c>
      <c r="K1358" s="19"/>
      <c r="L1358" s="19"/>
      <c r="M1358" s="19"/>
      <c r="N1358" s="19"/>
      <c r="O1358" s="17" t="n">
        <v>1</v>
      </c>
      <c r="P1358" s="18" t="s">
        <v>6738</v>
      </c>
      <c r="Q1358" s="18" t="s">
        <v>6739</v>
      </c>
      <c r="R1358" s="18" t="s">
        <v>6767</v>
      </c>
      <c r="S1358" s="17" t="s">
        <v>6744</v>
      </c>
      <c r="T1358" s="18" t="s">
        <v>6768</v>
      </c>
      <c r="U1358" s="19"/>
      <c r="V1358" s="18" t="s">
        <v>6769</v>
      </c>
      <c r="W1358" s="17" t="s">
        <v>383</v>
      </c>
      <c r="X1358" s="17" t="s">
        <v>378</v>
      </c>
      <c r="Y1358" s="17" t="s">
        <v>242</v>
      </c>
      <c r="Z1358" s="19"/>
      <c r="AA1358" s="19"/>
      <c r="AB1358" s="17"/>
      <c r="AC1358" s="19"/>
    </row>
    <row r="1359" customFormat="false" ht="22.35" hidden="false" customHeight="false" outlineLevel="0" collapsed="false">
      <c r="A1359" s="10" t="s">
        <v>6770</v>
      </c>
      <c r="B1359" s="17" t="s">
        <v>165</v>
      </c>
      <c r="C1359" s="18" t="s">
        <v>166</v>
      </c>
      <c r="D1359" s="17" t="s">
        <v>19</v>
      </c>
      <c r="E1359" s="17" t="s">
        <v>75</v>
      </c>
      <c r="F1359" s="17" t="s">
        <v>6683</v>
      </c>
      <c r="G1359" s="17" t="s">
        <v>177</v>
      </c>
      <c r="H1359" s="17" t="s">
        <v>28</v>
      </c>
      <c r="I1359" s="17" t="s">
        <v>369</v>
      </c>
      <c r="J1359" s="17" t="s">
        <v>233</v>
      </c>
      <c r="K1359" s="19"/>
      <c r="L1359" s="19"/>
      <c r="M1359" s="19"/>
      <c r="N1359" s="19"/>
      <c r="O1359" s="17" t="n">
        <v>1</v>
      </c>
      <c r="P1359" s="18" t="s">
        <v>6738</v>
      </c>
      <c r="Q1359" s="18" t="s">
        <v>6739</v>
      </c>
      <c r="R1359" s="18" t="s">
        <v>6771</v>
      </c>
      <c r="S1359" s="17" t="s">
        <v>2195</v>
      </c>
      <c r="T1359" s="18" t="s">
        <v>2967</v>
      </c>
      <c r="U1359" s="19"/>
      <c r="V1359" s="18" t="s">
        <v>6772</v>
      </c>
      <c r="W1359" s="17" t="s">
        <v>240</v>
      </c>
      <c r="X1359" s="17" t="s">
        <v>4415</v>
      </c>
      <c r="Y1359" s="17" t="s">
        <v>242</v>
      </c>
      <c r="Z1359" s="19"/>
      <c r="AA1359" s="19"/>
      <c r="AB1359" s="17"/>
      <c r="AC1359" s="19"/>
    </row>
    <row r="1360" customFormat="false" ht="22.35" hidden="false" customHeight="false" outlineLevel="0" collapsed="false">
      <c r="A1360" s="10" t="s">
        <v>6773</v>
      </c>
      <c r="B1360" s="17" t="s">
        <v>165</v>
      </c>
      <c r="C1360" s="18" t="s">
        <v>166</v>
      </c>
      <c r="D1360" s="17" t="s">
        <v>19</v>
      </c>
      <c r="E1360" s="17" t="s">
        <v>75</v>
      </c>
      <c r="F1360" s="17" t="s">
        <v>6683</v>
      </c>
      <c r="G1360" s="17" t="s">
        <v>177</v>
      </c>
      <c r="H1360" s="17" t="s">
        <v>28</v>
      </c>
      <c r="I1360" s="17" t="s">
        <v>316</v>
      </c>
      <c r="J1360" s="17" t="s">
        <v>233</v>
      </c>
      <c r="K1360" s="19"/>
      <c r="L1360" s="19"/>
      <c r="M1360" s="19"/>
      <c r="N1360" s="19"/>
      <c r="O1360" s="17" t="n">
        <v>1</v>
      </c>
      <c r="P1360" s="18" t="s">
        <v>6738</v>
      </c>
      <c r="Q1360" s="18" t="s">
        <v>6739</v>
      </c>
      <c r="R1360" s="18" t="s">
        <v>6774</v>
      </c>
      <c r="S1360" s="17" t="s">
        <v>6770</v>
      </c>
      <c r="T1360" s="18" t="s">
        <v>285</v>
      </c>
      <c r="U1360" s="19"/>
      <c r="V1360" s="18" t="s">
        <v>4226</v>
      </c>
      <c r="W1360" s="17" t="s">
        <v>240</v>
      </c>
      <c r="X1360" s="17" t="s">
        <v>3977</v>
      </c>
      <c r="Y1360" s="17" t="s">
        <v>242</v>
      </c>
      <c r="Z1360" s="19"/>
      <c r="AA1360" s="19"/>
      <c r="AB1360" s="17"/>
      <c r="AC1360" s="19"/>
    </row>
    <row r="1361" customFormat="false" ht="32.8" hidden="false" customHeight="false" outlineLevel="0" collapsed="false">
      <c r="A1361" s="10" t="s">
        <v>2448</v>
      </c>
      <c r="B1361" s="17" t="s">
        <v>165</v>
      </c>
      <c r="C1361" s="18" t="s">
        <v>166</v>
      </c>
      <c r="D1361" s="17" t="s">
        <v>19</v>
      </c>
      <c r="E1361" s="17" t="s">
        <v>229</v>
      </c>
      <c r="F1361" s="17" t="s">
        <v>6683</v>
      </c>
      <c r="G1361" s="17" t="s">
        <v>177</v>
      </c>
      <c r="H1361" s="17" t="s">
        <v>28</v>
      </c>
      <c r="I1361" s="17" t="s">
        <v>232</v>
      </c>
      <c r="J1361" s="17" t="s">
        <v>233</v>
      </c>
      <c r="K1361" s="19"/>
      <c r="L1361" s="19"/>
      <c r="M1361" s="19"/>
      <c r="N1361" s="19"/>
      <c r="O1361" s="17" t="n">
        <v>0</v>
      </c>
      <c r="P1361" s="18" t="s">
        <v>6775</v>
      </c>
      <c r="Q1361" s="18" t="s">
        <v>6776</v>
      </c>
      <c r="R1361" s="18" t="s">
        <v>6777</v>
      </c>
      <c r="S1361" s="17" t="s">
        <v>6778</v>
      </c>
      <c r="T1361" s="18" t="s">
        <v>3941</v>
      </c>
      <c r="U1361" s="19"/>
      <c r="V1361" s="18" t="s">
        <v>6779</v>
      </c>
      <c r="W1361" s="17" t="s">
        <v>240</v>
      </c>
      <c r="X1361" s="17" t="s">
        <v>6780</v>
      </c>
      <c r="Y1361" s="17" t="s">
        <v>242</v>
      </c>
      <c r="Z1361" s="19"/>
      <c r="AA1361" s="19"/>
      <c r="AB1361" s="17"/>
      <c r="AC1361" s="19"/>
    </row>
    <row r="1362" customFormat="false" ht="22.35" hidden="false" customHeight="false" outlineLevel="0" collapsed="false">
      <c r="A1362" s="10" t="s">
        <v>6781</v>
      </c>
      <c r="B1362" s="17" t="s">
        <v>165</v>
      </c>
      <c r="C1362" s="18" t="s">
        <v>166</v>
      </c>
      <c r="D1362" s="17" t="s">
        <v>19</v>
      </c>
      <c r="E1362" s="17" t="s">
        <v>75</v>
      </c>
      <c r="F1362" s="17" t="s">
        <v>6683</v>
      </c>
      <c r="G1362" s="17" t="s">
        <v>177</v>
      </c>
      <c r="H1362" s="17" t="s">
        <v>28</v>
      </c>
      <c r="I1362" s="17" t="s">
        <v>316</v>
      </c>
      <c r="J1362" s="17" t="s">
        <v>233</v>
      </c>
      <c r="K1362" s="19"/>
      <c r="L1362" s="19"/>
      <c r="M1362" s="19"/>
      <c r="N1362" s="19"/>
      <c r="O1362" s="17" t="n">
        <v>2</v>
      </c>
      <c r="P1362" s="18" t="s">
        <v>6775</v>
      </c>
      <c r="Q1362" s="18" t="s">
        <v>6776</v>
      </c>
      <c r="R1362" s="18" t="s">
        <v>6782</v>
      </c>
      <c r="S1362" s="17" t="s">
        <v>2448</v>
      </c>
      <c r="T1362" s="18" t="s">
        <v>6783</v>
      </c>
      <c r="U1362" s="19"/>
      <c r="V1362" s="18" t="s">
        <v>6784</v>
      </c>
      <c r="W1362" s="17" t="s">
        <v>240</v>
      </c>
      <c r="X1362" s="17" t="s">
        <v>6785</v>
      </c>
      <c r="Y1362" s="17" t="s">
        <v>242</v>
      </c>
      <c r="Z1362" s="19"/>
      <c r="AA1362" s="19"/>
      <c r="AB1362" s="17"/>
      <c r="AC1362" s="19"/>
    </row>
    <row r="1363" customFormat="false" ht="22.35" hidden="false" customHeight="false" outlineLevel="0" collapsed="false">
      <c r="A1363" s="10" t="s">
        <v>6786</v>
      </c>
      <c r="B1363" s="17" t="s">
        <v>165</v>
      </c>
      <c r="C1363" s="18" t="s">
        <v>166</v>
      </c>
      <c r="D1363" s="17" t="s">
        <v>19</v>
      </c>
      <c r="E1363" s="17" t="s">
        <v>75</v>
      </c>
      <c r="F1363" s="17" t="s">
        <v>6683</v>
      </c>
      <c r="G1363" s="17" t="s">
        <v>177</v>
      </c>
      <c r="H1363" s="17" t="s">
        <v>28</v>
      </c>
      <c r="I1363" s="17" t="s">
        <v>316</v>
      </c>
      <c r="J1363" s="17" t="s">
        <v>233</v>
      </c>
      <c r="K1363" s="19"/>
      <c r="L1363" s="19"/>
      <c r="M1363" s="19"/>
      <c r="N1363" s="19"/>
      <c r="O1363" s="17" t="n">
        <v>2</v>
      </c>
      <c r="P1363" s="18" t="s">
        <v>6775</v>
      </c>
      <c r="Q1363" s="18" t="s">
        <v>6776</v>
      </c>
      <c r="R1363" s="18" t="s">
        <v>6787</v>
      </c>
      <c r="S1363" s="17" t="s">
        <v>6781</v>
      </c>
      <c r="T1363" s="18" t="s">
        <v>6788</v>
      </c>
      <c r="U1363" s="19"/>
      <c r="V1363" s="18" t="s">
        <v>6789</v>
      </c>
      <c r="W1363" s="17" t="s">
        <v>240</v>
      </c>
      <c r="X1363" s="17" t="s">
        <v>6790</v>
      </c>
      <c r="Y1363" s="17" t="s">
        <v>242</v>
      </c>
      <c r="Z1363" s="19"/>
      <c r="AA1363" s="19"/>
      <c r="AB1363" s="17"/>
      <c r="AC1363" s="19"/>
    </row>
    <row r="1364" customFormat="false" ht="32.8" hidden="false" customHeight="false" outlineLevel="0" collapsed="false">
      <c r="A1364" s="10" t="s">
        <v>6791</v>
      </c>
      <c r="B1364" s="17" t="s">
        <v>165</v>
      </c>
      <c r="C1364" s="18" t="s">
        <v>166</v>
      </c>
      <c r="D1364" s="17" t="s">
        <v>19</v>
      </c>
      <c r="E1364" s="17" t="s">
        <v>229</v>
      </c>
      <c r="F1364" s="17" t="s">
        <v>6683</v>
      </c>
      <c r="G1364" s="17" t="s">
        <v>177</v>
      </c>
      <c r="H1364" s="17" t="s">
        <v>28</v>
      </c>
      <c r="I1364" s="17" t="s">
        <v>316</v>
      </c>
      <c r="J1364" s="17" t="s">
        <v>233</v>
      </c>
      <c r="K1364" s="19"/>
      <c r="L1364" s="19"/>
      <c r="M1364" s="19"/>
      <c r="N1364" s="19"/>
      <c r="O1364" s="17" t="n">
        <v>2</v>
      </c>
      <c r="P1364" s="18" t="s">
        <v>6775</v>
      </c>
      <c r="Q1364" s="18" t="s">
        <v>6776</v>
      </c>
      <c r="R1364" s="18" t="s">
        <v>6792</v>
      </c>
      <c r="S1364" s="17" t="s">
        <v>6793</v>
      </c>
      <c r="T1364" s="18" t="s">
        <v>6794</v>
      </c>
      <c r="U1364" s="19"/>
      <c r="V1364" s="18" t="s">
        <v>6795</v>
      </c>
      <c r="W1364" s="17" t="s">
        <v>240</v>
      </c>
      <c r="X1364" s="17" t="s">
        <v>2471</v>
      </c>
      <c r="Y1364" s="17" t="s">
        <v>242</v>
      </c>
      <c r="Z1364" s="19"/>
      <c r="AA1364" s="19"/>
      <c r="AB1364" s="17"/>
      <c r="AC1364" s="19"/>
    </row>
    <row r="1365" customFormat="false" ht="22.35" hidden="false" customHeight="false" outlineLevel="0" collapsed="false">
      <c r="A1365" s="10" t="s">
        <v>6796</v>
      </c>
      <c r="B1365" s="17" t="s">
        <v>165</v>
      </c>
      <c r="C1365" s="18" t="s">
        <v>166</v>
      </c>
      <c r="D1365" s="17" t="s">
        <v>19</v>
      </c>
      <c r="E1365" s="17" t="s">
        <v>229</v>
      </c>
      <c r="F1365" s="17" t="s">
        <v>6683</v>
      </c>
      <c r="G1365" s="17" t="s">
        <v>177</v>
      </c>
      <c r="H1365" s="17" t="s">
        <v>28</v>
      </c>
      <c r="I1365" s="17" t="s">
        <v>316</v>
      </c>
      <c r="J1365" s="17" t="s">
        <v>233</v>
      </c>
      <c r="K1365" s="19"/>
      <c r="L1365" s="19"/>
      <c r="M1365" s="19"/>
      <c r="N1365" s="19"/>
      <c r="O1365" s="17" t="n">
        <v>2</v>
      </c>
      <c r="P1365" s="18" t="s">
        <v>6775</v>
      </c>
      <c r="Q1365" s="18" t="s">
        <v>6776</v>
      </c>
      <c r="R1365" s="18" t="s">
        <v>6797</v>
      </c>
      <c r="S1365" s="17" t="s">
        <v>6791</v>
      </c>
      <c r="T1365" s="18" t="s">
        <v>6798</v>
      </c>
      <c r="U1365" s="19"/>
      <c r="V1365" s="18" t="s">
        <v>6799</v>
      </c>
      <c r="W1365" s="17" t="s">
        <v>383</v>
      </c>
      <c r="X1365" s="17" t="s">
        <v>6800</v>
      </c>
      <c r="Y1365" s="17" t="s">
        <v>242</v>
      </c>
      <c r="Z1365" s="19"/>
      <c r="AA1365" s="19"/>
      <c r="AB1365" s="17"/>
      <c r="AC1365" s="19"/>
    </row>
    <row r="1366" customFormat="false" ht="22.35" hidden="false" customHeight="false" outlineLevel="0" collapsed="false">
      <c r="A1366" s="10" t="s">
        <v>6801</v>
      </c>
      <c r="B1366" s="17" t="s">
        <v>165</v>
      </c>
      <c r="C1366" s="18" t="s">
        <v>166</v>
      </c>
      <c r="D1366" s="17" t="s">
        <v>19</v>
      </c>
      <c r="E1366" s="17" t="s">
        <v>75</v>
      </c>
      <c r="F1366" s="17" t="s">
        <v>6683</v>
      </c>
      <c r="G1366" s="17" t="s">
        <v>177</v>
      </c>
      <c r="H1366" s="17" t="s">
        <v>28</v>
      </c>
      <c r="I1366" s="17" t="s">
        <v>316</v>
      </c>
      <c r="J1366" s="17" t="s">
        <v>233</v>
      </c>
      <c r="K1366" s="19"/>
      <c r="L1366" s="19"/>
      <c r="M1366" s="19"/>
      <c r="N1366" s="19"/>
      <c r="O1366" s="17" t="n">
        <v>2</v>
      </c>
      <c r="P1366" s="18" t="s">
        <v>6775</v>
      </c>
      <c r="Q1366" s="18" t="s">
        <v>6776</v>
      </c>
      <c r="R1366" s="18" t="s">
        <v>6802</v>
      </c>
      <c r="S1366" s="17" t="s">
        <v>6791</v>
      </c>
      <c r="T1366" s="18" t="s">
        <v>6803</v>
      </c>
      <c r="U1366" s="19"/>
      <c r="V1366" s="18" t="s">
        <v>6804</v>
      </c>
      <c r="W1366" s="17" t="s">
        <v>240</v>
      </c>
      <c r="X1366" s="17" t="s">
        <v>6805</v>
      </c>
      <c r="Y1366" s="17" t="s">
        <v>242</v>
      </c>
      <c r="Z1366" s="19"/>
      <c r="AA1366" s="19"/>
      <c r="AB1366" s="17"/>
      <c r="AC1366" s="19"/>
    </row>
    <row r="1367" customFormat="false" ht="32.8" hidden="false" customHeight="false" outlineLevel="0" collapsed="false">
      <c r="A1367" s="10" t="s">
        <v>6806</v>
      </c>
      <c r="B1367" s="17" t="s">
        <v>165</v>
      </c>
      <c r="C1367" s="18" t="s">
        <v>166</v>
      </c>
      <c r="D1367" s="17" t="s">
        <v>19</v>
      </c>
      <c r="E1367" s="17" t="s">
        <v>229</v>
      </c>
      <c r="F1367" s="17" t="s">
        <v>6683</v>
      </c>
      <c r="G1367" s="17" t="s">
        <v>177</v>
      </c>
      <c r="H1367" s="17" t="s">
        <v>28</v>
      </c>
      <c r="I1367" s="17" t="s">
        <v>277</v>
      </c>
      <c r="J1367" s="17" t="s">
        <v>233</v>
      </c>
      <c r="K1367" s="19"/>
      <c r="L1367" s="19"/>
      <c r="M1367" s="19"/>
      <c r="N1367" s="19"/>
      <c r="O1367" s="17" t="n">
        <v>2</v>
      </c>
      <c r="P1367" s="18" t="s">
        <v>6775</v>
      </c>
      <c r="Q1367" s="18" t="s">
        <v>6776</v>
      </c>
      <c r="R1367" s="18" t="s">
        <v>6807</v>
      </c>
      <c r="S1367" s="17" t="s">
        <v>6808</v>
      </c>
      <c r="T1367" s="18" t="s">
        <v>6809</v>
      </c>
      <c r="U1367" s="19"/>
      <c r="V1367" s="18" t="s">
        <v>6810</v>
      </c>
      <c r="W1367" s="17" t="s">
        <v>240</v>
      </c>
      <c r="X1367" s="17" t="s">
        <v>6811</v>
      </c>
      <c r="Y1367" s="17" t="s">
        <v>242</v>
      </c>
      <c r="Z1367" s="19"/>
      <c r="AA1367" s="19"/>
      <c r="AB1367" s="17"/>
      <c r="AC1367" s="19"/>
    </row>
    <row r="1368" customFormat="false" ht="22.35" hidden="false" customHeight="false" outlineLevel="0" collapsed="false">
      <c r="A1368" s="10" t="s">
        <v>6812</v>
      </c>
      <c r="B1368" s="17" t="s">
        <v>165</v>
      </c>
      <c r="C1368" s="18" t="s">
        <v>166</v>
      </c>
      <c r="D1368" s="17" t="s">
        <v>19</v>
      </c>
      <c r="E1368" s="17" t="s">
        <v>229</v>
      </c>
      <c r="F1368" s="17" t="s">
        <v>6683</v>
      </c>
      <c r="G1368" s="17" t="s">
        <v>177</v>
      </c>
      <c r="H1368" s="17" t="s">
        <v>28</v>
      </c>
      <c r="I1368" s="17" t="s">
        <v>277</v>
      </c>
      <c r="J1368" s="17" t="s">
        <v>233</v>
      </c>
      <c r="K1368" s="19"/>
      <c r="L1368" s="19"/>
      <c r="M1368" s="19"/>
      <c r="N1368" s="19"/>
      <c r="O1368" s="17" t="n">
        <v>2</v>
      </c>
      <c r="P1368" s="18" t="s">
        <v>6775</v>
      </c>
      <c r="Q1368" s="18" t="s">
        <v>6776</v>
      </c>
      <c r="R1368" s="18" t="s">
        <v>6813</v>
      </c>
      <c r="S1368" s="17" t="s">
        <v>6814</v>
      </c>
      <c r="T1368" s="18" t="s">
        <v>6815</v>
      </c>
      <c r="U1368" s="19"/>
      <c r="V1368" s="18" t="s">
        <v>6816</v>
      </c>
      <c r="W1368" s="17" t="s">
        <v>383</v>
      </c>
      <c r="X1368" s="17" t="s">
        <v>6817</v>
      </c>
      <c r="Y1368" s="17" t="s">
        <v>242</v>
      </c>
      <c r="Z1368" s="19"/>
      <c r="AA1368" s="19"/>
      <c r="AB1368" s="17"/>
      <c r="AC1368" s="19"/>
    </row>
    <row r="1369" customFormat="false" ht="22.35" hidden="false" customHeight="false" outlineLevel="0" collapsed="false">
      <c r="A1369" s="10" t="s">
        <v>6814</v>
      </c>
      <c r="B1369" s="17" t="s">
        <v>165</v>
      </c>
      <c r="C1369" s="18" t="s">
        <v>166</v>
      </c>
      <c r="D1369" s="17" t="s">
        <v>19</v>
      </c>
      <c r="E1369" s="17" t="s">
        <v>229</v>
      </c>
      <c r="F1369" s="17" t="s">
        <v>6683</v>
      </c>
      <c r="G1369" s="17" t="s">
        <v>177</v>
      </c>
      <c r="H1369" s="17" t="s">
        <v>28</v>
      </c>
      <c r="I1369" s="17" t="s">
        <v>289</v>
      </c>
      <c r="J1369" s="17" t="s">
        <v>233</v>
      </c>
      <c r="K1369" s="19"/>
      <c r="L1369" s="19"/>
      <c r="M1369" s="19"/>
      <c r="N1369" s="19"/>
      <c r="O1369" s="17" t="n">
        <v>2</v>
      </c>
      <c r="P1369" s="18" t="s">
        <v>6775</v>
      </c>
      <c r="Q1369" s="18" t="s">
        <v>6818</v>
      </c>
      <c r="R1369" s="18" t="s">
        <v>6819</v>
      </c>
      <c r="S1369" s="17" t="s">
        <v>6781</v>
      </c>
      <c r="T1369" s="18" t="s">
        <v>6820</v>
      </c>
      <c r="U1369" s="19"/>
      <c r="V1369" s="18" t="s">
        <v>6821</v>
      </c>
      <c r="W1369" s="17" t="s">
        <v>240</v>
      </c>
      <c r="X1369" s="17" t="s">
        <v>6822</v>
      </c>
      <c r="Y1369" s="17" t="s">
        <v>242</v>
      </c>
      <c r="Z1369" s="19"/>
      <c r="AA1369" s="19"/>
      <c r="AB1369" s="17"/>
      <c r="AC1369" s="19"/>
    </row>
    <row r="1370" customFormat="false" ht="22.35" hidden="false" customHeight="false" outlineLevel="0" collapsed="false">
      <c r="A1370" s="10" t="s">
        <v>6823</v>
      </c>
      <c r="B1370" s="17" t="s">
        <v>165</v>
      </c>
      <c r="C1370" s="18" t="s">
        <v>166</v>
      </c>
      <c r="D1370" s="17" t="s">
        <v>19</v>
      </c>
      <c r="E1370" s="17" t="s">
        <v>75</v>
      </c>
      <c r="F1370" s="17" t="s">
        <v>6683</v>
      </c>
      <c r="G1370" s="17" t="s">
        <v>177</v>
      </c>
      <c r="H1370" s="17" t="s">
        <v>28</v>
      </c>
      <c r="I1370" s="17" t="s">
        <v>369</v>
      </c>
      <c r="J1370" s="17" t="s">
        <v>233</v>
      </c>
      <c r="K1370" s="19"/>
      <c r="L1370" s="19"/>
      <c r="M1370" s="19"/>
      <c r="N1370" s="19"/>
      <c r="O1370" s="17" t="n">
        <v>2</v>
      </c>
      <c r="P1370" s="18" t="s">
        <v>6775</v>
      </c>
      <c r="Q1370" s="18" t="s">
        <v>6818</v>
      </c>
      <c r="R1370" s="18" t="s">
        <v>6824</v>
      </c>
      <c r="S1370" s="17" t="s">
        <v>2448</v>
      </c>
      <c r="T1370" s="18" t="s">
        <v>2967</v>
      </c>
      <c r="U1370" s="19"/>
      <c r="V1370" s="18" t="s">
        <v>6825</v>
      </c>
      <c r="W1370" s="17" t="s">
        <v>240</v>
      </c>
      <c r="X1370" s="17" t="s">
        <v>6826</v>
      </c>
      <c r="Y1370" s="17" t="s">
        <v>242</v>
      </c>
      <c r="Z1370" s="19"/>
      <c r="AA1370" s="19"/>
      <c r="AB1370" s="17"/>
      <c r="AC1370" s="19"/>
    </row>
    <row r="1371" customFormat="false" ht="22.35" hidden="false" customHeight="false" outlineLevel="0" collapsed="false">
      <c r="A1371" s="10" t="s">
        <v>6827</v>
      </c>
      <c r="B1371" s="17" t="s">
        <v>165</v>
      </c>
      <c r="C1371" s="18" t="s">
        <v>166</v>
      </c>
      <c r="D1371" s="17" t="s">
        <v>19</v>
      </c>
      <c r="E1371" s="17" t="s">
        <v>75</v>
      </c>
      <c r="F1371" s="17" t="s">
        <v>6683</v>
      </c>
      <c r="G1371" s="17" t="s">
        <v>177</v>
      </c>
      <c r="H1371" s="17" t="s">
        <v>28</v>
      </c>
      <c r="I1371" s="17" t="s">
        <v>316</v>
      </c>
      <c r="J1371" s="17" t="s">
        <v>233</v>
      </c>
      <c r="K1371" s="19"/>
      <c r="L1371" s="19"/>
      <c r="M1371" s="19"/>
      <c r="N1371" s="19"/>
      <c r="O1371" s="17" t="n">
        <v>2</v>
      </c>
      <c r="P1371" s="18" t="s">
        <v>6775</v>
      </c>
      <c r="Q1371" s="18" t="s">
        <v>6818</v>
      </c>
      <c r="R1371" s="18" t="s">
        <v>6828</v>
      </c>
      <c r="S1371" s="17" t="s">
        <v>6823</v>
      </c>
      <c r="T1371" s="18" t="s">
        <v>285</v>
      </c>
      <c r="U1371" s="19"/>
      <c r="V1371" s="18" t="s">
        <v>4226</v>
      </c>
      <c r="W1371" s="17" t="s">
        <v>240</v>
      </c>
      <c r="X1371" s="17" t="s">
        <v>3977</v>
      </c>
      <c r="Y1371" s="17" t="s">
        <v>242</v>
      </c>
      <c r="Z1371" s="19"/>
      <c r="AA1371" s="19"/>
      <c r="AB1371" s="17"/>
      <c r="AC1371" s="19"/>
    </row>
    <row r="1372" customFormat="false" ht="32.8" hidden="false" customHeight="false" outlineLevel="0" collapsed="false">
      <c r="A1372" s="10" t="s">
        <v>2415</v>
      </c>
      <c r="B1372" s="17" t="s">
        <v>165</v>
      </c>
      <c r="C1372" s="18" t="s">
        <v>166</v>
      </c>
      <c r="D1372" s="17" t="s">
        <v>19</v>
      </c>
      <c r="E1372" s="17" t="s">
        <v>229</v>
      </c>
      <c r="F1372" s="17" t="s">
        <v>6683</v>
      </c>
      <c r="G1372" s="17" t="s">
        <v>177</v>
      </c>
      <c r="H1372" s="17" t="s">
        <v>28</v>
      </c>
      <c r="I1372" s="17" t="s">
        <v>232</v>
      </c>
      <c r="J1372" s="17" t="s">
        <v>233</v>
      </c>
      <c r="K1372" s="19"/>
      <c r="L1372" s="19"/>
      <c r="M1372" s="19"/>
      <c r="N1372" s="19"/>
      <c r="O1372" s="17" t="n">
        <v>0</v>
      </c>
      <c r="P1372" s="18" t="s">
        <v>6829</v>
      </c>
      <c r="Q1372" s="18" t="s">
        <v>6830</v>
      </c>
      <c r="R1372" s="18" t="s">
        <v>6831</v>
      </c>
      <c r="S1372" s="17" t="s">
        <v>3940</v>
      </c>
      <c r="T1372" s="18" t="s">
        <v>6832</v>
      </c>
      <c r="U1372" s="19"/>
      <c r="V1372" s="18" t="s">
        <v>6833</v>
      </c>
      <c r="W1372" s="17" t="s">
        <v>240</v>
      </c>
      <c r="X1372" s="17" t="s">
        <v>6834</v>
      </c>
      <c r="Y1372" s="17" t="s">
        <v>242</v>
      </c>
      <c r="Z1372" s="19"/>
      <c r="AA1372" s="19"/>
      <c r="AB1372" s="17"/>
      <c r="AC1372" s="19"/>
    </row>
    <row r="1373" customFormat="false" ht="22.35" hidden="false" customHeight="false" outlineLevel="0" collapsed="false">
      <c r="A1373" s="10" t="s">
        <v>6835</v>
      </c>
      <c r="B1373" s="17" t="s">
        <v>165</v>
      </c>
      <c r="C1373" s="18" t="s">
        <v>166</v>
      </c>
      <c r="D1373" s="17" t="s">
        <v>19</v>
      </c>
      <c r="E1373" s="17" t="s">
        <v>244</v>
      </c>
      <c r="F1373" s="17" t="s">
        <v>6683</v>
      </c>
      <c r="G1373" s="17" t="s">
        <v>177</v>
      </c>
      <c r="H1373" s="17" t="s">
        <v>28</v>
      </c>
      <c r="I1373" s="17" t="s">
        <v>316</v>
      </c>
      <c r="J1373" s="17" t="s">
        <v>233</v>
      </c>
      <c r="K1373" s="19"/>
      <c r="L1373" s="19"/>
      <c r="M1373" s="19"/>
      <c r="N1373" s="19"/>
      <c r="O1373" s="17" t="n">
        <v>1</v>
      </c>
      <c r="P1373" s="18" t="s">
        <v>6829</v>
      </c>
      <c r="Q1373" s="18" t="s">
        <v>6830</v>
      </c>
      <c r="R1373" s="18" t="s">
        <v>6836</v>
      </c>
      <c r="S1373" s="17" t="s">
        <v>2415</v>
      </c>
      <c r="T1373" s="18" t="s">
        <v>6837</v>
      </c>
      <c r="U1373" s="19"/>
      <c r="V1373" s="18" t="s">
        <v>6838</v>
      </c>
      <c r="W1373" s="17" t="s">
        <v>240</v>
      </c>
      <c r="X1373" s="17" t="s">
        <v>6839</v>
      </c>
      <c r="Y1373" s="17" t="s">
        <v>242</v>
      </c>
      <c r="Z1373" s="19"/>
      <c r="AA1373" s="19"/>
      <c r="AB1373" s="17"/>
      <c r="AC1373" s="19"/>
    </row>
    <row r="1374" customFormat="false" ht="22.35" hidden="false" customHeight="false" outlineLevel="0" collapsed="false">
      <c r="A1374" s="10" t="s">
        <v>6840</v>
      </c>
      <c r="B1374" s="17" t="s">
        <v>165</v>
      </c>
      <c r="C1374" s="18" t="s">
        <v>166</v>
      </c>
      <c r="D1374" s="17" t="s">
        <v>19</v>
      </c>
      <c r="E1374" s="17" t="s">
        <v>229</v>
      </c>
      <c r="F1374" s="17" t="s">
        <v>6683</v>
      </c>
      <c r="G1374" s="17" t="s">
        <v>177</v>
      </c>
      <c r="H1374" s="17" t="s">
        <v>28</v>
      </c>
      <c r="I1374" s="17" t="s">
        <v>316</v>
      </c>
      <c r="J1374" s="17" t="s">
        <v>233</v>
      </c>
      <c r="K1374" s="19"/>
      <c r="L1374" s="19"/>
      <c r="M1374" s="19"/>
      <c r="N1374" s="19"/>
      <c r="O1374" s="17" t="n">
        <v>3</v>
      </c>
      <c r="P1374" s="18" t="s">
        <v>6829</v>
      </c>
      <c r="Q1374" s="18" t="s">
        <v>6830</v>
      </c>
      <c r="R1374" s="18" t="s">
        <v>6841</v>
      </c>
      <c r="S1374" s="17" t="s">
        <v>2415</v>
      </c>
      <c r="T1374" s="18" t="s">
        <v>6837</v>
      </c>
      <c r="U1374" s="19"/>
      <c r="V1374" s="18" t="s">
        <v>6842</v>
      </c>
      <c r="W1374" s="17" t="s">
        <v>240</v>
      </c>
      <c r="X1374" s="17" t="s">
        <v>6843</v>
      </c>
      <c r="Y1374" s="17" t="s">
        <v>242</v>
      </c>
      <c r="Z1374" s="19"/>
      <c r="AA1374" s="19"/>
      <c r="AB1374" s="17"/>
      <c r="AC1374" s="19"/>
    </row>
    <row r="1375" customFormat="false" ht="22.35" hidden="false" customHeight="false" outlineLevel="0" collapsed="false">
      <c r="A1375" s="10" t="s">
        <v>6844</v>
      </c>
      <c r="B1375" s="17" t="s">
        <v>165</v>
      </c>
      <c r="C1375" s="18" t="s">
        <v>166</v>
      </c>
      <c r="D1375" s="17" t="s">
        <v>19</v>
      </c>
      <c r="E1375" s="17" t="s">
        <v>229</v>
      </c>
      <c r="F1375" s="17" t="s">
        <v>6683</v>
      </c>
      <c r="G1375" s="17" t="s">
        <v>177</v>
      </c>
      <c r="H1375" s="17" t="s">
        <v>28</v>
      </c>
      <c r="I1375" s="17" t="s">
        <v>316</v>
      </c>
      <c r="J1375" s="17" t="s">
        <v>233</v>
      </c>
      <c r="K1375" s="19"/>
      <c r="L1375" s="19"/>
      <c r="M1375" s="19"/>
      <c r="N1375" s="19"/>
      <c r="O1375" s="17" t="n">
        <v>1</v>
      </c>
      <c r="P1375" s="18" t="s">
        <v>6829</v>
      </c>
      <c r="Q1375" s="18" t="s">
        <v>6830</v>
      </c>
      <c r="R1375" s="18" t="s">
        <v>6845</v>
      </c>
      <c r="S1375" s="17" t="s">
        <v>6846</v>
      </c>
      <c r="T1375" s="18" t="s">
        <v>6837</v>
      </c>
      <c r="U1375" s="19"/>
      <c r="V1375" s="18" t="s">
        <v>6847</v>
      </c>
      <c r="W1375" s="17" t="s">
        <v>240</v>
      </c>
      <c r="X1375" s="17" t="s">
        <v>6848</v>
      </c>
      <c r="Y1375" s="17" t="s">
        <v>242</v>
      </c>
      <c r="Z1375" s="19"/>
      <c r="AA1375" s="19"/>
      <c r="AB1375" s="17"/>
      <c r="AC1375" s="19"/>
    </row>
    <row r="1376" customFormat="false" ht="22.35" hidden="false" customHeight="false" outlineLevel="0" collapsed="false">
      <c r="A1376" s="10" t="s">
        <v>6849</v>
      </c>
      <c r="B1376" s="17" t="s">
        <v>165</v>
      </c>
      <c r="C1376" s="18" t="s">
        <v>166</v>
      </c>
      <c r="D1376" s="17" t="s">
        <v>19</v>
      </c>
      <c r="E1376" s="17" t="s">
        <v>229</v>
      </c>
      <c r="F1376" s="17" t="s">
        <v>6683</v>
      </c>
      <c r="G1376" s="17" t="s">
        <v>177</v>
      </c>
      <c r="H1376" s="17" t="s">
        <v>28</v>
      </c>
      <c r="I1376" s="17" t="s">
        <v>316</v>
      </c>
      <c r="J1376" s="17" t="s">
        <v>233</v>
      </c>
      <c r="K1376" s="19"/>
      <c r="L1376" s="19"/>
      <c r="M1376" s="19"/>
      <c r="N1376" s="19"/>
      <c r="O1376" s="17" t="n">
        <v>1</v>
      </c>
      <c r="P1376" s="18" t="s">
        <v>6829</v>
      </c>
      <c r="Q1376" s="18" t="s">
        <v>6830</v>
      </c>
      <c r="R1376" s="18" t="s">
        <v>6850</v>
      </c>
      <c r="S1376" s="17" t="s">
        <v>6851</v>
      </c>
      <c r="T1376" s="18" t="s">
        <v>6852</v>
      </c>
      <c r="U1376" s="19"/>
      <c r="V1376" s="18" t="s">
        <v>6853</v>
      </c>
      <c r="W1376" s="17" t="s">
        <v>240</v>
      </c>
      <c r="X1376" s="17" t="s">
        <v>6854</v>
      </c>
      <c r="Y1376" s="17" t="s">
        <v>242</v>
      </c>
      <c r="Z1376" s="19"/>
      <c r="AA1376" s="19"/>
      <c r="AB1376" s="17"/>
      <c r="AC1376" s="19"/>
    </row>
    <row r="1377" customFormat="false" ht="22.35" hidden="false" customHeight="false" outlineLevel="0" collapsed="false">
      <c r="A1377" s="10" t="s">
        <v>6855</v>
      </c>
      <c r="B1377" s="17" t="s">
        <v>165</v>
      </c>
      <c r="C1377" s="18" t="s">
        <v>166</v>
      </c>
      <c r="D1377" s="17" t="s">
        <v>19</v>
      </c>
      <c r="E1377" s="17" t="s">
        <v>229</v>
      </c>
      <c r="F1377" s="17" t="s">
        <v>6683</v>
      </c>
      <c r="G1377" s="17" t="s">
        <v>177</v>
      </c>
      <c r="H1377" s="17" t="s">
        <v>28</v>
      </c>
      <c r="I1377" s="17" t="s">
        <v>316</v>
      </c>
      <c r="J1377" s="17" t="s">
        <v>233</v>
      </c>
      <c r="K1377" s="19"/>
      <c r="L1377" s="19"/>
      <c r="M1377" s="19"/>
      <c r="N1377" s="19"/>
      <c r="O1377" s="17" t="n">
        <v>1</v>
      </c>
      <c r="P1377" s="18" t="s">
        <v>6829</v>
      </c>
      <c r="Q1377" s="18" t="s">
        <v>6830</v>
      </c>
      <c r="R1377" s="18" t="s">
        <v>6856</v>
      </c>
      <c r="S1377" s="17" t="s">
        <v>6835</v>
      </c>
      <c r="T1377" s="18" t="s">
        <v>6857</v>
      </c>
      <c r="U1377" s="19"/>
      <c r="V1377" s="18" t="s">
        <v>6858</v>
      </c>
      <c r="W1377" s="17" t="s">
        <v>240</v>
      </c>
      <c r="X1377" s="17" t="s">
        <v>6859</v>
      </c>
      <c r="Y1377" s="17" t="s">
        <v>242</v>
      </c>
      <c r="Z1377" s="19"/>
      <c r="AA1377" s="19"/>
      <c r="AB1377" s="17"/>
      <c r="AC1377" s="19"/>
    </row>
    <row r="1378" customFormat="false" ht="22.35" hidden="false" customHeight="false" outlineLevel="0" collapsed="false">
      <c r="A1378" s="10" t="s">
        <v>6860</v>
      </c>
      <c r="B1378" s="17" t="s">
        <v>165</v>
      </c>
      <c r="C1378" s="18" t="s">
        <v>166</v>
      </c>
      <c r="D1378" s="17" t="s">
        <v>19</v>
      </c>
      <c r="E1378" s="17" t="s">
        <v>229</v>
      </c>
      <c r="F1378" s="17" t="s">
        <v>6683</v>
      </c>
      <c r="G1378" s="17" t="s">
        <v>177</v>
      </c>
      <c r="H1378" s="17" t="s">
        <v>28</v>
      </c>
      <c r="I1378" s="17" t="s">
        <v>893</v>
      </c>
      <c r="J1378" s="17" t="s">
        <v>233</v>
      </c>
      <c r="K1378" s="19"/>
      <c r="L1378" s="19"/>
      <c r="M1378" s="19"/>
      <c r="N1378" s="19"/>
      <c r="O1378" s="17" t="n">
        <v>1</v>
      </c>
      <c r="P1378" s="18" t="s">
        <v>6829</v>
      </c>
      <c r="Q1378" s="18" t="s">
        <v>6830</v>
      </c>
      <c r="R1378" s="18" t="s">
        <v>6861</v>
      </c>
      <c r="S1378" s="17" t="s">
        <v>6855</v>
      </c>
      <c r="T1378" s="18" t="s">
        <v>6862</v>
      </c>
      <c r="U1378" s="19"/>
      <c r="V1378" s="18" t="s">
        <v>6863</v>
      </c>
      <c r="W1378" s="17" t="s">
        <v>240</v>
      </c>
      <c r="X1378" s="17" t="s">
        <v>6864</v>
      </c>
      <c r="Y1378" s="17" t="s">
        <v>242</v>
      </c>
      <c r="Z1378" s="19"/>
      <c r="AA1378" s="19"/>
      <c r="AB1378" s="17"/>
      <c r="AC1378" s="19"/>
    </row>
    <row r="1379" customFormat="false" ht="22.35" hidden="false" customHeight="false" outlineLevel="0" collapsed="false">
      <c r="A1379" s="10" t="s">
        <v>6865</v>
      </c>
      <c r="B1379" s="17" t="s">
        <v>165</v>
      </c>
      <c r="C1379" s="18" t="s">
        <v>166</v>
      </c>
      <c r="D1379" s="17" t="s">
        <v>19</v>
      </c>
      <c r="E1379" s="17" t="s">
        <v>244</v>
      </c>
      <c r="F1379" s="17" t="s">
        <v>6683</v>
      </c>
      <c r="G1379" s="17" t="s">
        <v>177</v>
      </c>
      <c r="H1379" s="17" t="s">
        <v>28</v>
      </c>
      <c r="I1379" s="17" t="s">
        <v>277</v>
      </c>
      <c r="J1379" s="17" t="s">
        <v>233</v>
      </c>
      <c r="K1379" s="19"/>
      <c r="L1379" s="19"/>
      <c r="M1379" s="19"/>
      <c r="N1379" s="19"/>
      <c r="O1379" s="17" t="n">
        <v>1</v>
      </c>
      <c r="P1379" s="18" t="s">
        <v>6829</v>
      </c>
      <c r="Q1379" s="18" t="s">
        <v>6830</v>
      </c>
      <c r="R1379" s="18" t="s">
        <v>6866</v>
      </c>
      <c r="S1379" s="17" t="s">
        <v>6860</v>
      </c>
      <c r="T1379" s="18" t="s">
        <v>6867</v>
      </c>
      <c r="U1379" s="19"/>
      <c r="V1379" s="18" t="s">
        <v>6868</v>
      </c>
      <c r="W1379" s="17" t="s">
        <v>240</v>
      </c>
      <c r="X1379" s="17" t="s">
        <v>6869</v>
      </c>
      <c r="Y1379" s="17" t="s">
        <v>242</v>
      </c>
      <c r="Z1379" s="19"/>
      <c r="AA1379" s="19"/>
      <c r="AB1379" s="17"/>
      <c r="AC1379" s="19"/>
    </row>
    <row r="1380" customFormat="false" ht="22.35" hidden="false" customHeight="false" outlineLevel="0" collapsed="false">
      <c r="A1380" s="10" t="s">
        <v>6870</v>
      </c>
      <c r="B1380" s="17" t="s">
        <v>165</v>
      </c>
      <c r="C1380" s="18" t="s">
        <v>166</v>
      </c>
      <c r="D1380" s="17" t="s">
        <v>19</v>
      </c>
      <c r="E1380" s="17" t="s">
        <v>229</v>
      </c>
      <c r="F1380" s="17" t="s">
        <v>6683</v>
      </c>
      <c r="G1380" s="17" t="s">
        <v>177</v>
      </c>
      <c r="H1380" s="17" t="s">
        <v>28</v>
      </c>
      <c r="I1380" s="17" t="s">
        <v>289</v>
      </c>
      <c r="J1380" s="17" t="s">
        <v>233</v>
      </c>
      <c r="K1380" s="19"/>
      <c r="L1380" s="19"/>
      <c r="M1380" s="19"/>
      <c r="N1380" s="19"/>
      <c r="O1380" s="17" t="n">
        <v>1</v>
      </c>
      <c r="P1380" s="18" t="s">
        <v>6829</v>
      </c>
      <c r="Q1380" s="18" t="s">
        <v>6830</v>
      </c>
      <c r="R1380" s="18" t="s">
        <v>6871</v>
      </c>
      <c r="S1380" s="17" t="s">
        <v>6835</v>
      </c>
      <c r="T1380" s="18" t="s">
        <v>6872</v>
      </c>
      <c r="U1380" s="19"/>
      <c r="V1380" s="18" t="s">
        <v>6873</v>
      </c>
      <c r="W1380" s="17" t="s">
        <v>383</v>
      </c>
      <c r="X1380" s="17" t="s">
        <v>6822</v>
      </c>
      <c r="Y1380" s="17" t="s">
        <v>242</v>
      </c>
      <c r="Z1380" s="19"/>
      <c r="AA1380" s="19"/>
      <c r="AB1380" s="17"/>
      <c r="AC1380" s="19"/>
    </row>
    <row r="1381" customFormat="false" ht="22.35" hidden="false" customHeight="false" outlineLevel="0" collapsed="false">
      <c r="A1381" s="10" t="s">
        <v>6874</v>
      </c>
      <c r="B1381" s="17" t="s">
        <v>165</v>
      </c>
      <c r="C1381" s="18" t="s">
        <v>166</v>
      </c>
      <c r="D1381" s="17" t="s">
        <v>19</v>
      </c>
      <c r="E1381" s="17" t="s">
        <v>75</v>
      </c>
      <c r="F1381" s="17" t="s">
        <v>6683</v>
      </c>
      <c r="G1381" s="17" t="s">
        <v>177</v>
      </c>
      <c r="H1381" s="17" t="s">
        <v>28</v>
      </c>
      <c r="I1381" s="17" t="s">
        <v>316</v>
      </c>
      <c r="J1381" s="17" t="s">
        <v>233</v>
      </c>
      <c r="K1381" s="19"/>
      <c r="L1381" s="19"/>
      <c r="M1381" s="19"/>
      <c r="N1381" s="19"/>
      <c r="O1381" s="17" t="n">
        <v>1</v>
      </c>
      <c r="P1381" s="18" t="s">
        <v>6829</v>
      </c>
      <c r="Q1381" s="18" t="s">
        <v>6830</v>
      </c>
      <c r="R1381" s="18" t="s">
        <v>6875</v>
      </c>
      <c r="S1381" s="17" t="s">
        <v>6870</v>
      </c>
      <c r="T1381" s="18" t="s">
        <v>285</v>
      </c>
      <c r="U1381" s="19"/>
      <c r="V1381" s="18" t="s">
        <v>4226</v>
      </c>
      <c r="W1381" s="17" t="s">
        <v>240</v>
      </c>
      <c r="X1381" s="17" t="s">
        <v>3977</v>
      </c>
      <c r="Y1381" s="17" t="s">
        <v>242</v>
      </c>
      <c r="Z1381" s="19"/>
      <c r="AA1381" s="19"/>
      <c r="AB1381" s="17"/>
      <c r="AC1381" s="19"/>
    </row>
    <row r="1382" customFormat="false" ht="32.8" hidden="false" customHeight="false" outlineLevel="0" collapsed="false">
      <c r="A1382" s="10" t="s">
        <v>6876</v>
      </c>
      <c r="B1382" s="17" t="s">
        <v>165</v>
      </c>
      <c r="C1382" s="18" t="s">
        <v>166</v>
      </c>
      <c r="D1382" s="17" t="s">
        <v>19</v>
      </c>
      <c r="E1382" s="17" t="s">
        <v>229</v>
      </c>
      <c r="F1382" s="17" t="s">
        <v>6683</v>
      </c>
      <c r="G1382" s="17" t="s">
        <v>177</v>
      </c>
      <c r="H1382" s="17" t="s">
        <v>28</v>
      </c>
      <c r="I1382" s="17" t="s">
        <v>232</v>
      </c>
      <c r="J1382" s="17" t="s">
        <v>233</v>
      </c>
      <c r="K1382" s="19"/>
      <c r="L1382" s="19"/>
      <c r="M1382" s="19"/>
      <c r="N1382" s="19"/>
      <c r="O1382" s="17" t="n">
        <v>0</v>
      </c>
      <c r="P1382" s="18" t="s">
        <v>6877</v>
      </c>
      <c r="Q1382" s="18" t="s">
        <v>6878</v>
      </c>
      <c r="R1382" s="18" t="s">
        <v>6879</v>
      </c>
      <c r="S1382" s="17" t="s">
        <v>568</v>
      </c>
      <c r="T1382" s="18" t="s">
        <v>6880</v>
      </c>
      <c r="U1382" s="19"/>
      <c r="V1382" s="18" t="s">
        <v>6881</v>
      </c>
      <c r="W1382" s="17" t="s">
        <v>240</v>
      </c>
      <c r="X1382" s="17" t="s">
        <v>6882</v>
      </c>
      <c r="Y1382" s="17" t="s">
        <v>242</v>
      </c>
      <c r="Z1382" s="19"/>
      <c r="AA1382" s="19"/>
      <c r="AB1382" s="17"/>
      <c r="AC1382" s="19"/>
    </row>
    <row r="1383" customFormat="false" ht="22.35" hidden="false" customHeight="false" outlineLevel="0" collapsed="false">
      <c r="A1383" s="10" t="s">
        <v>3940</v>
      </c>
      <c r="B1383" s="17" t="s">
        <v>165</v>
      </c>
      <c r="C1383" s="18" t="s">
        <v>166</v>
      </c>
      <c r="D1383" s="17" t="s">
        <v>19</v>
      </c>
      <c r="E1383" s="17" t="s">
        <v>244</v>
      </c>
      <c r="F1383" s="17" t="s">
        <v>6683</v>
      </c>
      <c r="G1383" s="17" t="s">
        <v>177</v>
      </c>
      <c r="H1383" s="17" t="s">
        <v>28</v>
      </c>
      <c r="I1383" s="17" t="s">
        <v>289</v>
      </c>
      <c r="J1383" s="17" t="s">
        <v>233</v>
      </c>
      <c r="K1383" s="19"/>
      <c r="L1383" s="19"/>
      <c r="M1383" s="19"/>
      <c r="N1383" s="19"/>
      <c r="O1383" s="17" t="n">
        <v>0</v>
      </c>
      <c r="P1383" s="18" t="s">
        <v>6877</v>
      </c>
      <c r="Q1383" s="18" t="s">
        <v>6878</v>
      </c>
      <c r="R1383" s="18" t="s">
        <v>6883</v>
      </c>
      <c r="S1383" s="17" t="s">
        <v>6876</v>
      </c>
      <c r="T1383" s="18" t="s">
        <v>6884</v>
      </c>
      <c r="U1383" s="19"/>
      <c r="V1383" s="18" t="s">
        <v>6885</v>
      </c>
      <c r="W1383" s="17" t="s">
        <v>240</v>
      </c>
      <c r="X1383" s="17" t="s">
        <v>6886</v>
      </c>
      <c r="Y1383" s="17" t="s">
        <v>242</v>
      </c>
      <c r="Z1383" s="19"/>
      <c r="AA1383" s="19"/>
      <c r="AB1383" s="17"/>
      <c r="AC1383" s="19"/>
    </row>
    <row r="1384" customFormat="false" ht="22.35" hidden="false" customHeight="false" outlineLevel="0" collapsed="false">
      <c r="A1384" s="10" t="s">
        <v>6887</v>
      </c>
      <c r="B1384" s="17" t="s">
        <v>165</v>
      </c>
      <c r="C1384" s="18" t="s">
        <v>166</v>
      </c>
      <c r="D1384" s="17" t="s">
        <v>19</v>
      </c>
      <c r="E1384" s="17" t="s">
        <v>75</v>
      </c>
      <c r="F1384" s="17" t="s">
        <v>6683</v>
      </c>
      <c r="G1384" s="17" t="s">
        <v>177</v>
      </c>
      <c r="H1384" s="17" t="s">
        <v>28</v>
      </c>
      <c r="I1384" s="17" t="s">
        <v>289</v>
      </c>
      <c r="J1384" s="17" t="s">
        <v>233</v>
      </c>
      <c r="K1384" s="19"/>
      <c r="L1384" s="19"/>
      <c r="M1384" s="19"/>
      <c r="N1384" s="19"/>
      <c r="O1384" s="17" t="n">
        <v>1</v>
      </c>
      <c r="P1384" s="18" t="s">
        <v>6877</v>
      </c>
      <c r="Q1384" s="18" t="s">
        <v>6878</v>
      </c>
      <c r="R1384" s="18" t="s">
        <v>6888</v>
      </c>
      <c r="S1384" s="17" t="s">
        <v>3940</v>
      </c>
      <c r="T1384" s="18" t="s">
        <v>6889</v>
      </c>
      <c r="U1384" s="19"/>
      <c r="V1384" s="18" t="s">
        <v>6890</v>
      </c>
      <c r="W1384" s="17" t="s">
        <v>240</v>
      </c>
      <c r="X1384" s="17" t="s">
        <v>6891</v>
      </c>
      <c r="Y1384" s="17" t="s">
        <v>242</v>
      </c>
      <c r="Z1384" s="19"/>
      <c r="AA1384" s="19"/>
      <c r="AB1384" s="17"/>
      <c r="AC1384" s="19"/>
    </row>
    <row r="1385" customFormat="false" ht="22.35" hidden="false" customHeight="false" outlineLevel="0" collapsed="false">
      <c r="A1385" s="10" t="s">
        <v>6892</v>
      </c>
      <c r="B1385" s="17" t="s">
        <v>165</v>
      </c>
      <c r="C1385" s="18" t="s">
        <v>166</v>
      </c>
      <c r="D1385" s="17" t="s">
        <v>19</v>
      </c>
      <c r="E1385" s="17" t="s">
        <v>75</v>
      </c>
      <c r="F1385" s="17" t="s">
        <v>6683</v>
      </c>
      <c r="G1385" s="17" t="s">
        <v>177</v>
      </c>
      <c r="H1385" s="17" t="s">
        <v>28</v>
      </c>
      <c r="I1385" s="17" t="s">
        <v>283</v>
      </c>
      <c r="J1385" s="17" t="s">
        <v>233</v>
      </c>
      <c r="K1385" s="19"/>
      <c r="L1385" s="19"/>
      <c r="M1385" s="19"/>
      <c r="N1385" s="19"/>
      <c r="O1385" s="17" t="n">
        <v>1</v>
      </c>
      <c r="P1385" s="18" t="s">
        <v>6877</v>
      </c>
      <c r="Q1385" s="18" t="s">
        <v>6878</v>
      </c>
      <c r="R1385" s="18" t="s">
        <v>6893</v>
      </c>
      <c r="S1385" s="17" t="s">
        <v>3940</v>
      </c>
      <c r="T1385" s="18" t="s">
        <v>6894</v>
      </c>
      <c r="U1385" s="19"/>
      <c r="V1385" s="18" t="s">
        <v>6895</v>
      </c>
      <c r="W1385" s="17" t="s">
        <v>240</v>
      </c>
      <c r="X1385" s="17" t="s">
        <v>6896</v>
      </c>
      <c r="Y1385" s="17" t="s">
        <v>242</v>
      </c>
      <c r="Z1385" s="19"/>
      <c r="AA1385" s="19"/>
      <c r="AB1385" s="17"/>
      <c r="AC1385" s="19"/>
    </row>
    <row r="1386" customFormat="false" ht="32.8" hidden="false" customHeight="false" outlineLevel="0" collapsed="false">
      <c r="A1386" s="10" t="s">
        <v>6897</v>
      </c>
      <c r="B1386" s="17" t="s">
        <v>165</v>
      </c>
      <c r="C1386" s="18" t="s">
        <v>166</v>
      </c>
      <c r="D1386" s="17" t="s">
        <v>19</v>
      </c>
      <c r="E1386" s="17" t="s">
        <v>75</v>
      </c>
      <c r="F1386" s="17" t="s">
        <v>6683</v>
      </c>
      <c r="G1386" s="17" t="s">
        <v>177</v>
      </c>
      <c r="H1386" s="17" t="s">
        <v>28</v>
      </c>
      <c r="I1386" s="17" t="s">
        <v>277</v>
      </c>
      <c r="J1386" s="17" t="s">
        <v>233</v>
      </c>
      <c r="K1386" s="19"/>
      <c r="L1386" s="19"/>
      <c r="M1386" s="19"/>
      <c r="N1386" s="19"/>
      <c r="O1386" s="17" t="n">
        <v>1</v>
      </c>
      <c r="P1386" s="18" t="s">
        <v>6877</v>
      </c>
      <c r="Q1386" s="18" t="s">
        <v>6878</v>
      </c>
      <c r="R1386" s="18" t="s">
        <v>6898</v>
      </c>
      <c r="S1386" s="17" t="s">
        <v>6892</v>
      </c>
      <c r="T1386" s="18" t="s">
        <v>6899</v>
      </c>
      <c r="U1386" s="19"/>
      <c r="V1386" s="18" t="s">
        <v>6900</v>
      </c>
      <c r="W1386" s="17" t="s">
        <v>240</v>
      </c>
      <c r="X1386" s="17" t="s">
        <v>6901</v>
      </c>
      <c r="Y1386" s="17" t="s">
        <v>242</v>
      </c>
      <c r="Z1386" s="19"/>
      <c r="AA1386" s="19"/>
      <c r="AB1386" s="17"/>
      <c r="AC1386" s="19"/>
    </row>
    <row r="1387" customFormat="false" ht="22.35" hidden="false" customHeight="false" outlineLevel="0" collapsed="false">
      <c r="A1387" s="10" t="s">
        <v>6902</v>
      </c>
      <c r="B1387" s="17" t="s">
        <v>165</v>
      </c>
      <c r="C1387" s="18" t="s">
        <v>166</v>
      </c>
      <c r="D1387" s="17" t="s">
        <v>19</v>
      </c>
      <c r="E1387" s="17" t="s">
        <v>244</v>
      </c>
      <c r="F1387" s="17" t="s">
        <v>6683</v>
      </c>
      <c r="G1387" s="17" t="s">
        <v>177</v>
      </c>
      <c r="H1387" s="17" t="s">
        <v>28</v>
      </c>
      <c r="I1387" s="17" t="s">
        <v>232</v>
      </c>
      <c r="J1387" s="17" t="s">
        <v>233</v>
      </c>
      <c r="K1387" s="19"/>
      <c r="L1387" s="19"/>
      <c r="M1387" s="19"/>
      <c r="N1387" s="19"/>
      <c r="O1387" s="17" t="n">
        <v>0</v>
      </c>
      <c r="P1387" s="18" t="s">
        <v>6877</v>
      </c>
      <c r="Q1387" s="18" t="s">
        <v>6878</v>
      </c>
      <c r="R1387" s="18" t="s">
        <v>6903</v>
      </c>
      <c r="S1387" s="17" t="s">
        <v>3940</v>
      </c>
      <c r="T1387" s="18" t="s">
        <v>6904</v>
      </c>
      <c r="U1387" s="19"/>
      <c r="V1387" s="18" t="s">
        <v>6905</v>
      </c>
      <c r="W1387" s="17" t="s">
        <v>240</v>
      </c>
      <c r="X1387" s="17" t="s">
        <v>6906</v>
      </c>
      <c r="Y1387" s="17" t="s">
        <v>242</v>
      </c>
      <c r="Z1387" s="19"/>
      <c r="AA1387" s="19"/>
      <c r="AB1387" s="17"/>
      <c r="AC1387" s="19"/>
    </row>
    <row r="1388" customFormat="false" ht="22.35" hidden="false" customHeight="false" outlineLevel="0" collapsed="false">
      <c r="A1388" s="10" t="s">
        <v>6907</v>
      </c>
      <c r="B1388" s="17" t="s">
        <v>165</v>
      </c>
      <c r="C1388" s="18" t="s">
        <v>166</v>
      </c>
      <c r="D1388" s="17" t="s">
        <v>19</v>
      </c>
      <c r="E1388" s="17" t="s">
        <v>229</v>
      </c>
      <c r="F1388" s="17" t="s">
        <v>6683</v>
      </c>
      <c r="G1388" s="17" t="s">
        <v>177</v>
      </c>
      <c r="H1388" s="17" t="s">
        <v>28</v>
      </c>
      <c r="I1388" s="17" t="s">
        <v>289</v>
      </c>
      <c r="J1388" s="17" t="s">
        <v>233</v>
      </c>
      <c r="K1388" s="19"/>
      <c r="L1388" s="19"/>
      <c r="M1388" s="19"/>
      <c r="N1388" s="19"/>
      <c r="O1388" s="17" t="n">
        <v>1</v>
      </c>
      <c r="P1388" s="18" t="s">
        <v>6877</v>
      </c>
      <c r="Q1388" s="18" t="s">
        <v>6878</v>
      </c>
      <c r="R1388" s="18" t="s">
        <v>6908</v>
      </c>
      <c r="S1388" s="17" t="s">
        <v>3940</v>
      </c>
      <c r="T1388" s="18" t="s">
        <v>6909</v>
      </c>
      <c r="U1388" s="19"/>
      <c r="V1388" s="18" t="s">
        <v>6910</v>
      </c>
      <c r="W1388" s="17" t="s">
        <v>383</v>
      </c>
      <c r="X1388" s="17" t="s">
        <v>378</v>
      </c>
      <c r="Y1388" s="17" t="s">
        <v>242</v>
      </c>
      <c r="Z1388" s="19"/>
      <c r="AA1388" s="19"/>
      <c r="AB1388" s="17"/>
      <c r="AC1388" s="19"/>
    </row>
    <row r="1389" customFormat="false" ht="22.35" hidden="false" customHeight="false" outlineLevel="0" collapsed="false">
      <c r="A1389" s="10" t="s">
        <v>6911</v>
      </c>
      <c r="B1389" s="17" t="s">
        <v>165</v>
      </c>
      <c r="C1389" s="18" t="s">
        <v>166</v>
      </c>
      <c r="D1389" s="17" t="s">
        <v>19</v>
      </c>
      <c r="E1389" s="17" t="s">
        <v>75</v>
      </c>
      <c r="F1389" s="17" t="s">
        <v>6683</v>
      </c>
      <c r="G1389" s="17" t="s">
        <v>177</v>
      </c>
      <c r="H1389" s="17" t="s">
        <v>28</v>
      </c>
      <c r="I1389" s="17" t="s">
        <v>232</v>
      </c>
      <c r="J1389" s="17" t="s">
        <v>233</v>
      </c>
      <c r="K1389" s="19"/>
      <c r="L1389" s="19"/>
      <c r="M1389" s="19"/>
      <c r="N1389" s="19"/>
      <c r="O1389" s="17" t="n">
        <v>1</v>
      </c>
      <c r="P1389" s="18" t="s">
        <v>6877</v>
      </c>
      <c r="Q1389" s="18" t="s">
        <v>6878</v>
      </c>
      <c r="R1389" s="18" t="s">
        <v>6912</v>
      </c>
      <c r="S1389" s="17" t="s">
        <v>6907</v>
      </c>
      <c r="T1389" s="18" t="s">
        <v>285</v>
      </c>
      <c r="U1389" s="19"/>
      <c r="V1389" s="18" t="s">
        <v>4226</v>
      </c>
      <c r="W1389" s="17" t="s">
        <v>240</v>
      </c>
      <c r="X1389" s="17" t="s">
        <v>3977</v>
      </c>
      <c r="Y1389" s="17" t="s">
        <v>242</v>
      </c>
      <c r="Z1389" s="19"/>
      <c r="AA1389" s="19"/>
      <c r="AB1389" s="17"/>
      <c r="AC1389" s="19"/>
    </row>
    <row r="1390" customFormat="false" ht="22.35" hidden="false" customHeight="false" outlineLevel="0" collapsed="false">
      <c r="A1390" s="10" t="s">
        <v>4713</v>
      </c>
      <c r="B1390" s="17" t="s">
        <v>165</v>
      </c>
      <c r="C1390" s="18" t="s">
        <v>166</v>
      </c>
      <c r="D1390" s="17" t="s">
        <v>19</v>
      </c>
      <c r="E1390" s="17" t="s">
        <v>229</v>
      </c>
      <c r="F1390" s="17" t="s">
        <v>6683</v>
      </c>
      <c r="G1390" s="17" t="s">
        <v>177</v>
      </c>
      <c r="H1390" s="17" t="s">
        <v>28</v>
      </c>
      <c r="I1390" s="17" t="s">
        <v>232</v>
      </c>
      <c r="J1390" s="17" t="s">
        <v>233</v>
      </c>
      <c r="K1390" s="19"/>
      <c r="L1390" s="19"/>
      <c r="M1390" s="19"/>
      <c r="N1390" s="19"/>
      <c r="O1390" s="17" t="n">
        <v>0</v>
      </c>
      <c r="P1390" s="18" t="s">
        <v>6913</v>
      </c>
      <c r="Q1390" s="18" t="s">
        <v>6914</v>
      </c>
      <c r="R1390" s="18" t="s">
        <v>6915</v>
      </c>
      <c r="S1390" s="17" t="s">
        <v>563</v>
      </c>
      <c r="T1390" s="18" t="s">
        <v>6916</v>
      </c>
      <c r="U1390" s="19"/>
      <c r="V1390" s="18" t="s">
        <v>6917</v>
      </c>
      <c r="W1390" s="17" t="s">
        <v>240</v>
      </c>
      <c r="X1390" s="17" t="s">
        <v>4394</v>
      </c>
      <c r="Y1390" s="17" t="s">
        <v>242</v>
      </c>
      <c r="Z1390" s="19"/>
      <c r="AA1390" s="19"/>
      <c r="AB1390" s="17"/>
      <c r="AC1390" s="19"/>
    </row>
    <row r="1391" customFormat="false" ht="22.35" hidden="false" customHeight="false" outlineLevel="0" collapsed="false">
      <c r="A1391" s="10" t="s">
        <v>6918</v>
      </c>
      <c r="B1391" s="17" t="s">
        <v>165</v>
      </c>
      <c r="C1391" s="18" t="s">
        <v>166</v>
      </c>
      <c r="D1391" s="17" t="s">
        <v>19</v>
      </c>
      <c r="E1391" s="17" t="s">
        <v>229</v>
      </c>
      <c r="F1391" s="17" t="s">
        <v>6683</v>
      </c>
      <c r="G1391" s="17" t="s">
        <v>177</v>
      </c>
      <c r="H1391" s="17" t="s">
        <v>28</v>
      </c>
      <c r="I1391" s="17" t="s">
        <v>289</v>
      </c>
      <c r="J1391" s="17" t="s">
        <v>233</v>
      </c>
      <c r="K1391" s="19"/>
      <c r="L1391" s="19"/>
      <c r="M1391" s="19"/>
      <c r="N1391" s="19"/>
      <c r="O1391" s="17" t="n">
        <v>1</v>
      </c>
      <c r="P1391" s="18" t="s">
        <v>6913</v>
      </c>
      <c r="Q1391" s="18" t="s">
        <v>6914</v>
      </c>
      <c r="R1391" s="18" t="s">
        <v>6919</v>
      </c>
      <c r="S1391" s="17" t="s">
        <v>6920</v>
      </c>
      <c r="T1391" s="18" t="s">
        <v>6921</v>
      </c>
      <c r="U1391" s="19"/>
      <c r="V1391" s="18" t="s">
        <v>6922</v>
      </c>
      <c r="W1391" s="17" t="s">
        <v>240</v>
      </c>
      <c r="X1391" s="17" t="s">
        <v>6923</v>
      </c>
      <c r="Y1391" s="17" t="s">
        <v>242</v>
      </c>
      <c r="Z1391" s="19"/>
      <c r="AA1391" s="19"/>
      <c r="AB1391" s="17"/>
      <c r="AC1391" s="19"/>
    </row>
    <row r="1392" customFormat="false" ht="22.35" hidden="false" customHeight="false" outlineLevel="0" collapsed="false">
      <c r="A1392" s="10" t="s">
        <v>6924</v>
      </c>
      <c r="B1392" s="17" t="s">
        <v>165</v>
      </c>
      <c r="C1392" s="18" t="s">
        <v>166</v>
      </c>
      <c r="D1392" s="17" t="s">
        <v>19</v>
      </c>
      <c r="E1392" s="17" t="s">
        <v>75</v>
      </c>
      <c r="F1392" s="17" t="s">
        <v>6683</v>
      </c>
      <c r="G1392" s="17" t="s">
        <v>177</v>
      </c>
      <c r="H1392" s="17" t="s">
        <v>28</v>
      </c>
      <c r="I1392" s="17" t="s">
        <v>289</v>
      </c>
      <c r="J1392" s="17" t="s">
        <v>233</v>
      </c>
      <c r="K1392" s="19"/>
      <c r="L1392" s="19"/>
      <c r="M1392" s="19"/>
      <c r="N1392" s="19"/>
      <c r="O1392" s="17" t="n">
        <v>1</v>
      </c>
      <c r="P1392" s="18" t="s">
        <v>6913</v>
      </c>
      <c r="Q1392" s="18" t="s">
        <v>6914</v>
      </c>
      <c r="R1392" s="18" t="s">
        <v>6925</v>
      </c>
      <c r="S1392" s="17" t="s">
        <v>6918</v>
      </c>
      <c r="T1392" s="18" t="s">
        <v>6926</v>
      </c>
      <c r="U1392" s="19"/>
      <c r="V1392" s="18" t="s">
        <v>6927</v>
      </c>
      <c r="W1392" s="17" t="s">
        <v>240</v>
      </c>
      <c r="X1392" s="17" t="s">
        <v>6928</v>
      </c>
      <c r="Y1392" s="17" t="s">
        <v>242</v>
      </c>
      <c r="Z1392" s="19"/>
      <c r="AA1392" s="19"/>
      <c r="AB1392" s="17"/>
      <c r="AC1392" s="19"/>
    </row>
    <row r="1393" customFormat="false" ht="22.35" hidden="false" customHeight="false" outlineLevel="0" collapsed="false">
      <c r="A1393" s="10" t="s">
        <v>6929</v>
      </c>
      <c r="B1393" s="17" t="s">
        <v>165</v>
      </c>
      <c r="C1393" s="18" t="s">
        <v>166</v>
      </c>
      <c r="D1393" s="17" t="s">
        <v>19</v>
      </c>
      <c r="E1393" s="17" t="s">
        <v>229</v>
      </c>
      <c r="F1393" s="17" t="s">
        <v>6683</v>
      </c>
      <c r="G1393" s="17" t="s">
        <v>177</v>
      </c>
      <c r="H1393" s="17" t="s">
        <v>28</v>
      </c>
      <c r="I1393" s="17" t="s">
        <v>289</v>
      </c>
      <c r="J1393" s="17" t="s">
        <v>233</v>
      </c>
      <c r="K1393" s="19"/>
      <c r="L1393" s="19"/>
      <c r="M1393" s="19"/>
      <c r="N1393" s="19"/>
      <c r="O1393" s="17" t="n">
        <v>1</v>
      </c>
      <c r="P1393" s="18" t="s">
        <v>6913</v>
      </c>
      <c r="Q1393" s="18" t="s">
        <v>6914</v>
      </c>
      <c r="R1393" s="18" t="s">
        <v>6930</v>
      </c>
      <c r="S1393" s="17" t="s">
        <v>6924</v>
      </c>
      <c r="T1393" s="18" t="s">
        <v>6931</v>
      </c>
      <c r="U1393" s="19"/>
      <c r="V1393" s="18" t="s">
        <v>6932</v>
      </c>
      <c r="W1393" s="17" t="s">
        <v>383</v>
      </c>
      <c r="X1393" s="17" t="s">
        <v>6933</v>
      </c>
      <c r="Y1393" s="17" t="s">
        <v>242</v>
      </c>
      <c r="Z1393" s="19"/>
      <c r="AA1393" s="19"/>
      <c r="AB1393" s="17"/>
      <c r="AC1393" s="19"/>
    </row>
    <row r="1394" customFormat="false" ht="22.35" hidden="false" customHeight="false" outlineLevel="0" collapsed="false">
      <c r="A1394" s="10" t="s">
        <v>6934</v>
      </c>
      <c r="B1394" s="17" t="s">
        <v>165</v>
      </c>
      <c r="C1394" s="18" t="s">
        <v>166</v>
      </c>
      <c r="D1394" s="17" t="s">
        <v>19</v>
      </c>
      <c r="E1394" s="17" t="s">
        <v>75</v>
      </c>
      <c r="F1394" s="17" t="s">
        <v>6683</v>
      </c>
      <c r="G1394" s="17" t="s">
        <v>177</v>
      </c>
      <c r="H1394" s="17" t="s">
        <v>28</v>
      </c>
      <c r="I1394" s="17" t="s">
        <v>232</v>
      </c>
      <c r="J1394" s="17" t="s">
        <v>233</v>
      </c>
      <c r="K1394" s="19"/>
      <c r="L1394" s="19"/>
      <c r="M1394" s="19"/>
      <c r="N1394" s="19"/>
      <c r="O1394" s="17" t="n">
        <v>1</v>
      </c>
      <c r="P1394" s="18" t="s">
        <v>6913</v>
      </c>
      <c r="Q1394" s="18" t="s">
        <v>6935</v>
      </c>
      <c r="R1394" s="18" t="s">
        <v>6936</v>
      </c>
      <c r="S1394" s="17" t="s">
        <v>6924</v>
      </c>
      <c r="T1394" s="18" t="s">
        <v>6937</v>
      </c>
      <c r="U1394" s="19"/>
      <c r="V1394" s="18" t="s">
        <v>6938</v>
      </c>
      <c r="W1394" s="17" t="s">
        <v>240</v>
      </c>
      <c r="X1394" s="17" t="s">
        <v>6939</v>
      </c>
      <c r="Y1394" s="17" t="s">
        <v>242</v>
      </c>
      <c r="Z1394" s="19"/>
      <c r="AA1394" s="19"/>
      <c r="AB1394" s="17"/>
      <c r="AC1394" s="19"/>
    </row>
    <row r="1395" customFormat="false" ht="22.35" hidden="false" customHeight="false" outlineLevel="0" collapsed="false">
      <c r="A1395" s="10" t="s">
        <v>6940</v>
      </c>
      <c r="B1395" s="17" t="s">
        <v>165</v>
      </c>
      <c r="C1395" s="18" t="s">
        <v>166</v>
      </c>
      <c r="D1395" s="17" t="s">
        <v>19</v>
      </c>
      <c r="E1395" s="17" t="s">
        <v>75</v>
      </c>
      <c r="F1395" s="17" t="s">
        <v>6683</v>
      </c>
      <c r="G1395" s="17" t="s">
        <v>177</v>
      </c>
      <c r="H1395" s="17" t="s">
        <v>28</v>
      </c>
      <c r="I1395" s="17" t="s">
        <v>289</v>
      </c>
      <c r="J1395" s="17" t="s">
        <v>233</v>
      </c>
      <c r="K1395" s="19"/>
      <c r="L1395" s="19"/>
      <c r="M1395" s="19"/>
      <c r="N1395" s="19"/>
      <c r="O1395" s="17" t="n">
        <v>1</v>
      </c>
      <c r="P1395" s="18" t="s">
        <v>6913</v>
      </c>
      <c r="Q1395" s="18" t="s">
        <v>6935</v>
      </c>
      <c r="R1395" s="18" t="s">
        <v>6941</v>
      </c>
      <c r="S1395" s="17" t="s">
        <v>6934</v>
      </c>
      <c r="T1395" s="18" t="s">
        <v>4392</v>
      </c>
      <c r="U1395" s="19"/>
      <c r="V1395" s="18" t="s">
        <v>6942</v>
      </c>
      <c r="W1395" s="17" t="s">
        <v>240</v>
      </c>
      <c r="X1395" s="17" t="s">
        <v>6943</v>
      </c>
      <c r="Y1395" s="17" t="s">
        <v>242</v>
      </c>
      <c r="Z1395" s="19"/>
      <c r="AA1395" s="19"/>
      <c r="AB1395" s="17"/>
      <c r="AC1395" s="19"/>
    </row>
    <row r="1396" customFormat="false" ht="22.35" hidden="false" customHeight="false" outlineLevel="0" collapsed="false">
      <c r="A1396" s="10" t="s">
        <v>4391</v>
      </c>
      <c r="B1396" s="17" t="s">
        <v>165</v>
      </c>
      <c r="C1396" s="18" t="s">
        <v>166</v>
      </c>
      <c r="D1396" s="17" t="s">
        <v>19</v>
      </c>
      <c r="E1396" s="17" t="s">
        <v>75</v>
      </c>
      <c r="F1396" s="17" t="s">
        <v>6683</v>
      </c>
      <c r="G1396" s="17" t="s">
        <v>177</v>
      </c>
      <c r="H1396" s="17" t="s">
        <v>28</v>
      </c>
      <c r="I1396" s="17" t="s">
        <v>1413</v>
      </c>
      <c r="J1396" s="17" t="s">
        <v>233</v>
      </c>
      <c r="K1396" s="19"/>
      <c r="L1396" s="19"/>
      <c r="M1396" s="19"/>
      <c r="N1396" s="19"/>
      <c r="O1396" s="17" t="n">
        <v>3</v>
      </c>
      <c r="P1396" s="18" t="s">
        <v>6913</v>
      </c>
      <c r="Q1396" s="18" t="s">
        <v>6935</v>
      </c>
      <c r="R1396" s="18" t="s">
        <v>6944</v>
      </c>
      <c r="S1396" s="17" t="s">
        <v>6945</v>
      </c>
      <c r="T1396" s="18" t="s">
        <v>6946</v>
      </c>
      <c r="U1396" s="19"/>
      <c r="V1396" s="18" t="s">
        <v>6947</v>
      </c>
      <c r="W1396" s="17" t="s">
        <v>383</v>
      </c>
      <c r="X1396" s="17" t="s">
        <v>6948</v>
      </c>
      <c r="Y1396" s="17" t="s">
        <v>242</v>
      </c>
      <c r="Z1396" s="19"/>
      <c r="AA1396" s="19"/>
      <c r="AB1396" s="17"/>
      <c r="AC1396" s="19"/>
    </row>
    <row r="1397" customFormat="false" ht="22.35" hidden="false" customHeight="false" outlineLevel="0" collapsed="false">
      <c r="A1397" s="10" t="s">
        <v>6949</v>
      </c>
      <c r="B1397" s="17" t="s">
        <v>165</v>
      </c>
      <c r="C1397" s="18" t="s">
        <v>166</v>
      </c>
      <c r="D1397" s="17" t="s">
        <v>19</v>
      </c>
      <c r="E1397" s="17" t="s">
        <v>75</v>
      </c>
      <c r="F1397" s="17" t="s">
        <v>6683</v>
      </c>
      <c r="G1397" s="17" t="s">
        <v>177</v>
      </c>
      <c r="H1397" s="17" t="s">
        <v>28</v>
      </c>
      <c r="I1397" s="17" t="s">
        <v>289</v>
      </c>
      <c r="J1397" s="17" t="s">
        <v>233</v>
      </c>
      <c r="K1397" s="19"/>
      <c r="L1397" s="19"/>
      <c r="M1397" s="19"/>
      <c r="N1397" s="19"/>
      <c r="O1397" s="17" t="n">
        <v>1</v>
      </c>
      <c r="P1397" s="18" t="s">
        <v>6913</v>
      </c>
      <c r="Q1397" s="18" t="s">
        <v>6935</v>
      </c>
      <c r="R1397" s="18" t="s">
        <v>6950</v>
      </c>
      <c r="S1397" s="17" t="s">
        <v>6934</v>
      </c>
      <c r="T1397" s="18" t="s">
        <v>6951</v>
      </c>
      <c r="U1397" s="19"/>
      <c r="V1397" s="18" t="s">
        <v>6952</v>
      </c>
      <c r="W1397" s="17" t="s">
        <v>240</v>
      </c>
      <c r="X1397" s="17" t="s">
        <v>6953</v>
      </c>
      <c r="Y1397" s="17" t="s">
        <v>242</v>
      </c>
      <c r="Z1397" s="19"/>
      <c r="AA1397" s="19"/>
      <c r="AB1397" s="17"/>
      <c r="AC1397" s="19"/>
    </row>
    <row r="1398" customFormat="false" ht="22.35" hidden="false" customHeight="false" outlineLevel="0" collapsed="false">
      <c r="A1398" s="10" t="s">
        <v>6954</v>
      </c>
      <c r="B1398" s="17" t="s">
        <v>165</v>
      </c>
      <c r="C1398" s="18" t="s">
        <v>166</v>
      </c>
      <c r="D1398" s="17" t="s">
        <v>19</v>
      </c>
      <c r="E1398" s="17" t="s">
        <v>75</v>
      </c>
      <c r="F1398" s="17" t="s">
        <v>6683</v>
      </c>
      <c r="G1398" s="17" t="s">
        <v>177</v>
      </c>
      <c r="H1398" s="17" t="s">
        <v>28</v>
      </c>
      <c r="I1398" s="17" t="s">
        <v>289</v>
      </c>
      <c r="J1398" s="17" t="s">
        <v>233</v>
      </c>
      <c r="K1398" s="19"/>
      <c r="L1398" s="19"/>
      <c r="M1398" s="19"/>
      <c r="N1398" s="19"/>
      <c r="O1398" s="17" t="n">
        <v>1</v>
      </c>
      <c r="P1398" s="18" t="s">
        <v>6913</v>
      </c>
      <c r="Q1398" s="18" t="s">
        <v>6935</v>
      </c>
      <c r="R1398" s="18" t="s">
        <v>6955</v>
      </c>
      <c r="S1398" s="17" t="s">
        <v>6929</v>
      </c>
      <c r="T1398" s="18" t="s">
        <v>6956</v>
      </c>
      <c r="U1398" s="19"/>
      <c r="V1398" s="18" t="s">
        <v>6957</v>
      </c>
      <c r="W1398" s="17" t="s">
        <v>383</v>
      </c>
      <c r="X1398" s="17" t="s">
        <v>6958</v>
      </c>
      <c r="Y1398" s="17" t="s">
        <v>242</v>
      </c>
      <c r="Z1398" s="19"/>
      <c r="AA1398" s="19"/>
      <c r="AB1398" s="17"/>
      <c r="AC1398" s="19"/>
    </row>
    <row r="1399" customFormat="false" ht="22.35" hidden="false" customHeight="false" outlineLevel="0" collapsed="false">
      <c r="A1399" s="10" t="s">
        <v>6959</v>
      </c>
      <c r="B1399" s="17" t="s">
        <v>165</v>
      </c>
      <c r="C1399" s="18" t="s">
        <v>166</v>
      </c>
      <c r="D1399" s="17" t="s">
        <v>19</v>
      </c>
      <c r="E1399" s="17" t="s">
        <v>75</v>
      </c>
      <c r="F1399" s="17" t="s">
        <v>6683</v>
      </c>
      <c r="G1399" s="17" t="s">
        <v>177</v>
      </c>
      <c r="H1399" s="17" t="s">
        <v>28</v>
      </c>
      <c r="I1399" s="17" t="s">
        <v>277</v>
      </c>
      <c r="J1399" s="17" t="s">
        <v>233</v>
      </c>
      <c r="K1399" s="19"/>
      <c r="L1399" s="19"/>
      <c r="M1399" s="19"/>
      <c r="N1399" s="19"/>
      <c r="O1399" s="17" t="n">
        <v>1</v>
      </c>
      <c r="P1399" s="18" t="s">
        <v>6913</v>
      </c>
      <c r="Q1399" s="18" t="s">
        <v>6935</v>
      </c>
      <c r="R1399" s="18" t="s">
        <v>6960</v>
      </c>
      <c r="S1399" s="17" t="s">
        <v>4713</v>
      </c>
      <c r="T1399" s="18" t="s">
        <v>6961</v>
      </c>
      <c r="U1399" s="19"/>
      <c r="V1399" s="18" t="s">
        <v>6962</v>
      </c>
      <c r="W1399" s="17" t="s">
        <v>240</v>
      </c>
      <c r="X1399" s="17" t="s">
        <v>4400</v>
      </c>
      <c r="Y1399" s="17" t="s">
        <v>242</v>
      </c>
      <c r="Z1399" s="19"/>
      <c r="AA1399" s="19"/>
      <c r="AB1399" s="17"/>
      <c r="AC1399" s="19"/>
    </row>
    <row r="1400" customFormat="false" ht="22.35" hidden="false" customHeight="false" outlineLevel="0" collapsed="false">
      <c r="A1400" s="10" t="s">
        <v>6963</v>
      </c>
      <c r="B1400" s="17" t="s">
        <v>165</v>
      </c>
      <c r="C1400" s="18" t="s">
        <v>166</v>
      </c>
      <c r="D1400" s="17" t="s">
        <v>19</v>
      </c>
      <c r="E1400" s="17" t="s">
        <v>75</v>
      </c>
      <c r="F1400" s="17" t="s">
        <v>6683</v>
      </c>
      <c r="G1400" s="17" t="s">
        <v>177</v>
      </c>
      <c r="H1400" s="17" t="s">
        <v>28</v>
      </c>
      <c r="I1400" s="17" t="s">
        <v>369</v>
      </c>
      <c r="J1400" s="17" t="s">
        <v>233</v>
      </c>
      <c r="K1400" s="19"/>
      <c r="L1400" s="19"/>
      <c r="M1400" s="19"/>
      <c r="N1400" s="19"/>
      <c r="O1400" s="17" t="n">
        <v>1</v>
      </c>
      <c r="P1400" s="18" t="s">
        <v>6913</v>
      </c>
      <c r="Q1400" s="18" t="s">
        <v>6935</v>
      </c>
      <c r="R1400" s="18" t="s">
        <v>6964</v>
      </c>
      <c r="S1400" s="17" t="s">
        <v>6949</v>
      </c>
      <c r="T1400" s="18" t="s">
        <v>2967</v>
      </c>
      <c r="U1400" s="19"/>
      <c r="V1400" s="18" t="s">
        <v>6965</v>
      </c>
      <c r="W1400" s="17" t="s">
        <v>240</v>
      </c>
      <c r="X1400" s="17" t="s">
        <v>6826</v>
      </c>
      <c r="Y1400" s="17" t="s">
        <v>242</v>
      </c>
      <c r="Z1400" s="19"/>
      <c r="AA1400" s="19"/>
      <c r="AB1400" s="17"/>
      <c r="AC1400" s="19"/>
    </row>
    <row r="1401" customFormat="false" ht="22.35" hidden="false" customHeight="false" outlineLevel="0" collapsed="false">
      <c r="A1401" s="10" t="s">
        <v>6966</v>
      </c>
      <c r="B1401" s="17" t="s">
        <v>165</v>
      </c>
      <c r="C1401" s="18" t="s">
        <v>166</v>
      </c>
      <c r="D1401" s="17" t="s">
        <v>19</v>
      </c>
      <c r="E1401" s="17" t="s">
        <v>75</v>
      </c>
      <c r="F1401" s="17" t="s">
        <v>6683</v>
      </c>
      <c r="G1401" s="17" t="s">
        <v>177</v>
      </c>
      <c r="H1401" s="17" t="s">
        <v>28</v>
      </c>
      <c r="I1401" s="17" t="s">
        <v>289</v>
      </c>
      <c r="J1401" s="17" t="s">
        <v>233</v>
      </c>
      <c r="K1401" s="19"/>
      <c r="L1401" s="19"/>
      <c r="M1401" s="19"/>
      <c r="N1401" s="19"/>
      <c r="O1401" s="17" t="n">
        <v>1</v>
      </c>
      <c r="P1401" s="18" t="s">
        <v>6913</v>
      </c>
      <c r="Q1401" s="18" t="s">
        <v>6935</v>
      </c>
      <c r="R1401" s="18" t="s">
        <v>6967</v>
      </c>
      <c r="S1401" s="17" t="s">
        <v>6963</v>
      </c>
      <c r="T1401" s="18" t="s">
        <v>285</v>
      </c>
      <c r="U1401" s="19"/>
      <c r="V1401" s="18" t="s">
        <v>4226</v>
      </c>
      <c r="W1401" s="17" t="s">
        <v>240</v>
      </c>
      <c r="X1401" s="17" t="s">
        <v>3977</v>
      </c>
      <c r="Y1401" s="17" t="s">
        <v>242</v>
      </c>
      <c r="Z1401" s="19"/>
      <c r="AA1401" s="19"/>
      <c r="AB1401" s="17"/>
      <c r="AC1401" s="19"/>
    </row>
    <row r="1402" customFormat="false" ht="22.35" hidden="false" customHeight="false" outlineLevel="0" collapsed="false">
      <c r="A1402" s="10" t="s">
        <v>4148</v>
      </c>
      <c r="B1402" s="17" t="s">
        <v>165</v>
      </c>
      <c r="C1402" s="18" t="s">
        <v>166</v>
      </c>
      <c r="D1402" s="17" t="s">
        <v>19</v>
      </c>
      <c r="E1402" s="17" t="s">
        <v>229</v>
      </c>
      <c r="F1402" s="17" t="s">
        <v>6683</v>
      </c>
      <c r="G1402" s="17" t="s">
        <v>177</v>
      </c>
      <c r="H1402" s="17" t="s">
        <v>28</v>
      </c>
      <c r="I1402" s="17" t="s">
        <v>289</v>
      </c>
      <c r="J1402" s="17" t="s">
        <v>233</v>
      </c>
      <c r="K1402" s="19"/>
      <c r="L1402" s="19"/>
      <c r="M1402" s="19"/>
      <c r="N1402" s="19"/>
      <c r="O1402" s="17" t="n">
        <v>0</v>
      </c>
      <c r="P1402" s="18" t="s">
        <v>6968</v>
      </c>
      <c r="Q1402" s="18" t="s">
        <v>6969</v>
      </c>
      <c r="R1402" s="18" t="s">
        <v>6970</v>
      </c>
      <c r="S1402" s="17" t="s">
        <v>237</v>
      </c>
      <c r="T1402" s="18" t="s">
        <v>6971</v>
      </c>
      <c r="U1402" s="19"/>
      <c r="V1402" s="18" t="s">
        <v>6972</v>
      </c>
      <c r="W1402" s="17" t="s">
        <v>240</v>
      </c>
      <c r="X1402" s="17" t="s">
        <v>6973</v>
      </c>
      <c r="Y1402" s="17" t="s">
        <v>242</v>
      </c>
      <c r="Z1402" s="19"/>
      <c r="AA1402" s="19"/>
      <c r="AB1402" s="17"/>
      <c r="AC1402" s="19"/>
    </row>
    <row r="1403" customFormat="false" ht="22.35" hidden="false" customHeight="false" outlineLevel="0" collapsed="false">
      <c r="A1403" s="10" t="s">
        <v>6974</v>
      </c>
      <c r="B1403" s="17" t="s">
        <v>165</v>
      </c>
      <c r="C1403" s="18" t="s">
        <v>166</v>
      </c>
      <c r="D1403" s="17" t="s">
        <v>19</v>
      </c>
      <c r="E1403" s="17" t="s">
        <v>75</v>
      </c>
      <c r="F1403" s="17" t="s">
        <v>6683</v>
      </c>
      <c r="G1403" s="17" t="s">
        <v>177</v>
      </c>
      <c r="H1403" s="17" t="s">
        <v>28</v>
      </c>
      <c r="I1403" s="17" t="s">
        <v>289</v>
      </c>
      <c r="J1403" s="17" t="s">
        <v>233</v>
      </c>
      <c r="K1403" s="19"/>
      <c r="L1403" s="19"/>
      <c r="M1403" s="19"/>
      <c r="N1403" s="19"/>
      <c r="O1403" s="17" t="n">
        <v>1</v>
      </c>
      <c r="P1403" s="18" t="s">
        <v>6968</v>
      </c>
      <c r="Q1403" s="18" t="s">
        <v>6969</v>
      </c>
      <c r="R1403" s="18" t="s">
        <v>6975</v>
      </c>
      <c r="S1403" s="17" t="s">
        <v>4148</v>
      </c>
      <c r="T1403" s="18" t="s">
        <v>6976</v>
      </c>
      <c r="U1403" s="19"/>
      <c r="V1403" s="18" t="s">
        <v>6977</v>
      </c>
      <c r="W1403" s="17" t="s">
        <v>240</v>
      </c>
      <c r="X1403" s="17" t="s">
        <v>6978</v>
      </c>
      <c r="Y1403" s="17" t="s">
        <v>242</v>
      </c>
      <c r="Z1403" s="19"/>
      <c r="AA1403" s="19"/>
      <c r="AB1403" s="17"/>
      <c r="AC1403" s="19"/>
    </row>
    <row r="1404" customFormat="false" ht="22.35" hidden="false" customHeight="false" outlineLevel="0" collapsed="false">
      <c r="A1404" s="10" t="s">
        <v>6979</v>
      </c>
      <c r="B1404" s="17" t="s">
        <v>165</v>
      </c>
      <c r="C1404" s="18" t="s">
        <v>166</v>
      </c>
      <c r="D1404" s="17" t="s">
        <v>19</v>
      </c>
      <c r="E1404" s="17" t="s">
        <v>229</v>
      </c>
      <c r="F1404" s="17" t="s">
        <v>6683</v>
      </c>
      <c r="G1404" s="17" t="s">
        <v>177</v>
      </c>
      <c r="H1404" s="17" t="s">
        <v>28</v>
      </c>
      <c r="I1404" s="17" t="s">
        <v>333</v>
      </c>
      <c r="J1404" s="17" t="s">
        <v>233</v>
      </c>
      <c r="K1404" s="19"/>
      <c r="L1404" s="19"/>
      <c r="M1404" s="19"/>
      <c r="N1404" s="19"/>
      <c r="O1404" s="17" t="n">
        <v>1</v>
      </c>
      <c r="P1404" s="18" t="s">
        <v>6968</v>
      </c>
      <c r="Q1404" s="18" t="s">
        <v>6969</v>
      </c>
      <c r="R1404" s="18" t="s">
        <v>6980</v>
      </c>
      <c r="S1404" s="17" t="s">
        <v>4148</v>
      </c>
      <c r="T1404" s="18" t="s">
        <v>6981</v>
      </c>
      <c r="U1404" s="19"/>
      <c r="V1404" s="18" t="s">
        <v>6982</v>
      </c>
      <c r="W1404" s="17" t="s">
        <v>240</v>
      </c>
      <c r="X1404" s="17" t="s">
        <v>6983</v>
      </c>
      <c r="Y1404" s="17" t="s">
        <v>242</v>
      </c>
      <c r="Z1404" s="19"/>
      <c r="AA1404" s="19"/>
      <c r="AB1404" s="17"/>
      <c r="AC1404" s="19"/>
    </row>
    <row r="1405" customFormat="false" ht="22.35" hidden="false" customHeight="false" outlineLevel="0" collapsed="false">
      <c r="A1405" s="10" t="s">
        <v>6984</v>
      </c>
      <c r="B1405" s="17" t="s">
        <v>165</v>
      </c>
      <c r="C1405" s="18" t="s">
        <v>166</v>
      </c>
      <c r="D1405" s="17" t="s">
        <v>19</v>
      </c>
      <c r="E1405" s="17" t="s">
        <v>75</v>
      </c>
      <c r="F1405" s="17" t="s">
        <v>6683</v>
      </c>
      <c r="G1405" s="17" t="s">
        <v>177</v>
      </c>
      <c r="H1405" s="17" t="s">
        <v>28</v>
      </c>
      <c r="I1405" s="17" t="s">
        <v>333</v>
      </c>
      <c r="J1405" s="17" t="s">
        <v>233</v>
      </c>
      <c r="K1405" s="19"/>
      <c r="L1405" s="19"/>
      <c r="M1405" s="19"/>
      <c r="N1405" s="19"/>
      <c r="O1405" s="17" t="n">
        <v>1</v>
      </c>
      <c r="P1405" s="18" t="s">
        <v>6968</v>
      </c>
      <c r="Q1405" s="18" t="s">
        <v>6969</v>
      </c>
      <c r="R1405" s="18" t="s">
        <v>6985</v>
      </c>
      <c r="S1405" s="17" t="s">
        <v>6979</v>
      </c>
      <c r="T1405" s="18" t="s">
        <v>6986</v>
      </c>
      <c r="U1405" s="19"/>
      <c r="V1405" s="18" t="s">
        <v>6987</v>
      </c>
      <c r="W1405" s="17" t="s">
        <v>240</v>
      </c>
      <c r="X1405" s="17" t="s">
        <v>6988</v>
      </c>
      <c r="Y1405" s="17" t="s">
        <v>242</v>
      </c>
      <c r="Z1405" s="19"/>
      <c r="AA1405" s="19"/>
      <c r="AB1405" s="17"/>
      <c r="AC1405" s="19"/>
    </row>
    <row r="1406" customFormat="false" ht="22.35" hidden="false" customHeight="false" outlineLevel="0" collapsed="false">
      <c r="A1406" s="10" t="s">
        <v>6989</v>
      </c>
      <c r="B1406" s="17" t="s">
        <v>165</v>
      </c>
      <c r="C1406" s="18" t="s">
        <v>166</v>
      </c>
      <c r="D1406" s="17" t="s">
        <v>19</v>
      </c>
      <c r="E1406" s="17" t="s">
        <v>75</v>
      </c>
      <c r="F1406" s="17" t="s">
        <v>6683</v>
      </c>
      <c r="G1406" s="17" t="s">
        <v>177</v>
      </c>
      <c r="H1406" s="17" t="s">
        <v>28</v>
      </c>
      <c r="I1406" s="17" t="s">
        <v>333</v>
      </c>
      <c r="J1406" s="17" t="s">
        <v>233</v>
      </c>
      <c r="K1406" s="19"/>
      <c r="L1406" s="19"/>
      <c r="M1406" s="19"/>
      <c r="N1406" s="19"/>
      <c r="O1406" s="17" t="n">
        <v>1</v>
      </c>
      <c r="P1406" s="18" t="s">
        <v>6968</v>
      </c>
      <c r="Q1406" s="18" t="s">
        <v>6969</v>
      </c>
      <c r="R1406" s="18" t="s">
        <v>6990</v>
      </c>
      <c r="S1406" s="17" t="s">
        <v>4148</v>
      </c>
      <c r="T1406" s="18" t="s">
        <v>6991</v>
      </c>
      <c r="U1406" s="19"/>
      <c r="V1406" s="18" t="s">
        <v>6992</v>
      </c>
      <c r="W1406" s="17" t="s">
        <v>383</v>
      </c>
      <c r="X1406" s="17" t="s">
        <v>6993</v>
      </c>
      <c r="Y1406" s="17" t="s">
        <v>242</v>
      </c>
      <c r="Z1406" s="19"/>
      <c r="AA1406" s="19"/>
      <c r="AB1406" s="17"/>
      <c r="AC1406" s="19"/>
    </row>
    <row r="1407" customFormat="false" ht="22.35" hidden="false" customHeight="false" outlineLevel="0" collapsed="false">
      <c r="A1407" s="10" t="s">
        <v>6994</v>
      </c>
      <c r="B1407" s="17" t="s">
        <v>165</v>
      </c>
      <c r="C1407" s="18" t="s">
        <v>166</v>
      </c>
      <c r="D1407" s="17" t="s">
        <v>19</v>
      </c>
      <c r="E1407" s="17" t="s">
        <v>75</v>
      </c>
      <c r="F1407" s="17" t="s">
        <v>6683</v>
      </c>
      <c r="G1407" s="17" t="s">
        <v>177</v>
      </c>
      <c r="H1407" s="17" t="s">
        <v>28</v>
      </c>
      <c r="I1407" s="17" t="s">
        <v>289</v>
      </c>
      <c r="J1407" s="17" t="s">
        <v>233</v>
      </c>
      <c r="K1407" s="19"/>
      <c r="L1407" s="19"/>
      <c r="M1407" s="19"/>
      <c r="N1407" s="19"/>
      <c r="O1407" s="17" t="n">
        <v>1</v>
      </c>
      <c r="P1407" s="18" t="s">
        <v>6968</v>
      </c>
      <c r="Q1407" s="18" t="s">
        <v>6969</v>
      </c>
      <c r="R1407" s="18" t="s">
        <v>6995</v>
      </c>
      <c r="S1407" s="17" t="s">
        <v>6989</v>
      </c>
      <c r="T1407" s="18" t="s">
        <v>285</v>
      </c>
      <c r="U1407" s="19"/>
      <c r="V1407" s="18" t="s">
        <v>4226</v>
      </c>
      <c r="W1407" s="17" t="s">
        <v>240</v>
      </c>
      <c r="X1407" s="17" t="s">
        <v>3977</v>
      </c>
      <c r="Y1407" s="17" t="s">
        <v>242</v>
      </c>
      <c r="Z1407" s="19"/>
      <c r="AA1407" s="19"/>
      <c r="AB1407" s="17"/>
      <c r="AC1407" s="19"/>
    </row>
    <row r="1408" customFormat="false" ht="22.35" hidden="false" customHeight="false" outlineLevel="0" collapsed="false">
      <c r="A1408" s="10" t="s">
        <v>6996</v>
      </c>
      <c r="B1408" s="17" t="s">
        <v>165</v>
      </c>
      <c r="C1408" s="18" t="s">
        <v>166</v>
      </c>
      <c r="D1408" s="17" t="s">
        <v>19</v>
      </c>
      <c r="E1408" s="17" t="s">
        <v>229</v>
      </c>
      <c r="F1408" s="17" t="s">
        <v>6683</v>
      </c>
      <c r="G1408" s="17" t="s">
        <v>177</v>
      </c>
      <c r="H1408" s="17" t="s">
        <v>28</v>
      </c>
      <c r="I1408" s="17" t="s">
        <v>316</v>
      </c>
      <c r="J1408" s="17" t="s">
        <v>233</v>
      </c>
      <c r="K1408" s="19"/>
      <c r="L1408" s="19"/>
      <c r="M1408" s="19"/>
      <c r="N1408" s="19"/>
      <c r="O1408" s="17" t="n">
        <v>1</v>
      </c>
      <c r="P1408" s="18" t="s">
        <v>6997</v>
      </c>
      <c r="Q1408" s="18" t="s">
        <v>6998</v>
      </c>
      <c r="R1408" s="18" t="s">
        <v>6999</v>
      </c>
      <c r="S1408" s="17" t="s">
        <v>237</v>
      </c>
      <c r="T1408" s="18" t="s">
        <v>7000</v>
      </c>
      <c r="U1408" s="19"/>
      <c r="V1408" s="18" t="s">
        <v>7001</v>
      </c>
      <c r="W1408" s="17" t="s">
        <v>240</v>
      </c>
      <c r="X1408" s="17" t="s">
        <v>7002</v>
      </c>
      <c r="Y1408" s="17" t="s">
        <v>242</v>
      </c>
      <c r="Z1408" s="19"/>
      <c r="AA1408" s="19"/>
      <c r="AB1408" s="17"/>
      <c r="AC1408" s="19"/>
    </row>
    <row r="1409" customFormat="false" ht="22.35" hidden="false" customHeight="false" outlineLevel="0" collapsed="false">
      <c r="A1409" s="10" t="s">
        <v>7003</v>
      </c>
      <c r="B1409" s="17" t="s">
        <v>165</v>
      </c>
      <c r="C1409" s="18" t="s">
        <v>166</v>
      </c>
      <c r="D1409" s="17" t="s">
        <v>19</v>
      </c>
      <c r="E1409" s="17" t="s">
        <v>75</v>
      </c>
      <c r="F1409" s="17" t="s">
        <v>6683</v>
      </c>
      <c r="G1409" s="17" t="s">
        <v>177</v>
      </c>
      <c r="H1409" s="17" t="s">
        <v>28</v>
      </c>
      <c r="I1409" s="17" t="s">
        <v>232</v>
      </c>
      <c r="J1409" s="17" t="s">
        <v>233</v>
      </c>
      <c r="K1409" s="19"/>
      <c r="L1409" s="19"/>
      <c r="M1409" s="19"/>
      <c r="N1409" s="19"/>
      <c r="O1409" s="17" t="n">
        <v>1</v>
      </c>
      <c r="P1409" s="18" t="s">
        <v>6997</v>
      </c>
      <c r="Q1409" s="18" t="s">
        <v>6998</v>
      </c>
      <c r="R1409" s="18" t="s">
        <v>7004</v>
      </c>
      <c r="S1409" s="17" t="s">
        <v>6996</v>
      </c>
      <c r="T1409" s="18" t="s">
        <v>7005</v>
      </c>
      <c r="U1409" s="19"/>
      <c r="V1409" s="18" t="s">
        <v>7006</v>
      </c>
      <c r="W1409" s="17" t="s">
        <v>240</v>
      </c>
      <c r="X1409" s="17" t="s">
        <v>7007</v>
      </c>
      <c r="Y1409" s="17" t="s">
        <v>242</v>
      </c>
      <c r="Z1409" s="19"/>
      <c r="AA1409" s="19"/>
      <c r="AB1409" s="17"/>
      <c r="AC1409" s="19"/>
    </row>
    <row r="1410" customFormat="false" ht="22.35" hidden="false" customHeight="false" outlineLevel="0" collapsed="false">
      <c r="A1410" s="10" t="s">
        <v>4403</v>
      </c>
      <c r="B1410" s="17" t="s">
        <v>165</v>
      </c>
      <c r="C1410" s="18" t="s">
        <v>166</v>
      </c>
      <c r="D1410" s="17" t="s">
        <v>19</v>
      </c>
      <c r="E1410" s="17" t="s">
        <v>75</v>
      </c>
      <c r="F1410" s="17" t="s">
        <v>6683</v>
      </c>
      <c r="G1410" s="17" t="s">
        <v>177</v>
      </c>
      <c r="H1410" s="17" t="s">
        <v>28</v>
      </c>
      <c r="I1410" s="17" t="s">
        <v>289</v>
      </c>
      <c r="J1410" s="17" t="s">
        <v>233</v>
      </c>
      <c r="K1410" s="19"/>
      <c r="L1410" s="19"/>
      <c r="M1410" s="19"/>
      <c r="N1410" s="19"/>
      <c r="O1410" s="17" t="n">
        <v>3</v>
      </c>
      <c r="P1410" s="18" t="s">
        <v>6997</v>
      </c>
      <c r="Q1410" s="18" t="s">
        <v>6998</v>
      </c>
      <c r="R1410" s="18" t="s">
        <v>7008</v>
      </c>
      <c r="S1410" s="17" t="s">
        <v>6996</v>
      </c>
      <c r="T1410" s="18" t="s">
        <v>7009</v>
      </c>
      <c r="U1410" s="19"/>
      <c r="V1410" s="18" t="s">
        <v>7010</v>
      </c>
      <c r="W1410" s="17" t="s">
        <v>240</v>
      </c>
      <c r="X1410" s="17" t="s">
        <v>7011</v>
      </c>
      <c r="Y1410" s="17" t="s">
        <v>242</v>
      </c>
      <c r="Z1410" s="19"/>
      <c r="AA1410" s="19"/>
      <c r="AB1410" s="17"/>
      <c r="AC1410" s="19"/>
    </row>
    <row r="1411" customFormat="false" ht="22.35" hidden="false" customHeight="false" outlineLevel="0" collapsed="false">
      <c r="A1411" s="10" t="s">
        <v>7012</v>
      </c>
      <c r="B1411" s="17" t="s">
        <v>165</v>
      </c>
      <c r="C1411" s="18" t="s">
        <v>166</v>
      </c>
      <c r="D1411" s="17" t="s">
        <v>19</v>
      </c>
      <c r="E1411" s="17" t="s">
        <v>229</v>
      </c>
      <c r="F1411" s="17" t="s">
        <v>6683</v>
      </c>
      <c r="G1411" s="17" t="s">
        <v>177</v>
      </c>
      <c r="H1411" s="17" t="s">
        <v>28</v>
      </c>
      <c r="I1411" s="17" t="s">
        <v>316</v>
      </c>
      <c r="J1411" s="17" t="s">
        <v>233</v>
      </c>
      <c r="K1411" s="19"/>
      <c r="L1411" s="19"/>
      <c r="M1411" s="19"/>
      <c r="N1411" s="19"/>
      <c r="O1411" s="17" t="n">
        <v>1</v>
      </c>
      <c r="P1411" s="18" t="s">
        <v>6997</v>
      </c>
      <c r="Q1411" s="18" t="s">
        <v>6998</v>
      </c>
      <c r="R1411" s="18" t="s">
        <v>7013</v>
      </c>
      <c r="S1411" s="17" t="s">
        <v>7014</v>
      </c>
      <c r="T1411" s="18" t="s">
        <v>7015</v>
      </c>
      <c r="U1411" s="19"/>
      <c r="V1411" s="18" t="s">
        <v>7016</v>
      </c>
      <c r="W1411" s="17" t="s">
        <v>240</v>
      </c>
      <c r="X1411" s="17" t="s">
        <v>356</v>
      </c>
      <c r="Y1411" s="17" t="s">
        <v>242</v>
      </c>
      <c r="Z1411" s="19"/>
      <c r="AA1411" s="19"/>
      <c r="AB1411" s="17"/>
      <c r="AC1411" s="19"/>
    </row>
    <row r="1412" customFormat="false" ht="22.35" hidden="false" customHeight="false" outlineLevel="0" collapsed="false">
      <c r="A1412" s="10" t="s">
        <v>7017</v>
      </c>
      <c r="B1412" s="17" t="s">
        <v>165</v>
      </c>
      <c r="C1412" s="18" t="s">
        <v>166</v>
      </c>
      <c r="D1412" s="17" t="s">
        <v>19</v>
      </c>
      <c r="E1412" s="17" t="s">
        <v>229</v>
      </c>
      <c r="F1412" s="17" t="s">
        <v>6683</v>
      </c>
      <c r="G1412" s="17" t="s">
        <v>177</v>
      </c>
      <c r="H1412" s="17" t="s">
        <v>28</v>
      </c>
      <c r="I1412" s="17" t="s">
        <v>289</v>
      </c>
      <c r="J1412" s="17" t="s">
        <v>233</v>
      </c>
      <c r="K1412" s="19"/>
      <c r="L1412" s="19"/>
      <c r="M1412" s="19"/>
      <c r="N1412" s="19"/>
      <c r="O1412" s="17" t="n">
        <v>3</v>
      </c>
      <c r="P1412" s="18" t="s">
        <v>6997</v>
      </c>
      <c r="Q1412" s="18" t="s">
        <v>6998</v>
      </c>
      <c r="R1412" s="18" t="s">
        <v>7018</v>
      </c>
      <c r="S1412" s="17" t="s">
        <v>4403</v>
      </c>
      <c r="T1412" s="18" t="s">
        <v>7019</v>
      </c>
      <c r="U1412" s="19"/>
      <c r="V1412" s="18" t="s">
        <v>7020</v>
      </c>
      <c r="W1412" s="17" t="s">
        <v>383</v>
      </c>
      <c r="X1412" s="17" t="s">
        <v>7021</v>
      </c>
      <c r="Y1412" s="17" t="s">
        <v>242</v>
      </c>
      <c r="Z1412" s="19"/>
      <c r="AA1412" s="19"/>
      <c r="AB1412" s="17"/>
      <c r="AC1412" s="19"/>
    </row>
    <row r="1413" customFormat="false" ht="22.35" hidden="false" customHeight="false" outlineLevel="0" collapsed="false">
      <c r="A1413" s="10" t="s">
        <v>7022</v>
      </c>
      <c r="B1413" s="17" t="s">
        <v>165</v>
      </c>
      <c r="C1413" s="18" t="s">
        <v>166</v>
      </c>
      <c r="D1413" s="17" t="s">
        <v>19</v>
      </c>
      <c r="E1413" s="17" t="s">
        <v>75</v>
      </c>
      <c r="F1413" s="17" t="s">
        <v>6683</v>
      </c>
      <c r="G1413" s="17" t="s">
        <v>177</v>
      </c>
      <c r="H1413" s="17" t="s">
        <v>28</v>
      </c>
      <c r="I1413" s="17" t="s">
        <v>316</v>
      </c>
      <c r="J1413" s="17" t="s">
        <v>233</v>
      </c>
      <c r="K1413" s="19"/>
      <c r="L1413" s="19"/>
      <c r="M1413" s="19"/>
      <c r="N1413" s="19"/>
      <c r="O1413" s="17" t="n">
        <v>1</v>
      </c>
      <c r="P1413" s="18" t="s">
        <v>6997</v>
      </c>
      <c r="Q1413" s="18" t="s">
        <v>6998</v>
      </c>
      <c r="R1413" s="18" t="s">
        <v>7023</v>
      </c>
      <c r="S1413" s="17" t="s">
        <v>7017</v>
      </c>
      <c r="T1413" s="18" t="s">
        <v>285</v>
      </c>
      <c r="U1413" s="19"/>
      <c r="V1413" s="18" t="s">
        <v>4226</v>
      </c>
      <c r="W1413" s="17" t="s">
        <v>240</v>
      </c>
      <c r="X1413" s="17" t="s">
        <v>3977</v>
      </c>
      <c r="Y1413" s="17" t="s">
        <v>242</v>
      </c>
      <c r="Z1413" s="19"/>
      <c r="AA1413" s="19"/>
      <c r="AB1413" s="17" t="s">
        <v>1681</v>
      </c>
      <c r="AC1413" s="19"/>
    </row>
    <row r="1414" customFormat="false" ht="32.8" hidden="false" customHeight="false" outlineLevel="0" collapsed="false">
      <c r="A1414" s="10" t="s">
        <v>7024</v>
      </c>
      <c r="B1414" s="17" t="s">
        <v>165</v>
      </c>
      <c r="C1414" s="18" t="s">
        <v>166</v>
      </c>
      <c r="D1414" s="17" t="s">
        <v>19</v>
      </c>
      <c r="E1414" s="17" t="s">
        <v>229</v>
      </c>
      <c r="F1414" s="17" t="s">
        <v>6683</v>
      </c>
      <c r="G1414" s="17" t="s">
        <v>177</v>
      </c>
      <c r="H1414" s="17" t="s">
        <v>28</v>
      </c>
      <c r="I1414" s="17" t="s">
        <v>232</v>
      </c>
      <c r="J1414" s="17" t="s">
        <v>233</v>
      </c>
      <c r="K1414" s="19"/>
      <c r="L1414" s="19"/>
      <c r="M1414" s="19"/>
      <c r="N1414" s="19"/>
      <c r="O1414" s="17" t="n">
        <v>1</v>
      </c>
      <c r="P1414" s="18" t="s">
        <v>7025</v>
      </c>
      <c r="Q1414" s="18" t="s">
        <v>7026</v>
      </c>
      <c r="R1414" s="18" t="s">
        <v>7027</v>
      </c>
      <c r="S1414" s="17" t="s">
        <v>7028</v>
      </c>
      <c r="T1414" s="18" t="s">
        <v>3941</v>
      </c>
      <c r="U1414" s="19"/>
      <c r="V1414" s="18" t="s">
        <v>7029</v>
      </c>
      <c r="W1414" s="17" t="s">
        <v>240</v>
      </c>
      <c r="X1414" s="17" t="s">
        <v>7030</v>
      </c>
      <c r="Y1414" s="17" t="s">
        <v>242</v>
      </c>
      <c r="Z1414" s="19"/>
      <c r="AA1414" s="19"/>
      <c r="AB1414" s="17"/>
      <c r="AC1414" s="19"/>
    </row>
    <row r="1415" customFormat="false" ht="22.35" hidden="false" customHeight="false" outlineLevel="0" collapsed="false">
      <c r="A1415" s="10" t="s">
        <v>7031</v>
      </c>
      <c r="B1415" s="17" t="s">
        <v>165</v>
      </c>
      <c r="C1415" s="18" t="s">
        <v>166</v>
      </c>
      <c r="D1415" s="17" t="s">
        <v>19</v>
      </c>
      <c r="E1415" s="17" t="s">
        <v>75</v>
      </c>
      <c r="F1415" s="17" t="s">
        <v>6683</v>
      </c>
      <c r="G1415" s="17" t="s">
        <v>177</v>
      </c>
      <c r="H1415" s="17" t="s">
        <v>28</v>
      </c>
      <c r="I1415" s="17" t="s">
        <v>2638</v>
      </c>
      <c r="J1415" s="17" t="s">
        <v>233</v>
      </c>
      <c r="K1415" s="19"/>
      <c r="L1415" s="19"/>
      <c r="M1415" s="19"/>
      <c r="N1415" s="19"/>
      <c r="O1415" s="17" t="n">
        <v>3</v>
      </c>
      <c r="P1415" s="18" t="s">
        <v>7025</v>
      </c>
      <c r="Q1415" s="18" t="s">
        <v>7026</v>
      </c>
      <c r="R1415" s="18" t="s">
        <v>7032</v>
      </c>
      <c r="S1415" s="17" t="s">
        <v>7024</v>
      </c>
      <c r="T1415" s="18" t="s">
        <v>7033</v>
      </c>
      <c r="U1415" s="19"/>
      <c r="V1415" s="18" t="s">
        <v>7034</v>
      </c>
      <c r="W1415" s="17" t="s">
        <v>240</v>
      </c>
      <c r="X1415" s="17" t="s">
        <v>7035</v>
      </c>
      <c r="Y1415" s="17" t="s">
        <v>242</v>
      </c>
      <c r="Z1415" s="19"/>
      <c r="AA1415" s="19"/>
      <c r="AB1415" s="17"/>
      <c r="AC1415" s="19"/>
    </row>
    <row r="1416" customFormat="false" ht="22.35" hidden="false" customHeight="false" outlineLevel="0" collapsed="false">
      <c r="A1416" s="10" t="s">
        <v>7036</v>
      </c>
      <c r="B1416" s="17" t="s">
        <v>165</v>
      </c>
      <c r="C1416" s="18" t="s">
        <v>166</v>
      </c>
      <c r="D1416" s="17" t="s">
        <v>19</v>
      </c>
      <c r="E1416" s="17" t="s">
        <v>75</v>
      </c>
      <c r="F1416" s="17" t="s">
        <v>6683</v>
      </c>
      <c r="G1416" s="17" t="s">
        <v>177</v>
      </c>
      <c r="H1416" s="17" t="s">
        <v>28</v>
      </c>
      <c r="I1416" s="17" t="s">
        <v>333</v>
      </c>
      <c r="J1416" s="17" t="s">
        <v>233</v>
      </c>
      <c r="K1416" s="19"/>
      <c r="L1416" s="19"/>
      <c r="M1416" s="19"/>
      <c r="N1416" s="19"/>
      <c r="O1416" s="17" t="n">
        <v>3</v>
      </c>
      <c r="P1416" s="18" t="s">
        <v>7025</v>
      </c>
      <c r="Q1416" s="18" t="s">
        <v>7026</v>
      </c>
      <c r="R1416" s="18" t="s">
        <v>7037</v>
      </c>
      <c r="S1416" s="17" t="s">
        <v>7038</v>
      </c>
      <c r="T1416" s="18" t="s">
        <v>7039</v>
      </c>
      <c r="U1416" s="19"/>
      <c r="V1416" s="18" t="s">
        <v>7040</v>
      </c>
      <c r="W1416" s="17" t="s">
        <v>240</v>
      </c>
      <c r="X1416" s="17" t="s">
        <v>7041</v>
      </c>
      <c r="Y1416" s="17" t="s">
        <v>242</v>
      </c>
      <c r="Z1416" s="19"/>
      <c r="AA1416" s="19"/>
      <c r="AB1416" s="17"/>
      <c r="AC1416" s="19"/>
    </row>
    <row r="1417" customFormat="false" ht="22.35" hidden="false" customHeight="false" outlineLevel="0" collapsed="false">
      <c r="A1417" s="10" t="s">
        <v>7042</v>
      </c>
      <c r="B1417" s="17" t="s">
        <v>165</v>
      </c>
      <c r="C1417" s="18" t="s">
        <v>166</v>
      </c>
      <c r="D1417" s="17" t="s">
        <v>19</v>
      </c>
      <c r="E1417" s="17" t="s">
        <v>75</v>
      </c>
      <c r="F1417" s="17" t="s">
        <v>6683</v>
      </c>
      <c r="G1417" s="17" t="s">
        <v>177</v>
      </c>
      <c r="H1417" s="17" t="s">
        <v>28</v>
      </c>
      <c r="I1417" s="17" t="s">
        <v>277</v>
      </c>
      <c r="J1417" s="17" t="s">
        <v>233</v>
      </c>
      <c r="K1417" s="19"/>
      <c r="L1417" s="19"/>
      <c r="M1417" s="19"/>
      <c r="N1417" s="19"/>
      <c r="O1417" s="17" t="n">
        <v>3</v>
      </c>
      <c r="P1417" s="18" t="s">
        <v>7025</v>
      </c>
      <c r="Q1417" s="18" t="s">
        <v>7026</v>
      </c>
      <c r="R1417" s="18" t="s">
        <v>7043</v>
      </c>
      <c r="S1417" s="17" t="s">
        <v>7031</v>
      </c>
      <c r="T1417" s="18" t="s">
        <v>7044</v>
      </c>
      <c r="U1417" s="19"/>
      <c r="V1417" s="18" t="s">
        <v>7045</v>
      </c>
      <c r="W1417" s="17" t="s">
        <v>240</v>
      </c>
      <c r="X1417" s="17" t="s">
        <v>7046</v>
      </c>
      <c r="Y1417" s="17" t="s">
        <v>242</v>
      </c>
      <c r="Z1417" s="19"/>
      <c r="AA1417" s="19"/>
      <c r="AB1417" s="17"/>
      <c r="AC1417" s="19"/>
    </row>
    <row r="1418" customFormat="false" ht="22.35" hidden="false" customHeight="false" outlineLevel="0" collapsed="false">
      <c r="A1418" s="10" t="s">
        <v>7047</v>
      </c>
      <c r="B1418" s="17" t="s">
        <v>165</v>
      </c>
      <c r="C1418" s="18" t="s">
        <v>166</v>
      </c>
      <c r="D1418" s="17" t="s">
        <v>19</v>
      </c>
      <c r="E1418" s="17" t="s">
        <v>229</v>
      </c>
      <c r="F1418" s="17" t="s">
        <v>6683</v>
      </c>
      <c r="G1418" s="17" t="s">
        <v>177</v>
      </c>
      <c r="H1418" s="17" t="s">
        <v>28</v>
      </c>
      <c r="I1418" s="17" t="s">
        <v>277</v>
      </c>
      <c r="J1418" s="17" t="s">
        <v>233</v>
      </c>
      <c r="K1418" s="19"/>
      <c r="L1418" s="19"/>
      <c r="M1418" s="19"/>
      <c r="N1418" s="19"/>
      <c r="O1418" s="17" t="n">
        <v>3</v>
      </c>
      <c r="P1418" s="18" t="s">
        <v>7025</v>
      </c>
      <c r="Q1418" s="18" t="s">
        <v>7026</v>
      </c>
      <c r="R1418" s="18" t="s">
        <v>7048</v>
      </c>
      <c r="S1418" s="17" t="s">
        <v>7049</v>
      </c>
      <c r="T1418" s="18" t="s">
        <v>7050</v>
      </c>
      <c r="U1418" s="19"/>
      <c r="V1418" s="18" t="s">
        <v>7051</v>
      </c>
      <c r="W1418" s="17" t="s">
        <v>240</v>
      </c>
      <c r="X1418" s="17" t="s">
        <v>7052</v>
      </c>
      <c r="Y1418" s="17" t="s">
        <v>242</v>
      </c>
      <c r="Z1418" s="19"/>
      <c r="AA1418" s="19"/>
      <c r="AB1418" s="17"/>
      <c r="AC1418" s="19"/>
    </row>
    <row r="1419" customFormat="false" ht="22.35" hidden="false" customHeight="false" outlineLevel="0" collapsed="false">
      <c r="A1419" s="10" t="s">
        <v>7053</v>
      </c>
      <c r="B1419" s="17" t="s">
        <v>165</v>
      </c>
      <c r="C1419" s="18" t="s">
        <v>166</v>
      </c>
      <c r="D1419" s="17" t="s">
        <v>19</v>
      </c>
      <c r="E1419" s="17" t="s">
        <v>229</v>
      </c>
      <c r="F1419" s="17" t="s">
        <v>6683</v>
      </c>
      <c r="G1419" s="17" t="s">
        <v>177</v>
      </c>
      <c r="H1419" s="17" t="s">
        <v>28</v>
      </c>
      <c r="I1419" s="17" t="s">
        <v>316</v>
      </c>
      <c r="J1419" s="17" t="s">
        <v>233</v>
      </c>
      <c r="K1419" s="19"/>
      <c r="L1419" s="19"/>
      <c r="M1419" s="19"/>
      <c r="N1419" s="19"/>
      <c r="O1419" s="17" t="n">
        <v>3</v>
      </c>
      <c r="P1419" s="18" t="s">
        <v>7025</v>
      </c>
      <c r="Q1419" s="18" t="s">
        <v>7026</v>
      </c>
      <c r="R1419" s="18" t="s">
        <v>7054</v>
      </c>
      <c r="S1419" s="17" t="s">
        <v>7031</v>
      </c>
      <c r="T1419" s="18" t="s">
        <v>7055</v>
      </c>
      <c r="U1419" s="19"/>
      <c r="V1419" s="18" t="s">
        <v>7056</v>
      </c>
      <c r="W1419" s="17" t="s">
        <v>240</v>
      </c>
      <c r="X1419" s="17" t="s">
        <v>7057</v>
      </c>
      <c r="Y1419" s="17" t="s">
        <v>242</v>
      </c>
      <c r="Z1419" s="19"/>
      <c r="AA1419" s="19"/>
      <c r="AB1419" s="17"/>
      <c r="AC1419" s="19"/>
    </row>
    <row r="1420" customFormat="false" ht="22.35" hidden="false" customHeight="false" outlineLevel="0" collapsed="false">
      <c r="A1420" s="10" t="s">
        <v>7058</v>
      </c>
      <c r="B1420" s="17" t="s">
        <v>165</v>
      </c>
      <c r="C1420" s="18" t="s">
        <v>166</v>
      </c>
      <c r="D1420" s="17" t="s">
        <v>19</v>
      </c>
      <c r="E1420" s="17" t="s">
        <v>75</v>
      </c>
      <c r="F1420" s="17" t="s">
        <v>6683</v>
      </c>
      <c r="G1420" s="17" t="s">
        <v>177</v>
      </c>
      <c r="H1420" s="17" t="s">
        <v>28</v>
      </c>
      <c r="I1420" s="17" t="s">
        <v>232</v>
      </c>
      <c r="J1420" s="17" t="s">
        <v>233</v>
      </c>
      <c r="K1420" s="19"/>
      <c r="L1420" s="19"/>
      <c r="M1420" s="19"/>
      <c r="N1420" s="19"/>
      <c r="O1420" s="17" t="n">
        <v>3</v>
      </c>
      <c r="P1420" s="18" t="s">
        <v>7025</v>
      </c>
      <c r="Q1420" s="18" t="s">
        <v>7026</v>
      </c>
      <c r="R1420" s="18" t="s">
        <v>7059</v>
      </c>
      <c r="S1420" s="17" t="s">
        <v>7031</v>
      </c>
      <c r="T1420" s="18" t="s">
        <v>7060</v>
      </c>
      <c r="U1420" s="19"/>
      <c r="V1420" s="18" t="s">
        <v>7061</v>
      </c>
      <c r="W1420" s="17" t="s">
        <v>240</v>
      </c>
      <c r="X1420" s="17" t="s">
        <v>7062</v>
      </c>
      <c r="Y1420" s="17" t="s">
        <v>242</v>
      </c>
      <c r="Z1420" s="19"/>
      <c r="AA1420" s="19"/>
      <c r="AB1420" s="17"/>
      <c r="AC1420" s="19"/>
    </row>
    <row r="1421" customFormat="false" ht="22.35" hidden="false" customHeight="false" outlineLevel="0" collapsed="false">
      <c r="A1421" s="10" t="s">
        <v>7063</v>
      </c>
      <c r="B1421" s="17" t="s">
        <v>165</v>
      </c>
      <c r="C1421" s="18" t="s">
        <v>166</v>
      </c>
      <c r="D1421" s="17" t="s">
        <v>19</v>
      </c>
      <c r="E1421" s="17" t="s">
        <v>75</v>
      </c>
      <c r="F1421" s="17" t="s">
        <v>6683</v>
      </c>
      <c r="G1421" s="17" t="s">
        <v>177</v>
      </c>
      <c r="H1421" s="17" t="s">
        <v>28</v>
      </c>
      <c r="I1421" s="17" t="s">
        <v>369</v>
      </c>
      <c r="J1421" s="17" t="s">
        <v>233</v>
      </c>
      <c r="K1421" s="19"/>
      <c r="L1421" s="19"/>
      <c r="M1421" s="19"/>
      <c r="N1421" s="19"/>
      <c r="O1421" s="17" t="n">
        <v>3</v>
      </c>
      <c r="P1421" s="18" t="s">
        <v>7025</v>
      </c>
      <c r="Q1421" s="18" t="s">
        <v>7026</v>
      </c>
      <c r="R1421" s="18" t="s">
        <v>7064</v>
      </c>
      <c r="S1421" s="17" t="s">
        <v>7031</v>
      </c>
      <c r="T1421" s="18" t="s">
        <v>2967</v>
      </c>
      <c r="U1421" s="19"/>
      <c r="V1421" s="18" t="s">
        <v>7065</v>
      </c>
      <c r="W1421" s="17" t="s">
        <v>240</v>
      </c>
      <c r="X1421" s="17" t="s">
        <v>6826</v>
      </c>
      <c r="Y1421" s="17" t="s">
        <v>242</v>
      </c>
      <c r="Z1421" s="19"/>
      <c r="AA1421" s="19"/>
      <c r="AB1421" s="17"/>
      <c r="AC1421" s="19"/>
    </row>
    <row r="1422" customFormat="false" ht="22.35" hidden="false" customHeight="false" outlineLevel="0" collapsed="false">
      <c r="A1422" s="10" t="s">
        <v>7066</v>
      </c>
      <c r="B1422" s="17" t="s">
        <v>165</v>
      </c>
      <c r="C1422" s="18" t="s">
        <v>166</v>
      </c>
      <c r="D1422" s="17" t="s">
        <v>19</v>
      </c>
      <c r="E1422" s="17" t="s">
        <v>75</v>
      </c>
      <c r="F1422" s="17" t="s">
        <v>6683</v>
      </c>
      <c r="G1422" s="17" t="s">
        <v>177</v>
      </c>
      <c r="H1422" s="17" t="s">
        <v>28</v>
      </c>
      <c r="I1422" s="17" t="s">
        <v>2638</v>
      </c>
      <c r="J1422" s="17" t="s">
        <v>233</v>
      </c>
      <c r="K1422" s="19"/>
      <c r="L1422" s="19"/>
      <c r="M1422" s="19"/>
      <c r="N1422" s="19"/>
      <c r="O1422" s="17" t="n">
        <v>3</v>
      </c>
      <c r="P1422" s="18" t="s">
        <v>7025</v>
      </c>
      <c r="Q1422" s="18" t="s">
        <v>7026</v>
      </c>
      <c r="R1422" s="18" t="s">
        <v>7067</v>
      </c>
      <c r="S1422" s="17" t="s">
        <v>7063</v>
      </c>
      <c r="T1422" s="18" t="s">
        <v>285</v>
      </c>
      <c r="U1422" s="19"/>
      <c r="V1422" s="18" t="s">
        <v>4226</v>
      </c>
      <c r="W1422" s="17" t="s">
        <v>240</v>
      </c>
      <c r="X1422" s="17" t="s">
        <v>3977</v>
      </c>
      <c r="Y1422" s="17" t="s">
        <v>242</v>
      </c>
      <c r="Z1422" s="19"/>
      <c r="AA1422" s="19"/>
      <c r="AB1422" s="17"/>
      <c r="AC1422" s="19"/>
    </row>
    <row r="1423" customFormat="false" ht="22.35" hidden="false" customHeight="false" outlineLevel="0" collapsed="false">
      <c r="A1423" s="10" t="s">
        <v>7068</v>
      </c>
      <c r="B1423" s="17" t="s">
        <v>68</v>
      </c>
      <c r="C1423" s="18" t="s">
        <v>69</v>
      </c>
      <c r="D1423" s="17" t="s">
        <v>19</v>
      </c>
      <c r="E1423" s="17" t="s">
        <v>75</v>
      </c>
      <c r="F1423" s="17" t="s">
        <v>7069</v>
      </c>
      <c r="G1423" s="17" t="s">
        <v>229</v>
      </c>
      <c r="H1423" s="17" t="s">
        <v>35</v>
      </c>
      <c r="I1423" s="17" t="s">
        <v>289</v>
      </c>
      <c r="J1423" s="17" t="s">
        <v>233</v>
      </c>
      <c r="K1423" s="19"/>
      <c r="L1423" s="19"/>
      <c r="M1423" s="19"/>
      <c r="N1423" s="19"/>
      <c r="O1423" s="17" t="n">
        <v>1</v>
      </c>
      <c r="P1423" s="18" t="s">
        <v>7070</v>
      </c>
      <c r="Q1423" s="18" t="s">
        <v>7071</v>
      </c>
      <c r="R1423" s="18" t="s">
        <v>7072</v>
      </c>
      <c r="S1423" s="17" t="s">
        <v>7073</v>
      </c>
      <c r="T1423" s="18" t="s">
        <v>7074</v>
      </c>
      <c r="U1423" s="19"/>
      <c r="V1423" s="18" t="s">
        <v>7075</v>
      </c>
      <c r="W1423" s="17" t="s">
        <v>240</v>
      </c>
      <c r="X1423" s="17" t="s">
        <v>7076</v>
      </c>
      <c r="Y1423" s="17" t="s">
        <v>242</v>
      </c>
      <c r="Z1423" s="19"/>
      <c r="AA1423" s="19"/>
      <c r="AB1423" s="17"/>
      <c r="AC1423" s="19"/>
    </row>
    <row r="1424" customFormat="false" ht="22.35" hidden="false" customHeight="false" outlineLevel="0" collapsed="false">
      <c r="A1424" s="10" t="s">
        <v>7077</v>
      </c>
      <c r="B1424" s="17" t="s">
        <v>68</v>
      </c>
      <c r="C1424" s="18" t="s">
        <v>69</v>
      </c>
      <c r="D1424" s="17" t="s">
        <v>19</v>
      </c>
      <c r="E1424" s="17" t="s">
        <v>75</v>
      </c>
      <c r="F1424" s="17" t="s">
        <v>7069</v>
      </c>
      <c r="G1424" s="17" t="s">
        <v>229</v>
      </c>
      <c r="H1424" s="17" t="s">
        <v>35</v>
      </c>
      <c r="I1424" s="17" t="s">
        <v>333</v>
      </c>
      <c r="J1424" s="17" t="s">
        <v>233</v>
      </c>
      <c r="K1424" s="19"/>
      <c r="L1424" s="19"/>
      <c r="M1424" s="19"/>
      <c r="N1424" s="19"/>
      <c r="O1424" s="17" t="n">
        <v>1</v>
      </c>
      <c r="P1424" s="18" t="s">
        <v>7070</v>
      </c>
      <c r="Q1424" s="18" t="s">
        <v>7071</v>
      </c>
      <c r="R1424" s="18" t="s">
        <v>7078</v>
      </c>
      <c r="S1424" s="17" t="s">
        <v>237</v>
      </c>
      <c r="T1424" s="18" t="s">
        <v>7079</v>
      </c>
      <c r="U1424" s="19"/>
      <c r="V1424" s="18" t="s">
        <v>7080</v>
      </c>
      <c r="W1424" s="17" t="s">
        <v>240</v>
      </c>
      <c r="X1424" s="17" t="s">
        <v>7081</v>
      </c>
      <c r="Y1424" s="17" t="s">
        <v>242</v>
      </c>
      <c r="Z1424" s="19"/>
      <c r="AA1424" s="19"/>
      <c r="AB1424" s="17"/>
      <c r="AC1424" s="19"/>
    </row>
    <row r="1425" customFormat="false" ht="22.35" hidden="false" customHeight="false" outlineLevel="0" collapsed="false">
      <c r="A1425" s="10" t="s">
        <v>7082</v>
      </c>
      <c r="B1425" s="17" t="s">
        <v>68</v>
      </c>
      <c r="C1425" s="18" t="s">
        <v>69</v>
      </c>
      <c r="D1425" s="17" t="s">
        <v>19</v>
      </c>
      <c r="E1425" s="17" t="s">
        <v>229</v>
      </c>
      <c r="F1425" s="17" t="s">
        <v>7069</v>
      </c>
      <c r="G1425" s="17" t="s">
        <v>229</v>
      </c>
      <c r="H1425" s="17" t="s">
        <v>35</v>
      </c>
      <c r="I1425" s="17" t="s">
        <v>333</v>
      </c>
      <c r="J1425" s="17" t="s">
        <v>233</v>
      </c>
      <c r="K1425" s="19"/>
      <c r="L1425" s="19"/>
      <c r="M1425" s="19"/>
      <c r="N1425" s="19"/>
      <c r="O1425" s="17" t="n">
        <v>1</v>
      </c>
      <c r="P1425" s="18" t="s">
        <v>7070</v>
      </c>
      <c r="Q1425" s="18" t="s">
        <v>7071</v>
      </c>
      <c r="R1425" s="18" t="s">
        <v>7083</v>
      </c>
      <c r="S1425" s="17" t="s">
        <v>237</v>
      </c>
      <c r="T1425" s="18" t="s">
        <v>7084</v>
      </c>
      <c r="U1425" s="19"/>
      <c r="V1425" s="18" t="s">
        <v>7085</v>
      </c>
      <c r="W1425" s="17" t="s">
        <v>240</v>
      </c>
      <c r="X1425" s="17" t="s">
        <v>7086</v>
      </c>
      <c r="Y1425" s="17" t="s">
        <v>242</v>
      </c>
      <c r="Z1425" s="19"/>
      <c r="AA1425" s="19"/>
      <c r="AB1425" s="17"/>
      <c r="AC1425" s="19"/>
    </row>
    <row r="1426" customFormat="false" ht="22.35" hidden="false" customHeight="false" outlineLevel="0" collapsed="false">
      <c r="A1426" s="10" t="s">
        <v>7087</v>
      </c>
      <c r="B1426" s="17" t="s">
        <v>68</v>
      </c>
      <c r="C1426" s="18" t="s">
        <v>69</v>
      </c>
      <c r="D1426" s="17" t="s">
        <v>19</v>
      </c>
      <c r="E1426" s="17" t="s">
        <v>229</v>
      </c>
      <c r="F1426" s="17" t="s">
        <v>7069</v>
      </c>
      <c r="G1426" s="17" t="s">
        <v>229</v>
      </c>
      <c r="H1426" s="17" t="s">
        <v>35</v>
      </c>
      <c r="I1426" s="17" t="s">
        <v>277</v>
      </c>
      <c r="J1426" s="17" t="s">
        <v>233</v>
      </c>
      <c r="K1426" s="19"/>
      <c r="L1426" s="19"/>
      <c r="M1426" s="19"/>
      <c r="N1426" s="19"/>
      <c r="O1426" s="17" t="n">
        <v>1</v>
      </c>
      <c r="P1426" s="18" t="s">
        <v>7070</v>
      </c>
      <c r="Q1426" s="18" t="s">
        <v>7071</v>
      </c>
      <c r="R1426" s="18" t="s">
        <v>7088</v>
      </c>
      <c r="S1426" s="17" t="s">
        <v>7082</v>
      </c>
      <c r="T1426" s="18" t="s">
        <v>7089</v>
      </c>
      <c r="U1426" s="19"/>
      <c r="V1426" s="18" t="s">
        <v>7090</v>
      </c>
      <c r="W1426" s="17" t="s">
        <v>240</v>
      </c>
      <c r="X1426" s="17" t="s">
        <v>356</v>
      </c>
      <c r="Y1426" s="17" t="s">
        <v>242</v>
      </c>
      <c r="Z1426" s="19"/>
      <c r="AA1426" s="19"/>
      <c r="AB1426" s="17"/>
      <c r="AC1426" s="19"/>
    </row>
    <row r="1427" customFormat="false" ht="22.35" hidden="false" customHeight="false" outlineLevel="0" collapsed="false">
      <c r="A1427" s="10" t="s">
        <v>7073</v>
      </c>
      <c r="B1427" s="17" t="s">
        <v>68</v>
      </c>
      <c r="C1427" s="18" t="s">
        <v>69</v>
      </c>
      <c r="D1427" s="17" t="s">
        <v>19</v>
      </c>
      <c r="E1427" s="17" t="s">
        <v>229</v>
      </c>
      <c r="F1427" s="17" t="s">
        <v>7069</v>
      </c>
      <c r="G1427" s="17" t="s">
        <v>229</v>
      </c>
      <c r="H1427" s="17" t="s">
        <v>35</v>
      </c>
      <c r="I1427" s="17" t="s">
        <v>289</v>
      </c>
      <c r="J1427" s="17" t="s">
        <v>233</v>
      </c>
      <c r="K1427" s="19"/>
      <c r="L1427" s="19"/>
      <c r="M1427" s="19"/>
      <c r="N1427" s="19"/>
      <c r="O1427" s="17" t="n">
        <v>1</v>
      </c>
      <c r="P1427" s="18" t="s">
        <v>7070</v>
      </c>
      <c r="Q1427" s="18" t="s">
        <v>7071</v>
      </c>
      <c r="R1427" s="18" t="s">
        <v>7091</v>
      </c>
      <c r="S1427" s="17" t="s">
        <v>237</v>
      </c>
      <c r="T1427" s="18" t="s">
        <v>7092</v>
      </c>
      <c r="U1427" s="19"/>
      <c r="V1427" s="18" t="s">
        <v>7093</v>
      </c>
      <c r="W1427" s="17" t="s">
        <v>240</v>
      </c>
      <c r="X1427" s="17" t="s">
        <v>7094</v>
      </c>
      <c r="Y1427" s="17" t="s">
        <v>242</v>
      </c>
      <c r="Z1427" s="19"/>
      <c r="AA1427" s="19"/>
      <c r="AB1427" s="17"/>
      <c r="AC1427" s="19"/>
    </row>
    <row r="1428" customFormat="false" ht="22.35" hidden="false" customHeight="false" outlineLevel="0" collapsed="false">
      <c r="A1428" s="10" t="s">
        <v>7095</v>
      </c>
      <c r="B1428" s="17" t="s">
        <v>68</v>
      </c>
      <c r="C1428" s="18" t="s">
        <v>69</v>
      </c>
      <c r="D1428" s="17" t="s">
        <v>19</v>
      </c>
      <c r="E1428" s="17" t="s">
        <v>75</v>
      </c>
      <c r="F1428" s="17" t="s">
        <v>7069</v>
      </c>
      <c r="G1428" s="17" t="s">
        <v>229</v>
      </c>
      <c r="H1428" s="17" t="s">
        <v>35</v>
      </c>
      <c r="I1428" s="17" t="s">
        <v>289</v>
      </c>
      <c r="J1428" s="17" t="s">
        <v>233</v>
      </c>
      <c r="K1428" s="19"/>
      <c r="L1428" s="19"/>
      <c r="M1428" s="19"/>
      <c r="N1428" s="19"/>
      <c r="O1428" s="17" t="n">
        <v>1</v>
      </c>
      <c r="P1428" s="18" t="s">
        <v>7070</v>
      </c>
      <c r="Q1428" s="18" t="s">
        <v>7071</v>
      </c>
      <c r="R1428" s="18" t="s">
        <v>7096</v>
      </c>
      <c r="S1428" s="17" t="s">
        <v>7073</v>
      </c>
      <c r="T1428" s="18" t="s">
        <v>7097</v>
      </c>
      <c r="U1428" s="19"/>
      <c r="V1428" s="18" t="s">
        <v>7098</v>
      </c>
      <c r="W1428" s="17" t="s">
        <v>240</v>
      </c>
      <c r="X1428" s="17" t="s">
        <v>7099</v>
      </c>
      <c r="Y1428" s="17" t="s">
        <v>242</v>
      </c>
      <c r="Z1428" s="19"/>
      <c r="AA1428" s="19"/>
      <c r="AB1428" s="17"/>
      <c r="AC1428" s="19"/>
    </row>
    <row r="1429" customFormat="false" ht="22.35" hidden="false" customHeight="false" outlineLevel="0" collapsed="false">
      <c r="A1429" s="10" t="s">
        <v>7100</v>
      </c>
      <c r="B1429" s="17" t="s">
        <v>68</v>
      </c>
      <c r="C1429" s="18" t="s">
        <v>69</v>
      </c>
      <c r="D1429" s="17" t="s">
        <v>19</v>
      </c>
      <c r="E1429" s="17" t="s">
        <v>229</v>
      </c>
      <c r="F1429" s="17" t="s">
        <v>7069</v>
      </c>
      <c r="G1429" s="17" t="s">
        <v>229</v>
      </c>
      <c r="H1429" s="17" t="s">
        <v>35</v>
      </c>
      <c r="I1429" s="17" t="s">
        <v>333</v>
      </c>
      <c r="J1429" s="17" t="s">
        <v>233</v>
      </c>
      <c r="K1429" s="19"/>
      <c r="L1429" s="19"/>
      <c r="M1429" s="19"/>
      <c r="N1429" s="19"/>
      <c r="O1429" s="17" t="n">
        <v>1</v>
      </c>
      <c r="P1429" s="18" t="s">
        <v>7070</v>
      </c>
      <c r="Q1429" s="18" t="s">
        <v>7071</v>
      </c>
      <c r="R1429" s="18" t="s">
        <v>7101</v>
      </c>
      <c r="S1429" s="17" t="s">
        <v>7095</v>
      </c>
      <c r="T1429" s="18" t="s">
        <v>7102</v>
      </c>
      <c r="U1429" s="19"/>
      <c r="V1429" s="18" t="s">
        <v>7103</v>
      </c>
      <c r="W1429" s="17" t="s">
        <v>240</v>
      </c>
      <c r="X1429" s="17" t="s">
        <v>7104</v>
      </c>
      <c r="Y1429" s="17" t="s">
        <v>242</v>
      </c>
      <c r="Z1429" s="19"/>
      <c r="AA1429" s="19"/>
      <c r="AB1429" s="17"/>
      <c r="AC1429" s="19"/>
    </row>
    <row r="1430" customFormat="false" ht="22.35" hidden="false" customHeight="false" outlineLevel="0" collapsed="false">
      <c r="A1430" s="10" t="s">
        <v>7105</v>
      </c>
      <c r="B1430" s="17" t="s">
        <v>68</v>
      </c>
      <c r="C1430" s="18" t="s">
        <v>69</v>
      </c>
      <c r="D1430" s="17" t="s">
        <v>19</v>
      </c>
      <c r="E1430" s="17" t="s">
        <v>75</v>
      </c>
      <c r="F1430" s="17" t="s">
        <v>7069</v>
      </c>
      <c r="G1430" s="17" t="s">
        <v>229</v>
      </c>
      <c r="H1430" s="17" t="s">
        <v>35</v>
      </c>
      <c r="I1430" s="17" t="s">
        <v>289</v>
      </c>
      <c r="J1430" s="17" t="s">
        <v>233</v>
      </c>
      <c r="K1430" s="19"/>
      <c r="L1430" s="19"/>
      <c r="M1430" s="19"/>
      <c r="N1430" s="19"/>
      <c r="O1430" s="17" t="n">
        <v>1</v>
      </c>
      <c r="P1430" s="18" t="s">
        <v>7070</v>
      </c>
      <c r="Q1430" s="18" t="s">
        <v>7071</v>
      </c>
      <c r="R1430" s="18" t="s">
        <v>7106</v>
      </c>
      <c r="S1430" s="17" t="s">
        <v>7073</v>
      </c>
      <c r="T1430" s="18" t="s">
        <v>7107</v>
      </c>
      <c r="U1430" s="19"/>
      <c r="V1430" s="18" t="s">
        <v>7108</v>
      </c>
      <c r="W1430" s="17" t="s">
        <v>240</v>
      </c>
      <c r="X1430" s="17" t="s">
        <v>7109</v>
      </c>
      <c r="Y1430" s="17" t="s">
        <v>242</v>
      </c>
      <c r="Z1430" s="19"/>
      <c r="AA1430" s="19"/>
      <c r="AB1430" s="17"/>
      <c r="AC1430" s="19"/>
    </row>
    <row r="1431" customFormat="false" ht="22.35" hidden="false" customHeight="false" outlineLevel="0" collapsed="false">
      <c r="A1431" s="10" t="s">
        <v>7110</v>
      </c>
      <c r="B1431" s="17" t="s">
        <v>68</v>
      </c>
      <c r="C1431" s="18" t="s">
        <v>69</v>
      </c>
      <c r="D1431" s="17" t="s">
        <v>19</v>
      </c>
      <c r="E1431" s="17" t="s">
        <v>229</v>
      </c>
      <c r="F1431" s="17" t="s">
        <v>7069</v>
      </c>
      <c r="G1431" s="17" t="s">
        <v>229</v>
      </c>
      <c r="H1431" s="17" t="s">
        <v>35</v>
      </c>
      <c r="I1431" s="17" t="s">
        <v>1028</v>
      </c>
      <c r="J1431" s="17" t="s">
        <v>233</v>
      </c>
      <c r="K1431" s="19"/>
      <c r="L1431" s="19"/>
      <c r="M1431" s="19"/>
      <c r="N1431" s="19"/>
      <c r="O1431" s="17" t="n">
        <v>0</v>
      </c>
      <c r="P1431" s="18" t="s">
        <v>7070</v>
      </c>
      <c r="Q1431" s="18" t="s">
        <v>7111</v>
      </c>
      <c r="R1431" s="18" t="s">
        <v>7112</v>
      </c>
      <c r="S1431" s="17" t="s">
        <v>237</v>
      </c>
      <c r="T1431" s="18" t="s">
        <v>7113</v>
      </c>
      <c r="U1431" s="19"/>
      <c r="V1431" s="18" t="s">
        <v>7114</v>
      </c>
      <c r="W1431" s="17" t="s">
        <v>240</v>
      </c>
      <c r="X1431" s="17" t="s">
        <v>7115</v>
      </c>
      <c r="Y1431" s="17" t="s">
        <v>242</v>
      </c>
      <c r="Z1431" s="19"/>
      <c r="AA1431" s="19"/>
      <c r="AB1431" s="17"/>
      <c r="AC1431" s="19"/>
    </row>
    <row r="1432" customFormat="false" ht="22.35" hidden="false" customHeight="false" outlineLevel="0" collapsed="false">
      <c r="A1432" s="10" t="s">
        <v>7116</v>
      </c>
      <c r="B1432" s="17" t="s">
        <v>68</v>
      </c>
      <c r="C1432" s="18" t="s">
        <v>69</v>
      </c>
      <c r="D1432" s="17" t="s">
        <v>19</v>
      </c>
      <c r="E1432" s="17" t="s">
        <v>229</v>
      </c>
      <c r="F1432" s="17" t="s">
        <v>7069</v>
      </c>
      <c r="G1432" s="17" t="s">
        <v>229</v>
      </c>
      <c r="H1432" s="17" t="s">
        <v>35</v>
      </c>
      <c r="I1432" s="17" t="s">
        <v>333</v>
      </c>
      <c r="J1432" s="17" t="s">
        <v>233</v>
      </c>
      <c r="K1432" s="19"/>
      <c r="L1432" s="19"/>
      <c r="M1432" s="19"/>
      <c r="N1432" s="19"/>
      <c r="O1432" s="17" t="n">
        <v>0</v>
      </c>
      <c r="P1432" s="18" t="s">
        <v>7070</v>
      </c>
      <c r="Q1432" s="18" t="s">
        <v>7111</v>
      </c>
      <c r="R1432" s="18" t="s">
        <v>7117</v>
      </c>
      <c r="S1432" s="17" t="s">
        <v>7110</v>
      </c>
      <c r="T1432" s="18" t="s">
        <v>7118</v>
      </c>
      <c r="U1432" s="19"/>
      <c r="V1432" s="18" t="s">
        <v>7119</v>
      </c>
      <c r="W1432" s="17" t="s">
        <v>240</v>
      </c>
      <c r="X1432" s="17" t="s">
        <v>7120</v>
      </c>
      <c r="Y1432" s="17" t="s">
        <v>242</v>
      </c>
      <c r="Z1432" s="19"/>
      <c r="AA1432" s="19"/>
      <c r="AB1432" s="17"/>
      <c r="AC1432" s="19"/>
    </row>
    <row r="1433" customFormat="false" ht="22.35" hidden="false" customHeight="false" outlineLevel="0" collapsed="false">
      <c r="A1433" s="10" t="s">
        <v>7121</v>
      </c>
      <c r="B1433" s="17" t="s">
        <v>68</v>
      </c>
      <c r="C1433" s="18" t="s">
        <v>69</v>
      </c>
      <c r="D1433" s="17" t="s">
        <v>19</v>
      </c>
      <c r="E1433" s="17" t="s">
        <v>229</v>
      </c>
      <c r="F1433" s="17" t="s">
        <v>7069</v>
      </c>
      <c r="G1433" s="17" t="s">
        <v>229</v>
      </c>
      <c r="H1433" s="17" t="s">
        <v>35</v>
      </c>
      <c r="I1433" s="17" t="s">
        <v>232</v>
      </c>
      <c r="J1433" s="17" t="s">
        <v>233</v>
      </c>
      <c r="K1433" s="19"/>
      <c r="L1433" s="19"/>
      <c r="M1433" s="19"/>
      <c r="N1433" s="19"/>
      <c r="O1433" s="17" t="n">
        <v>0</v>
      </c>
      <c r="P1433" s="18" t="s">
        <v>7070</v>
      </c>
      <c r="Q1433" s="18" t="s">
        <v>7111</v>
      </c>
      <c r="R1433" s="18" t="s">
        <v>7122</v>
      </c>
      <c r="S1433" s="17" t="s">
        <v>7110</v>
      </c>
      <c r="T1433" s="18" t="s">
        <v>7123</v>
      </c>
      <c r="U1433" s="19"/>
      <c r="V1433" s="18" t="s">
        <v>7124</v>
      </c>
      <c r="W1433" s="17" t="s">
        <v>240</v>
      </c>
      <c r="X1433" s="17" t="s">
        <v>7125</v>
      </c>
      <c r="Y1433" s="17" t="s">
        <v>242</v>
      </c>
      <c r="Z1433" s="19"/>
      <c r="AA1433" s="19"/>
      <c r="AB1433" s="17"/>
      <c r="AC1433" s="19"/>
    </row>
    <row r="1434" customFormat="false" ht="22.35" hidden="false" customHeight="false" outlineLevel="0" collapsed="false">
      <c r="A1434" s="10" t="s">
        <v>7126</v>
      </c>
      <c r="B1434" s="17" t="s">
        <v>68</v>
      </c>
      <c r="C1434" s="18" t="s">
        <v>69</v>
      </c>
      <c r="D1434" s="17" t="s">
        <v>19</v>
      </c>
      <c r="E1434" s="17" t="s">
        <v>229</v>
      </c>
      <c r="F1434" s="17" t="s">
        <v>7069</v>
      </c>
      <c r="G1434" s="17" t="s">
        <v>229</v>
      </c>
      <c r="H1434" s="17" t="s">
        <v>35</v>
      </c>
      <c r="I1434" s="17" t="s">
        <v>1028</v>
      </c>
      <c r="J1434" s="17" t="s">
        <v>233</v>
      </c>
      <c r="K1434" s="19"/>
      <c r="L1434" s="19"/>
      <c r="M1434" s="19"/>
      <c r="N1434" s="19"/>
      <c r="O1434" s="17" t="n">
        <v>0</v>
      </c>
      <c r="P1434" s="18" t="s">
        <v>7070</v>
      </c>
      <c r="Q1434" s="18" t="s">
        <v>7111</v>
      </c>
      <c r="R1434" s="18" t="s">
        <v>7127</v>
      </c>
      <c r="S1434" s="17" t="s">
        <v>7110</v>
      </c>
      <c r="T1434" s="18" t="s">
        <v>7128</v>
      </c>
      <c r="U1434" s="19"/>
      <c r="V1434" s="18" t="s">
        <v>7129</v>
      </c>
      <c r="W1434" s="17" t="s">
        <v>240</v>
      </c>
      <c r="X1434" s="17" t="s">
        <v>7130</v>
      </c>
      <c r="Y1434" s="17" t="s">
        <v>242</v>
      </c>
      <c r="Z1434" s="19"/>
      <c r="AA1434" s="19"/>
      <c r="AB1434" s="17"/>
      <c r="AC1434" s="19"/>
    </row>
    <row r="1435" customFormat="false" ht="22.35" hidden="false" customHeight="false" outlineLevel="0" collapsed="false">
      <c r="A1435" s="10" t="s">
        <v>7131</v>
      </c>
      <c r="B1435" s="17" t="s">
        <v>68</v>
      </c>
      <c r="C1435" s="18" t="s">
        <v>69</v>
      </c>
      <c r="D1435" s="17" t="s">
        <v>19</v>
      </c>
      <c r="E1435" s="17" t="s">
        <v>229</v>
      </c>
      <c r="F1435" s="17" t="s">
        <v>7069</v>
      </c>
      <c r="G1435" s="17" t="s">
        <v>229</v>
      </c>
      <c r="H1435" s="17" t="s">
        <v>35</v>
      </c>
      <c r="I1435" s="17" t="s">
        <v>333</v>
      </c>
      <c r="J1435" s="17" t="s">
        <v>233</v>
      </c>
      <c r="K1435" s="19"/>
      <c r="L1435" s="19"/>
      <c r="M1435" s="19"/>
      <c r="N1435" s="19"/>
      <c r="O1435" s="17" t="n">
        <v>0</v>
      </c>
      <c r="P1435" s="18" t="s">
        <v>7070</v>
      </c>
      <c r="Q1435" s="18" t="s">
        <v>7111</v>
      </c>
      <c r="R1435" s="18" t="s">
        <v>7132</v>
      </c>
      <c r="S1435" s="17" t="s">
        <v>7110</v>
      </c>
      <c r="T1435" s="18" t="s">
        <v>7133</v>
      </c>
      <c r="U1435" s="19"/>
      <c r="V1435" s="18" t="s">
        <v>7134</v>
      </c>
      <c r="W1435" s="17" t="s">
        <v>240</v>
      </c>
      <c r="X1435" s="17" t="s">
        <v>7135</v>
      </c>
      <c r="Y1435" s="17" t="s">
        <v>242</v>
      </c>
      <c r="Z1435" s="19"/>
      <c r="AA1435" s="19"/>
      <c r="AB1435" s="17"/>
      <c r="AC1435" s="19"/>
    </row>
    <row r="1436" customFormat="false" ht="22.35" hidden="false" customHeight="false" outlineLevel="0" collapsed="false">
      <c r="A1436" s="10" t="s">
        <v>7136</v>
      </c>
      <c r="B1436" s="17" t="s">
        <v>68</v>
      </c>
      <c r="C1436" s="18" t="s">
        <v>69</v>
      </c>
      <c r="D1436" s="17" t="s">
        <v>19</v>
      </c>
      <c r="E1436" s="17" t="s">
        <v>75</v>
      </c>
      <c r="F1436" s="17" t="s">
        <v>7069</v>
      </c>
      <c r="G1436" s="17" t="s">
        <v>229</v>
      </c>
      <c r="H1436" s="17" t="s">
        <v>35</v>
      </c>
      <c r="I1436" s="17" t="s">
        <v>283</v>
      </c>
      <c r="J1436" s="17" t="s">
        <v>233</v>
      </c>
      <c r="K1436" s="19"/>
      <c r="L1436" s="19"/>
      <c r="M1436" s="19"/>
      <c r="N1436" s="19"/>
      <c r="O1436" s="17" t="n">
        <v>1</v>
      </c>
      <c r="P1436" s="18" t="s">
        <v>7070</v>
      </c>
      <c r="Q1436" s="18" t="s">
        <v>7111</v>
      </c>
      <c r="R1436" s="18" t="s">
        <v>7137</v>
      </c>
      <c r="S1436" s="17" t="s">
        <v>7138</v>
      </c>
      <c r="T1436" s="18" t="s">
        <v>6037</v>
      </c>
      <c r="U1436" s="19"/>
      <c r="V1436" s="18" t="s">
        <v>7139</v>
      </c>
      <c r="W1436" s="17" t="s">
        <v>240</v>
      </c>
      <c r="X1436" s="17" t="s">
        <v>6039</v>
      </c>
      <c r="Y1436" s="17" t="s">
        <v>242</v>
      </c>
      <c r="Z1436" s="19"/>
      <c r="AA1436" s="19"/>
      <c r="AB1436" s="17"/>
      <c r="AC1436" s="19"/>
    </row>
    <row r="1437" customFormat="false" ht="22.35" hidden="false" customHeight="false" outlineLevel="0" collapsed="false">
      <c r="A1437" s="10" t="s">
        <v>7140</v>
      </c>
      <c r="B1437" s="17" t="s">
        <v>147</v>
      </c>
      <c r="C1437" s="18" t="s">
        <v>148</v>
      </c>
      <c r="D1437" s="17" t="s">
        <v>19</v>
      </c>
      <c r="E1437" s="17" t="s">
        <v>229</v>
      </c>
      <c r="F1437" s="17" t="s">
        <v>7069</v>
      </c>
      <c r="G1437" s="17" t="s">
        <v>149</v>
      </c>
      <c r="H1437" s="17" t="s">
        <v>35</v>
      </c>
      <c r="I1437" s="17" t="s">
        <v>1028</v>
      </c>
      <c r="J1437" s="17" t="s">
        <v>233</v>
      </c>
      <c r="K1437" s="19"/>
      <c r="L1437" s="19"/>
      <c r="M1437" s="19"/>
      <c r="N1437" s="19"/>
      <c r="O1437" s="17" t="n">
        <v>0</v>
      </c>
      <c r="P1437" s="18" t="s">
        <v>7141</v>
      </c>
      <c r="Q1437" s="18" t="s">
        <v>7142</v>
      </c>
      <c r="R1437" s="18" t="s">
        <v>7143</v>
      </c>
      <c r="S1437" s="17" t="s">
        <v>237</v>
      </c>
      <c r="T1437" s="18" t="s">
        <v>7144</v>
      </c>
      <c r="U1437" s="19"/>
      <c r="V1437" s="18" t="s">
        <v>7145</v>
      </c>
      <c r="W1437" s="17" t="s">
        <v>240</v>
      </c>
      <c r="X1437" s="17" t="s">
        <v>7146</v>
      </c>
      <c r="Y1437" s="17" t="s">
        <v>242</v>
      </c>
      <c r="Z1437" s="19"/>
      <c r="AA1437" s="19"/>
      <c r="AB1437" s="17"/>
      <c r="AC1437" s="19"/>
    </row>
    <row r="1438" customFormat="false" ht="22.35" hidden="false" customHeight="false" outlineLevel="0" collapsed="false">
      <c r="A1438" s="10" t="s">
        <v>7147</v>
      </c>
      <c r="B1438" s="17" t="s">
        <v>147</v>
      </c>
      <c r="C1438" s="18" t="s">
        <v>148</v>
      </c>
      <c r="D1438" s="17" t="s">
        <v>19</v>
      </c>
      <c r="E1438" s="17" t="s">
        <v>229</v>
      </c>
      <c r="F1438" s="17" t="s">
        <v>7069</v>
      </c>
      <c r="G1438" s="17" t="s">
        <v>149</v>
      </c>
      <c r="H1438" s="17" t="s">
        <v>35</v>
      </c>
      <c r="I1438" s="17" t="s">
        <v>1786</v>
      </c>
      <c r="J1438" s="17" t="s">
        <v>233</v>
      </c>
      <c r="K1438" s="19"/>
      <c r="L1438" s="19"/>
      <c r="M1438" s="19"/>
      <c r="N1438" s="19"/>
      <c r="O1438" s="17" t="n">
        <v>0</v>
      </c>
      <c r="P1438" s="18" t="s">
        <v>7141</v>
      </c>
      <c r="Q1438" s="18" t="s">
        <v>7142</v>
      </c>
      <c r="R1438" s="18" t="s">
        <v>7148</v>
      </c>
      <c r="S1438" s="17" t="s">
        <v>7140</v>
      </c>
      <c r="T1438" s="18" t="s">
        <v>7149</v>
      </c>
      <c r="U1438" s="19"/>
      <c r="V1438" s="18" t="s">
        <v>7150</v>
      </c>
      <c r="W1438" s="17" t="s">
        <v>240</v>
      </c>
      <c r="X1438" s="17" t="s">
        <v>7151</v>
      </c>
      <c r="Y1438" s="17" t="s">
        <v>242</v>
      </c>
      <c r="Z1438" s="19"/>
      <c r="AA1438" s="19"/>
      <c r="AB1438" s="17"/>
      <c r="AC1438" s="19"/>
    </row>
    <row r="1439" customFormat="false" ht="22.35" hidden="false" customHeight="false" outlineLevel="0" collapsed="false">
      <c r="A1439" s="10" t="s">
        <v>7152</v>
      </c>
      <c r="B1439" s="17" t="s">
        <v>147</v>
      </c>
      <c r="C1439" s="18" t="s">
        <v>148</v>
      </c>
      <c r="D1439" s="17" t="s">
        <v>19</v>
      </c>
      <c r="E1439" s="17" t="s">
        <v>229</v>
      </c>
      <c r="F1439" s="17" t="s">
        <v>7069</v>
      </c>
      <c r="G1439" s="17" t="s">
        <v>149</v>
      </c>
      <c r="H1439" s="17" t="s">
        <v>35</v>
      </c>
      <c r="I1439" s="17" t="s">
        <v>450</v>
      </c>
      <c r="J1439" s="17" t="s">
        <v>233</v>
      </c>
      <c r="K1439" s="19"/>
      <c r="L1439" s="19"/>
      <c r="M1439" s="19"/>
      <c r="N1439" s="19"/>
      <c r="O1439" s="17" t="n">
        <v>0</v>
      </c>
      <c r="P1439" s="18" t="s">
        <v>7141</v>
      </c>
      <c r="Q1439" s="18" t="s">
        <v>7142</v>
      </c>
      <c r="R1439" s="18" t="s">
        <v>7153</v>
      </c>
      <c r="S1439" s="17" t="s">
        <v>7140</v>
      </c>
      <c r="T1439" s="18" t="s">
        <v>7154</v>
      </c>
      <c r="U1439" s="19"/>
      <c r="V1439" s="18" t="s">
        <v>7155</v>
      </c>
      <c r="W1439" s="17" t="s">
        <v>240</v>
      </c>
      <c r="X1439" s="17" t="s">
        <v>7156</v>
      </c>
      <c r="Y1439" s="17" t="s">
        <v>242</v>
      </c>
      <c r="Z1439" s="19"/>
      <c r="AA1439" s="19"/>
      <c r="AB1439" s="17"/>
      <c r="AC1439" s="19"/>
    </row>
    <row r="1440" customFormat="false" ht="22.35" hidden="false" customHeight="false" outlineLevel="0" collapsed="false">
      <c r="A1440" s="10" t="s">
        <v>7157</v>
      </c>
      <c r="B1440" s="17" t="s">
        <v>147</v>
      </c>
      <c r="C1440" s="18" t="s">
        <v>148</v>
      </c>
      <c r="D1440" s="17" t="s">
        <v>19</v>
      </c>
      <c r="E1440" s="17" t="s">
        <v>229</v>
      </c>
      <c r="F1440" s="17" t="s">
        <v>7069</v>
      </c>
      <c r="G1440" s="17" t="s">
        <v>149</v>
      </c>
      <c r="H1440" s="17" t="s">
        <v>35</v>
      </c>
      <c r="I1440" s="17" t="s">
        <v>450</v>
      </c>
      <c r="J1440" s="17" t="s">
        <v>233</v>
      </c>
      <c r="K1440" s="19"/>
      <c r="L1440" s="19"/>
      <c r="M1440" s="19"/>
      <c r="N1440" s="19"/>
      <c r="O1440" s="17" t="n">
        <v>0</v>
      </c>
      <c r="P1440" s="18" t="s">
        <v>7141</v>
      </c>
      <c r="Q1440" s="18" t="s">
        <v>7142</v>
      </c>
      <c r="R1440" s="18" t="s">
        <v>7158</v>
      </c>
      <c r="S1440" s="17" t="s">
        <v>7140</v>
      </c>
      <c r="T1440" s="18" t="s">
        <v>7159</v>
      </c>
      <c r="U1440" s="19"/>
      <c r="V1440" s="18" t="s">
        <v>7160</v>
      </c>
      <c r="W1440" s="17" t="s">
        <v>240</v>
      </c>
      <c r="X1440" s="17" t="s">
        <v>7161</v>
      </c>
      <c r="Y1440" s="17" t="s">
        <v>242</v>
      </c>
      <c r="Z1440" s="19"/>
      <c r="AA1440" s="19"/>
      <c r="AB1440" s="17"/>
      <c r="AC1440" s="19"/>
    </row>
    <row r="1441" customFormat="false" ht="22.35" hidden="false" customHeight="false" outlineLevel="0" collapsed="false">
      <c r="A1441" s="10" t="s">
        <v>7162</v>
      </c>
      <c r="B1441" s="17" t="s">
        <v>147</v>
      </c>
      <c r="C1441" s="18" t="s">
        <v>148</v>
      </c>
      <c r="D1441" s="17" t="s">
        <v>19</v>
      </c>
      <c r="E1441" s="17" t="s">
        <v>229</v>
      </c>
      <c r="F1441" s="17" t="s">
        <v>7069</v>
      </c>
      <c r="G1441" s="17" t="s">
        <v>149</v>
      </c>
      <c r="H1441" s="17" t="s">
        <v>35</v>
      </c>
      <c r="I1441" s="17" t="s">
        <v>450</v>
      </c>
      <c r="J1441" s="17" t="s">
        <v>233</v>
      </c>
      <c r="K1441" s="19"/>
      <c r="L1441" s="19"/>
      <c r="M1441" s="19"/>
      <c r="N1441" s="19"/>
      <c r="O1441" s="17" t="n">
        <v>0</v>
      </c>
      <c r="P1441" s="18" t="s">
        <v>7141</v>
      </c>
      <c r="Q1441" s="18" t="s">
        <v>7142</v>
      </c>
      <c r="R1441" s="18" t="s">
        <v>7163</v>
      </c>
      <c r="S1441" s="17" t="s">
        <v>7157</v>
      </c>
      <c r="T1441" s="18" t="s">
        <v>7164</v>
      </c>
      <c r="U1441" s="19"/>
      <c r="V1441" s="18" t="s">
        <v>7165</v>
      </c>
      <c r="W1441" s="17" t="s">
        <v>240</v>
      </c>
      <c r="X1441" s="17" t="s">
        <v>7166</v>
      </c>
      <c r="Y1441" s="17" t="s">
        <v>242</v>
      </c>
      <c r="Z1441" s="19"/>
      <c r="AA1441" s="19"/>
      <c r="AB1441" s="17"/>
      <c r="AC1441" s="19"/>
    </row>
    <row r="1442" customFormat="false" ht="22.35" hidden="false" customHeight="false" outlineLevel="0" collapsed="false">
      <c r="A1442" s="10" t="s">
        <v>7167</v>
      </c>
      <c r="B1442" s="17" t="s">
        <v>147</v>
      </c>
      <c r="C1442" s="18" t="s">
        <v>148</v>
      </c>
      <c r="D1442" s="17" t="s">
        <v>19</v>
      </c>
      <c r="E1442" s="17" t="s">
        <v>229</v>
      </c>
      <c r="F1442" s="17" t="s">
        <v>7069</v>
      </c>
      <c r="G1442" s="17" t="s">
        <v>149</v>
      </c>
      <c r="H1442" s="17" t="s">
        <v>35</v>
      </c>
      <c r="I1442" s="17" t="s">
        <v>450</v>
      </c>
      <c r="J1442" s="17" t="s">
        <v>233</v>
      </c>
      <c r="K1442" s="19"/>
      <c r="L1442" s="19"/>
      <c r="M1442" s="19"/>
      <c r="N1442" s="19"/>
      <c r="O1442" s="17" t="n">
        <v>0</v>
      </c>
      <c r="P1442" s="18" t="s">
        <v>7141</v>
      </c>
      <c r="Q1442" s="18" t="s">
        <v>7142</v>
      </c>
      <c r="R1442" s="18" t="s">
        <v>7168</v>
      </c>
      <c r="S1442" s="17" t="s">
        <v>7169</v>
      </c>
      <c r="T1442" s="18" t="s">
        <v>7170</v>
      </c>
      <c r="U1442" s="19"/>
      <c r="V1442" s="18" t="s">
        <v>7171</v>
      </c>
      <c r="W1442" s="17" t="s">
        <v>240</v>
      </c>
      <c r="X1442" s="17" t="s">
        <v>7172</v>
      </c>
      <c r="Y1442" s="17" t="s">
        <v>242</v>
      </c>
      <c r="Z1442" s="19"/>
      <c r="AA1442" s="19"/>
      <c r="AB1442" s="17" t="s">
        <v>1681</v>
      </c>
      <c r="AC1442" s="19"/>
    </row>
    <row r="1443" customFormat="false" ht="22.35" hidden="false" customHeight="false" outlineLevel="0" collapsed="false">
      <c r="A1443" s="10" t="s">
        <v>7173</v>
      </c>
      <c r="B1443" s="17" t="s">
        <v>147</v>
      </c>
      <c r="C1443" s="18" t="s">
        <v>148</v>
      </c>
      <c r="D1443" s="17" t="s">
        <v>19</v>
      </c>
      <c r="E1443" s="17" t="s">
        <v>75</v>
      </c>
      <c r="F1443" s="17" t="s">
        <v>7069</v>
      </c>
      <c r="G1443" s="17" t="s">
        <v>149</v>
      </c>
      <c r="H1443" s="17" t="s">
        <v>35</v>
      </c>
      <c r="I1443" s="17" t="s">
        <v>1028</v>
      </c>
      <c r="J1443" s="17" t="s">
        <v>233</v>
      </c>
      <c r="K1443" s="19"/>
      <c r="L1443" s="19"/>
      <c r="M1443" s="19"/>
      <c r="N1443" s="19"/>
      <c r="O1443" s="17" t="n">
        <v>1</v>
      </c>
      <c r="P1443" s="18" t="s">
        <v>7141</v>
      </c>
      <c r="Q1443" s="18" t="s">
        <v>7174</v>
      </c>
      <c r="R1443" s="18" t="s">
        <v>7175</v>
      </c>
      <c r="S1443" s="17" t="s">
        <v>237</v>
      </c>
      <c r="T1443" s="18" t="s">
        <v>7176</v>
      </c>
      <c r="U1443" s="19"/>
      <c r="V1443" s="18" t="s">
        <v>7177</v>
      </c>
      <c r="W1443" s="17" t="s">
        <v>240</v>
      </c>
      <c r="X1443" s="17" t="s">
        <v>7178</v>
      </c>
      <c r="Y1443" s="17" t="s">
        <v>242</v>
      </c>
      <c r="Z1443" s="19"/>
      <c r="AA1443" s="19"/>
      <c r="AB1443" s="17"/>
      <c r="AC1443" s="19"/>
    </row>
    <row r="1444" customFormat="false" ht="22.35" hidden="false" customHeight="false" outlineLevel="0" collapsed="false">
      <c r="A1444" s="10" t="s">
        <v>7179</v>
      </c>
      <c r="B1444" s="17" t="s">
        <v>147</v>
      </c>
      <c r="C1444" s="18" t="s">
        <v>148</v>
      </c>
      <c r="D1444" s="17" t="s">
        <v>19</v>
      </c>
      <c r="E1444" s="17" t="s">
        <v>229</v>
      </c>
      <c r="F1444" s="17" t="s">
        <v>7069</v>
      </c>
      <c r="G1444" s="17" t="s">
        <v>149</v>
      </c>
      <c r="H1444" s="17" t="s">
        <v>35</v>
      </c>
      <c r="I1444" s="17" t="s">
        <v>1028</v>
      </c>
      <c r="J1444" s="17" t="s">
        <v>233</v>
      </c>
      <c r="K1444" s="19"/>
      <c r="L1444" s="19"/>
      <c r="M1444" s="19"/>
      <c r="N1444" s="19"/>
      <c r="O1444" s="17" t="n">
        <v>0</v>
      </c>
      <c r="P1444" s="18" t="s">
        <v>7141</v>
      </c>
      <c r="Q1444" s="18" t="s">
        <v>7174</v>
      </c>
      <c r="R1444" s="18" t="s">
        <v>7180</v>
      </c>
      <c r="S1444" s="17" t="s">
        <v>7140</v>
      </c>
      <c r="T1444" s="18" t="s">
        <v>7181</v>
      </c>
      <c r="U1444" s="19"/>
      <c r="V1444" s="18" t="s">
        <v>7182</v>
      </c>
      <c r="W1444" s="17" t="s">
        <v>240</v>
      </c>
      <c r="X1444" s="17" t="s">
        <v>7183</v>
      </c>
      <c r="Y1444" s="17" t="s">
        <v>242</v>
      </c>
      <c r="Z1444" s="19"/>
      <c r="AA1444" s="19"/>
      <c r="AB1444" s="17"/>
      <c r="AC1444" s="19"/>
    </row>
    <row r="1445" customFormat="false" ht="32.8" hidden="false" customHeight="false" outlineLevel="0" collapsed="false">
      <c r="A1445" s="10" t="s">
        <v>6607</v>
      </c>
      <c r="B1445" s="17" t="s">
        <v>147</v>
      </c>
      <c r="C1445" s="18" t="s">
        <v>148</v>
      </c>
      <c r="D1445" s="17" t="s">
        <v>19</v>
      </c>
      <c r="E1445" s="17" t="s">
        <v>75</v>
      </c>
      <c r="F1445" s="17" t="s">
        <v>7069</v>
      </c>
      <c r="G1445" s="17" t="s">
        <v>149</v>
      </c>
      <c r="H1445" s="17" t="s">
        <v>35</v>
      </c>
      <c r="I1445" s="17" t="s">
        <v>1028</v>
      </c>
      <c r="J1445" s="17" t="s">
        <v>233</v>
      </c>
      <c r="K1445" s="19"/>
      <c r="L1445" s="19"/>
      <c r="M1445" s="19"/>
      <c r="N1445" s="19"/>
      <c r="O1445" s="17" t="n">
        <v>1</v>
      </c>
      <c r="P1445" s="18" t="s">
        <v>7141</v>
      </c>
      <c r="Q1445" s="18" t="s">
        <v>7174</v>
      </c>
      <c r="R1445" s="18" t="s">
        <v>7184</v>
      </c>
      <c r="S1445" s="17" t="s">
        <v>7185</v>
      </c>
      <c r="T1445" s="18" t="s">
        <v>7186</v>
      </c>
      <c r="U1445" s="19"/>
      <c r="V1445" s="18" t="s">
        <v>7187</v>
      </c>
      <c r="W1445" s="17" t="s">
        <v>240</v>
      </c>
      <c r="X1445" s="17" t="s">
        <v>7188</v>
      </c>
      <c r="Y1445" s="17" t="s">
        <v>242</v>
      </c>
      <c r="Z1445" s="19"/>
      <c r="AA1445" s="19"/>
      <c r="AB1445" s="17"/>
      <c r="AC1445" s="19"/>
    </row>
    <row r="1446" customFormat="false" ht="22.35" hidden="false" customHeight="false" outlineLevel="0" collapsed="false">
      <c r="A1446" s="10" t="s">
        <v>7189</v>
      </c>
      <c r="B1446" s="17" t="s">
        <v>147</v>
      </c>
      <c r="C1446" s="18" t="s">
        <v>148</v>
      </c>
      <c r="D1446" s="17" t="s">
        <v>19</v>
      </c>
      <c r="E1446" s="17" t="s">
        <v>75</v>
      </c>
      <c r="F1446" s="17" t="s">
        <v>7069</v>
      </c>
      <c r="G1446" s="17" t="s">
        <v>149</v>
      </c>
      <c r="H1446" s="17" t="s">
        <v>35</v>
      </c>
      <c r="I1446" s="17" t="s">
        <v>450</v>
      </c>
      <c r="J1446" s="17" t="s">
        <v>233</v>
      </c>
      <c r="K1446" s="19"/>
      <c r="L1446" s="19"/>
      <c r="M1446" s="19"/>
      <c r="N1446" s="19"/>
      <c r="O1446" s="17" t="n">
        <v>3</v>
      </c>
      <c r="P1446" s="18" t="s">
        <v>7141</v>
      </c>
      <c r="Q1446" s="18" t="s">
        <v>7174</v>
      </c>
      <c r="R1446" s="18" t="s">
        <v>7190</v>
      </c>
      <c r="S1446" s="17" t="s">
        <v>6607</v>
      </c>
      <c r="T1446" s="18" t="s">
        <v>7191</v>
      </c>
      <c r="U1446" s="19"/>
      <c r="V1446" s="18" t="s">
        <v>7192</v>
      </c>
      <c r="W1446" s="17" t="s">
        <v>240</v>
      </c>
      <c r="X1446" s="17" t="s">
        <v>7193</v>
      </c>
      <c r="Y1446" s="17" t="s">
        <v>242</v>
      </c>
      <c r="Z1446" s="19"/>
      <c r="AA1446" s="19"/>
      <c r="AB1446" s="17"/>
      <c r="AC1446" s="19"/>
    </row>
    <row r="1447" customFormat="false" ht="22.35" hidden="false" customHeight="false" outlineLevel="0" collapsed="false">
      <c r="A1447" s="10" t="s">
        <v>7194</v>
      </c>
      <c r="B1447" s="17" t="s">
        <v>147</v>
      </c>
      <c r="C1447" s="18" t="s">
        <v>148</v>
      </c>
      <c r="D1447" s="17" t="s">
        <v>19</v>
      </c>
      <c r="E1447" s="17" t="s">
        <v>75</v>
      </c>
      <c r="F1447" s="17" t="s">
        <v>7069</v>
      </c>
      <c r="G1447" s="17" t="s">
        <v>149</v>
      </c>
      <c r="H1447" s="17" t="s">
        <v>35</v>
      </c>
      <c r="I1447" s="17" t="s">
        <v>450</v>
      </c>
      <c r="J1447" s="17" t="s">
        <v>233</v>
      </c>
      <c r="K1447" s="19"/>
      <c r="L1447" s="19"/>
      <c r="M1447" s="19"/>
      <c r="N1447" s="19"/>
      <c r="O1447" s="17" t="n">
        <v>4</v>
      </c>
      <c r="P1447" s="18" t="s">
        <v>7141</v>
      </c>
      <c r="Q1447" s="18" t="s">
        <v>7174</v>
      </c>
      <c r="R1447" s="18" t="s">
        <v>7195</v>
      </c>
      <c r="S1447" s="17" t="s">
        <v>7196</v>
      </c>
      <c r="T1447" s="18" t="s">
        <v>7197</v>
      </c>
      <c r="U1447" s="19"/>
      <c r="V1447" s="18" t="s">
        <v>7198</v>
      </c>
      <c r="W1447" s="17" t="s">
        <v>240</v>
      </c>
      <c r="X1447" s="17" t="s">
        <v>7199</v>
      </c>
      <c r="Y1447" s="17" t="s">
        <v>242</v>
      </c>
      <c r="Z1447" s="19"/>
      <c r="AA1447" s="19"/>
      <c r="AB1447" s="17"/>
      <c r="AC1447" s="19"/>
    </row>
    <row r="1448" customFormat="false" ht="15" hidden="false" customHeight="false" outlineLevel="0" collapsed="false">
      <c r="A1448" s="10" t="s">
        <v>7200</v>
      </c>
      <c r="B1448" s="17" t="s">
        <v>147</v>
      </c>
      <c r="C1448" s="18" t="s">
        <v>148</v>
      </c>
      <c r="D1448" s="17" t="s">
        <v>19</v>
      </c>
      <c r="E1448" s="17" t="s">
        <v>75</v>
      </c>
      <c r="F1448" s="17" t="s">
        <v>7069</v>
      </c>
      <c r="G1448" s="17" t="s">
        <v>149</v>
      </c>
      <c r="H1448" s="17" t="s">
        <v>35</v>
      </c>
      <c r="I1448" s="17" t="s">
        <v>283</v>
      </c>
      <c r="J1448" s="17" t="s">
        <v>233</v>
      </c>
      <c r="K1448" s="19"/>
      <c r="L1448" s="19"/>
      <c r="M1448" s="19"/>
      <c r="N1448" s="19"/>
      <c r="O1448" s="17" t="n">
        <v>4</v>
      </c>
      <c r="P1448" s="18" t="s">
        <v>7141</v>
      </c>
      <c r="Q1448" s="18" t="s">
        <v>7174</v>
      </c>
      <c r="R1448" s="18" t="s">
        <v>7201</v>
      </c>
      <c r="S1448" s="17" t="s">
        <v>7202</v>
      </c>
      <c r="T1448" s="18" t="s">
        <v>6037</v>
      </c>
      <c r="U1448" s="19"/>
      <c r="V1448" s="18" t="s">
        <v>6038</v>
      </c>
      <c r="W1448" s="17" t="s">
        <v>240</v>
      </c>
      <c r="X1448" s="17" t="s">
        <v>6039</v>
      </c>
      <c r="Y1448" s="17" t="s">
        <v>242</v>
      </c>
      <c r="Z1448" s="19"/>
      <c r="AA1448" s="19"/>
      <c r="AB1448" s="17"/>
      <c r="AC1448" s="19"/>
    </row>
    <row r="1449" customFormat="false" ht="22.35" hidden="false" customHeight="false" outlineLevel="0" collapsed="false">
      <c r="A1449" s="10" t="s">
        <v>7203</v>
      </c>
      <c r="B1449" s="17" t="s">
        <v>153</v>
      </c>
      <c r="C1449" s="18" t="s">
        <v>154</v>
      </c>
      <c r="D1449" s="17" t="s">
        <v>19</v>
      </c>
      <c r="E1449" s="17" t="s">
        <v>75</v>
      </c>
      <c r="F1449" s="17" t="s">
        <v>7069</v>
      </c>
      <c r="G1449" s="17" t="s">
        <v>155</v>
      </c>
      <c r="H1449" s="17" t="s">
        <v>35</v>
      </c>
      <c r="I1449" s="17" t="s">
        <v>1028</v>
      </c>
      <c r="J1449" s="17" t="s">
        <v>233</v>
      </c>
      <c r="K1449" s="19"/>
      <c r="L1449" s="19"/>
      <c r="M1449" s="19"/>
      <c r="N1449" s="19"/>
      <c r="O1449" s="17" t="n">
        <v>2</v>
      </c>
      <c r="P1449" s="18" t="s">
        <v>7204</v>
      </c>
      <c r="Q1449" s="18" t="s">
        <v>7205</v>
      </c>
      <c r="R1449" s="18" t="s">
        <v>7206</v>
      </c>
      <c r="S1449" s="17" t="s">
        <v>237</v>
      </c>
      <c r="T1449" s="18" t="s">
        <v>7207</v>
      </c>
      <c r="U1449" s="19"/>
      <c r="V1449" s="18" t="s">
        <v>7208</v>
      </c>
      <c r="W1449" s="17" t="s">
        <v>240</v>
      </c>
      <c r="X1449" s="17" t="s">
        <v>7209</v>
      </c>
      <c r="Y1449" s="17" t="s">
        <v>242</v>
      </c>
      <c r="Z1449" s="19"/>
      <c r="AA1449" s="19"/>
      <c r="AB1449" s="17"/>
      <c r="AC1449" s="19"/>
    </row>
    <row r="1450" customFormat="false" ht="22.35" hidden="false" customHeight="false" outlineLevel="0" collapsed="false">
      <c r="A1450" s="10" t="s">
        <v>7210</v>
      </c>
      <c r="B1450" s="17" t="s">
        <v>153</v>
      </c>
      <c r="C1450" s="18" t="s">
        <v>154</v>
      </c>
      <c r="D1450" s="17" t="s">
        <v>19</v>
      </c>
      <c r="E1450" s="17" t="s">
        <v>75</v>
      </c>
      <c r="F1450" s="17" t="s">
        <v>7069</v>
      </c>
      <c r="G1450" s="17" t="s">
        <v>155</v>
      </c>
      <c r="H1450" s="17" t="s">
        <v>35</v>
      </c>
      <c r="I1450" s="17" t="s">
        <v>1028</v>
      </c>
      <c r="J1450" s="17" t="s">
        <v>233</v>
      </c>
      <c r="K1450" s="19"/>
      <c r="L1450" s="19"/>
      <c r="M1450" s="19"/>
      <c r="N1450" s="19"/>
      <c r="O1450" s="17" t="n">
        <v>2</v>
      </c>
      <c r="P1450" s="18" t="s">
        <v>7204</v>
      </c>
      <c r="Q1450" s="18" t="s">
        <v>7205</v>
      </c>
      <c r="R1450" s="18" t="s">
        <v>7211</v>
      </c>
      <c r="S1450" s="17" t="s">
        <v>7203</v>
      </c>
      <c r="T1450" s="18" t="s">
        <v>7212</v>
      </c>
      <c r="U1450" s="19"/>
      <c r="V1450" s="18" t="s">
        <v>7213</v>
      </c>
      <c r="W1450" s="17" t="s">
        <v>240</v>
      </c>
      <c r="X1450" s="17" t="s">
        <v>7214</v>
      </c>
      <c r="Y1450" s="17" t="s">
        <v>242</v>
      </c>
      <c r="Z1450" s="19"/>
      <c r="AA1450" s="19"/>
      <c r="AB1450" s="17"/>
      <c r="AC1450" s="19"/>
    </row>
    <row r="1451" customFormat="false" ht="22.35" hidden="false" customHeight="false" outlineLevel="0" collapsed="false">
      <c r="A1451" s="10" t="s">
        <v>7215</v>
      </c>
      <c r="B1451" s="17" t="s">
        <v>153</v>
      </c>
      <c r="C1451" s="18" t="s">
        <v>154</v>
      </c>
      <c r="D1451" s="17" t="s">
        <v>19</v>
      </c>
      <c r="E1451" s="17" t="s">
        <v>75</v>
      </c>
      <c r="F1451" s="17" t="s">
        <v>7069</v>
      </c>
      <c r="G1451" s="17" t="s">
        <v>155</v>
      </c>
      <c r="H1451" s="17" t="s">
        <v>35</v>
      </c>
      <c r="I1451" s="17" t="s">
        <v>1786</v>
      </c>
      <c r="J1451" s="17" t="s">
        <v>233</v>
      </c>
      <c r="K1451" s="19"/>
      <c r="L1451" s="19"/>
      <c r="M1451" s="19"/>
      <c r="N1451" s="19"/>
      <c r="O1451" s="17" t="n">
        <v>2</v>
      </c>
      <c r="P1451" s="18" t="s">
        <v>7204</v>
      </c>
      <c r="Q1451" s="18" t="s">
        <v>7205</v>
      </c>
      <c r="R1451" s="18" t="s">
        <v>7216</v>
      </c>
      <c r="S1451" s="17" t="s">
        <v>7203</v>
      </c>
      <c r="T1451" s="18" t="s">
        <v>7217</v>
      </c>
      <c r="U1451" s="19"/>
      <c r="V1451" s="18" t="s">
        <v>7218</v>
      </c>
      <c r="W1451" s="17" t="s">
        <v>240</v>
      </c>
      <c r="X1451" s="17" t="s">
        <v>7219</v>
      </c>
      <c r="Y1451" s="17" t="s">
        <v>242</v>
      </c>
      <c r="Z1451" s="19"/>
      <c r="AA1451" s="19"/>
      <c r="AB1451" s="17"/>
      <c r="AC1451" s="19"/>
    </row>
    <row r="1452" customFormat="false" ht="22.35" hidden="false" customHeight="false" outlineLevel="0" collapsed="false">
      <c r="A1452" s="10" t="s">
        <v>7220</v>
      </c>
      <c r="B1452" s="17" t="s">
        <v>153</v>
      </c>
      <c r="C1452" s="18" t="s">
        <v>154</v>
      </c>
      <c r="D1452" s="17" t="s">
        <v>19</v>
      </c>
      <c r="E1452" s="17" t="s">
        <v>75</v>
      </c>
      <c r="F1452" s="17" t="s">
        <v>7069</v>
      </c>
      <c r="G1452" s="17" t="s">
        <v>155</v>
      </c>
      <c r="H1452" s="17" t="s">
        <v>35</v>
      </c>
      <c r="I1452" s="17" t="s">
        <v>1786</v>
      </c>
      <c r="J1452" s="17" t="s">
        <v>233</v>
      </c>
      <c r="K1452" s="19"/>
      <c r="L1452" s="19"/>
      <c r="M1452" s="19"/>
      <c r="N1452" s="19"/>
      <c r="O1452" s="17" t="n">
        <v>2</v>
      </c>
      <c r="P1452" s="18" t="s">
        <v>7204</v>
      </c>
      <c r="Q1452" s="18" t="s">
        <v>7205</v>
      </c>
      <c r="R1452" s="18" t="s">
        <v>7221</v>
      </c>
      <c r="S1452" s="17" t="s">
        <v>7215</v>
      </c>
      <c r="T1452" s="18" t="s">
        <v>7222</v>
      </c>
      <c r="U1452" s="19"/>
      <c r="V1452" s="18" t="s">
        <v>7223</v>
      </c>
      <c r="W1452" s="17" t="s">
        <v>240</v>
      </c>
      <c r="X1452" s="17" t="s">
        <v>7224</v>
      </c>
      <c r="Y1452" s="17" t="s">
        <v>242</v>
      </c>
      <c r="Z1452" s="19"/>
      <c r="AA1452" s="19"/>
      <c r="AB1452" s="17"/>
      <c r="AC1452" s="19"/>
    </row>
    <row r="1453" customFormat="false" ht="22.35" hidden="false" customHeight="false" outlineLevel="0" collapsed="false">
      <c r="A1453" s="10" t="s">
        <v>7225</v>
      </c>
      <c r="B1453" s="17" t="s">
        <v>153</v>
      </c>
      <c r="C1453" s="18" t="s">
        <v>154</v>
      </c>
      <c r="D1453" s="17" t="s">
        <v>19</v>
      </c>
      <c r="E1453" s="17" t="s">
        <v>75</v>
      </c>
      <c r="F1453" s="17" t="s">
        <v>7069</v>
      </c>
      <c r="G1453" s="17" t="s">
        <v>155</v>
      </c>
      <c r="H1453" s="17" t="s">
        <v>35</v>
      </c>
      <c r="I1453" s="17" t="s">
        <v>1786</v>
      </c>
      <c r="J1453" s="17" t="s">
        <v>233</v>
      </c>
      <c r="K1453" s="19"/>
      <c r="L1453" s="19"/>
      <c r="M1453" s="19"/>
      <c r="N1453" s="19"/>
      <c r="O1453" s="17" t="n">
        <v>2</v>
      </c>
      <c r="P1453" s="18" t="s">
        <v>7204</v>
      </c>
      <c r="Q1453" s="18" t="s">
        <v>7205</v>
      </c>
      <c r="R1453" s="18" t="s">
        <v>7226</v>
      </c>
      <c r="S1453" s="17" t="s">
        <v>7215</v>
      </c>
      <c r="T1453" s="18" t="s">
        <v>7227</v>
      </c>
      <c r="U1453" s="19"/>
      <c r="V1453" s="18" t="s">
        <v>7228</v>
      </c>
      <c r="W1453" s="17" t="s">
        <v>240</v>
      </c>
      <c r="X1453" s="17" t="s">
        <v>7229</v>
      </c>
      <c r="Y1453" s="17" t="s">
        <v>242</v>
      </c>
      <c r="Z1453" s="19"/>
      <c r="AA1453" s="19"/>
      <c r="AB1453" s="17"/>
      <c r="AC1453" s="19"/>
    </row>
    <row r="1454" customFormat="false" ht="22.35" hidden="false" customHeight="false" outlineLevel="0" collapsed="false">
      <c r="A1454" s="10" t="s">
        <v>7230</v>
      </c>
      <c r="B1454" s="17" t="s">
        <v>153</v>
      </c>
      <c r="C1454" s="18" t="s">
        <v>154</v>
      </c>
      <c r="D1454" s="17" t="s">
        <v>19</v>
      </c>
      <c r="E1454" s="17" t="s">
        <v>75</v>
      </c>
      <c r="F1454" s="17" t="s">
        <v>7069</v>
      </c>
      <c r="G1454" s="17" t="s">
        <v>155</v>
      </c>
      <c r="H1454" s="17" t="s">
        <v>35</v>
      </c>
      <c r="I1454" s="17" t="s">
        <v>1786</v>
      </c>
      <c r="J1454" s="17" t="s">
        <v>233</v>
      </c>
      <c r="K1454" s="19"/>
      <c r="L1454" s="19"/>
      <c r="M1454" s="19"/>
      <c r="N1454" s="19"/>
      <c r="O1454" s="17" t="n">
        <v>4</v>
      </c>
      <c r="P1454" s="18" t="s">
        <v>7204</v>
      </c>
      <c r="Q1454" s="18" t="s">
        <v>7231</v>
      </c>
      <c r="R1454" s="18" t="s">
        <v>7232</v>
      </c>
      <c r="S1454" s="17" t="s">
        <v>7220</v>
      </c>
      <c r="T1454" s="18" t="s">
        <v>7233</v>
      </c>
      <c r="U1454" s="19"/>
      <c r="V1454" s="18" t="s">
        <v>7234</v>
      </c>
      <c r="W1454" s="17" t="s">
        <v>240</v>
      </c>
      <c r="X1454" s="17" t="s">
        <v>7235</v>
      </c>
      <c r="Y1454" s="17" t="s">
        <v>242</v>
      </c>
      <c r="Z1454" s="19"/>
      <c r="AA1454" s="19"/>
      <c r="AB1454" s="17"/>
      <c r="AC1454" s="19"/>
    </row>
    <row r="1455" customFormat="false" ht="22.35" hidden="false" customHeight="false" outlineLevel="0" collapsed="false">
      <c r="A1455" s="10" t="s">
        <v>7236</v>
      </c>
      <c r="B1455" s="17" t="s">
        <v>153</v>
      </c>
      <c r="C1455" s="18" t="s">
        <v>154</v>
      </c>
      <c r="D1455" s="17" t="s">
        <v>19</v>
      </c>
      <c r="E1455" s="17" t="s">
        <v>75</v>
      </c>
      <c r="F1455" s="17" t="s">
        <v>7069</v>
      </c>
      <c r="G1455" s="17" t="s">
        <v>155</v>
      </c>
      <c r="H1455" s="17" t="s">
        <v>35</v>
      </c>
      <c r="I1455" s="17" t="s">
        <v>1786</v>
      </c>
      <c r="J1455" s="17" t="s">
        <v>233</v>
      </c>
      <c r="K1455" s="19"/>
      <c r="L1455" s="19"/>
      <c r="M1455" s="19"/>
      <c r="N1455" s="19"/>
      <c r="O1455" s="17" t="n">
        <v>4</v>
      </c>
      <c r="P1455" s="18" t="s">
        <v>7204</v>
      </c>
      <c r="Q1455" s="18" t="s">
        <v>7231</v>
      </c>
      <c r="R1455" s="18" t="s">
        <v>7237</v>
      </c>
      <c r="S1455" s="17" t="s">
        <v>7238</v>
      </c>
      <c r="T1455" s="18" t="s">
        <v>7239</v>
      </c>
      <c r="U1455" s="19"/>
      <c r="V1455" s="18" t="s">
        <v>7240</v>
      </c>
      <c r="W1455" s="17" t="s">
        <v>5511</v>
      </c>
      <c r="X1455" s="17" t="s">
        <v>7241</v>
      </c>
      <c r="Y1455" s="17" t="s">
        <v>242</v>
      </c>
      <c r="Z1455" s="19"/>
      <c r="AA1455" s="19"/>
      <c r="AB1455" s="17"/>
      <c r="AC1455" s="19"/>
    </row>
    <row r="1456" customFormat="false" ht="22.35" hidden="false" customHeight="false" outlineLevel="0" collapsed="false">
      <c r="A1456" s="10" t="s">
        <v>7242</v>
      </c>
      <c r="B1456" s="17" t="s">
        <v>153</v>
      </c>
      <c r="C1456" s="18" t="s">
        <v>154</v>
      </c>
      <c r="D1456" s="17" t="s">
        <v>19</v>
      </c>
      <c r="E1456" s="17" t="s">
        <v>75</v>
      </c>
      <c r="F1456" s="17" t="s">
        <v>7069</v>
      </c>
      <c r="G1456" s="17" t="s">
        <v>155</v>
      </c>
      <c r="H1456" s="17" t="s">
        <v>35</v>
      </c>
      <c r="I1456" s="17" t="s">
        <v>1786</v>
      </c>
      <c r="J1456" s="17" t="s">
        <v>233</v>
      </c>
      <c r="K1456" s="19"/>
      <c r="L1456" s="19"/>
      <c r="M1456" s="19"/>
      <c r="N1456" s="19"/>
      <c r="O1456" s="17" t="n">
        <v>5</v>
      </c>
      <c r="P1456" s="18" t="s">
        <v>7204</v>
      </c>
      <c r="Q1456" s="18" t="s">
        <v>7231</v>
      </c>
      <c r="R1456" s="18" t="s">
        <v>7243</v>
      </c>
      <c r="S1456" s="17" t="s">
        <v>7244</v>
      </c>
      <c r="T1456" s="18" t="s">
        <v>7245</v>
      </c>
      <c r="U1456" s="19"/>
      <c r="V1456" s="18" t="s">
        <v>7246</v>
      </c>
      <c r="W1456" s="17" t="s">
        <v>5511</v>
      </c>
      <c r="X1456" s="17" t="s">
        <v>7247</v>
      </c>
      <c r="Y1456" s="17" t="s">
        <v>242</v>
      </c>
      <c r="Z1456" s="19"/>
      <c r="AA1456" s="19"/>
      <c r="AB1456" s="17"/>
      <c r="AC1456" s="19"/>
    </row>
    <row r="1457" customFormat="false" ht="22.35" hidden="false" customHeight="false" outlineLevel="0" collapsed="false">
      <c r="A1457" s="10" t="s">
        <v>7248</v>
      </c>
      <c r="B1457" s="17" t="s">
        <v>153</v>
      </c>
      <c r="C1457" s="18" t="s">
        <v>154</v>
      </c>
      <c r="D1457" s="17" t="s">
        <v>19</v>
      </c>
      <c r="E1457" s="17" t="s">
        <v>75</v>
      </c>
      <c r="F1457" s="17" t="s">
        <v>7069</v>
      </c>
      <c r="G1457" s="17" t="s">
        <v>155</v>
      </c>
      <c r="H1457" s="17" t="s">
        <v>35</v>
      </c>
      <c r="I1457" s="17" t="s">
        <v>1028</v>
      </c>
      <c r="J1457" s="17" t="s">
        <v>233</v>
      </c>
      <c r="K1457" s="19"/>
      <c r="L1457" s="19"/>
      <c r="M1457" s="19"/>
      <c r="N1457" s="19"/>
      <c r="O1457" s="17" t="n">
        <v>4</v>
      </c>
      <c r="P1457" s="18" t="s">
        <v>7204</v>
      </c>
      <c r="Q1457" s="18" t="s">
        <v>7231</v>
      </c>
      <c r="R1457" s="18" t="s">
        <v>7249</v>
      </c>
      <c r="S1457" s="17" t="s">
        <v>7236</v>
      </c>
      <c r="T1457" s="18" t="s">
        <v>7250</v>
      </c>
      <c r="U1457" s="19"/>
      <c r="V1457" s="18" t="s">
        <v>7251</v>
      </c>
      <c r="W1457" s="17" t="s">
        <v>240</v>
      </c>
      <c r="X1457" s="17" t="s">
        <v>7252</v>
      </c>
      <c r="Y1457" s="17" t="s">
        <v>242</v>
      </c>
      <c r="Z1457" s="19"/>
      <c r="AA1457" s="19"/>
      <c r="AB1457" s="17"/>
      <c r="AC1457" s="19"/>
    </row>
    <row r="1458" customFormat="false" ht="22.35" hidden="false" customHeight="false" outlineLevel="0" collapsed="false">
      <c r="A1458" s="10" t="s">
        <v>7253</v>
      </c>
      <c r="B1458" s="17" t="s">
        <v>153</v>
      </c>
      <c r="C1458" s="18" t="s">
        <v>154</v>
      </c>
      <c r="D1458" s="17" t="s">
        <v>19</v>
      </c>
      <c r="E1458" s="17" t="s">
        <v>75</v>
      </c>
      <c r="F1458" s="17" t="s">
        <v>7069</v>
      </c>
      <c r="G1458" s="17" t="s">
        <v>155</v>
      </c>
      <c r="H1458" s="17" t="s">
        <v>35</v>
      </c>
      <c r="I1458" s="17" t="s">
        <v>1028</v>
      </c>
      <c r="J1458" s="17" t="s">
        <v>233</v>
      </c>
      <c r="K1458" s="19"/>
      <c r="L1458" s="19"/>
      <c r="M1458" s="19"/>
      <c r="N1458" s="19"/>
      <c r="O1458" s="17" t="n">
        <v>4</v>
      </c>
      <c r="P1458" s="18" t="s">
        <v>7204</v>
      </c>
      <c r="Q1458" s="18" t="s">
        <v>7231</v>
      </c>
      <c r="R1458" s="18" t="s">
        <v>7254</v>
      </c>
      <c r="S1458" s="17" t="s">
        <v>7248</v>
      </c>
      <c r="T1458" s="18" t="s">
        <v>7255</v>
      </c>
      <c r="U1458" s="19"/>
      <c r="V1458" s="18" t="s">
        <v>7256</v>
      </c>
      <c r="W1458" s="17" t="s">
        <v>240</v>
      </c>
      <c r="X1458" s="17" t="s">
        <v>7235</v>
      </c>
      <c r="Y1458" s="17" t="s">
        <v>242</v>
      </c>
      <c r="Z1458" s="19"/>
      <c r="AA1458" s="19"/>
      <c r="AB1458" s="17"/>
      <c r="AC1458" s="19"/>
    </row>
    <row r="1459" customFormat="false" ht="15" hidden="false" customHeight="false" outlineLevel="0" collapsed="false">
      <c r="A1459" s="10" t="s">
        <v>7257</v>
      </c>
      <c r="B1459" s="17" t="s">
        <v>153</v>
      </c>
      <c r="C1459" s="18" t="s">
        <v>154</v>
      </c>
      <c r="D1459" s="17" t="s">
        <v>19</v>
      </c>
      <c r="E1459" s="17" t="s">
        <v>75</v>
      </c>
      <c r="F1459" s="17" t="s">
        <v>7069</v>
      </c>
      <c r="G1459" s="17" t="s">
        <v>155</v>
      </c>
      <c r="H1459" s="17" t="s">
        <v>35</v>
      </c>
      <c r="I1459" s="17" t="s">
        <v>283</v>
      </c>
      <c r="J1459" s="17" t="s">
        <v>233</v>
      </c>
      <c r="K1459" s="19"/>
      <c r="L1459" s="19"/>
      <c r="M1459" s="19"/>
      <c r="N1459" s="19"/>
      <c r="O1459" s="17" t="n">
        <v>4</v>
      </c>
      <c r="P1459" s="18" t="s">
        <v>7204</v>
      </c>
      <c r="Q1459" s="18" t="s">
        <v>7231</v>
      </c>
      <c r="R1459" s="18" t="s">
        <v>7258</v>
      </c>
      <c r="S1459" s="17" t="s">
        <v>7259</v>
      </c>
      <c r="T1459" s="18" t="s">
        <v>6037</v>
      </c>
      <c r="U1459" s="19"/>
      <c r="V1459" s="18" t="s">
        <v>6038</v>
      </c>
      <c r="W1459" s="17" t="s">
        <v>240</v>
      </c>
      <c r="X1459" s="17" t="s">
        <v>6039</v>
      </c>
      <c r="Y1459" s="17" t="s">
        <v>242</v>
      </c>
      <c r="Z1459" s="19"/>
      <c r="AA1459" s="19"/>
      <c r="AB1459" s="17"/>
      <c r="AC1459" s="19"/>
    </row>
    <row r="1460" customFormat="false" ht="22.35" hidden="false" customHeight="false" outlineLevel="0" collapsed="false">
      <c r="A1460" s="10" t="s">
        <v>7260</v>
      </c>
      <c r="B1460" s="17" t="s">
        <v>159</v>
      </c>
      <c r="C1460" s="18" t="s">
        <v>160</v>
      </c>
      <c r="D1460" s="17" t="s">
        <v>19</v>
      </c>
      <c r="E1460" s="17" t="s">
        <v>229</v>
      </c>
      <c r="F1460" s="17" t="s">
        <v>7069</v>
      </c>
      <c r="G1460" s="17" t="s">
        <v>161</v>
      </c>
      <c r="H1460" s="17" t="s">
        <v>35</v>
      </c>
      <c r="I1460" s="17" t="s">
        <v>1028</v>
      </c>
      <c r="J1460" s="17" t="s">
        <v>233</v>
      </c>
      <c r="K1460" s="19"/>
      <c r="L1460" s="19"/>
      <c r="M1460" s="19"/>
      <c r="N1460" s="19"/>
      <c r="O1460" s="17" t="n">
        <v>0</v>
      </c>
      <c r="P1460" s="18" t="s">
        <v>7261</v>
      </c>
      <c r="Q1460" s="18" t="s">
        <v>7262</v>
      </c>
      <c r="R1460" s="18" t="s">
        <v>7263</v>
      </c>
      <c r="S1460" s="17" t="s">
        <v>237</v>
      </c>
      <c r="T1460" s="18" t="s">
        <v>7264</v>
      </c>
      <c r="U1460" s="19"/>
      <c r="V1460" s="18" t="s">
        <v>7265</v>
      </c>
      <c r="W1460" s="17" t="s">
        <v>240</v>
      </c>
      <c r="X1460" s="17" t="s">
        <v>7266</v>
      </c>
      <c r="Y1460" s="17" t="s">
        <v>242</v>
      </c>
      <c r="Z1460" s="19"/>
      <c r="AA1460" s="19"/>
      <c r="AB1460" s="17"/>
      <c r="AC1460" s="19"/>
    </row>
    <row r="1461" customFormat="false" ht="22.35" hidden="false" customHeight="false" outlineLevel="0" collapsed="false">
      <c r="A1461" s="10" t="s">
        <v>7267</v>
      </c>
      <c r="B1461" s="17" t="s">
        <v>159</v>
      </c>
      <c r="C1461" s="18" t="s">
        <v>160</v>
      </c>
      <c r="D1461" s="17" t="s">
        <v>19</v>
      </c>
      <c r="E1461" s="17" t="s">
        <v>75</v>
      </c>
      <c r="F1461" s="17" t="s">
        <v>7069</v>
      </c>
      <c r="G1461" s="17" t="s">
        <v>161</v>
      </c>
      <c r="H1461" s="17" t="s">
        <v>35</v>
      </c>
      <c r="I1461" s="17" t="s">
        <v>283</v>
      </c>
      <c r="J1461" s="17" t="s">
        <v>233</v>
      </c>
      <c r="K1461" s="19"/>
      <c r="L1461" s="19"/>
      <c r="M1461" s="19"/>
      <c r="N1461" s="19"/>
      <c r="O1461" s="17" t="n">
        <v>2</v>
      </c>
      <c r="P1461" s="18" t="s">
        <v>7261</v>
      </c>
      <c r="Q1461" s="18" t="s">
        <v>7262</v>
      </c>
      <c r="R1461" s="18" t="s">
        <v>7268</v>
      </c>
      <c r="S1461" s="17" t="s">
        <v>7260</v>
      </c>
      <c r="T1461" s="18" t="s">
        <v>7269</v>
      </c>
      <c r="U1461" s="19"/>
      <c r="V1461" s="18" t="s">
        <v>7270</v>
      </c>
      <c r="W1461" s="17" t="s">
        <v>240</v>
      </c>
      <c r="X1461" s="17" t="s">
        <v>7271</v>
      </c>
      <c r="Y1461" s="17" t="s">
        <v>242</v>
      </c>
      <c r="Z1461" s="19"/>
      <c r="AA1461" s="19"/>
      <c r="AB1461" s="17"/>
      <c r="AC1461" s="19"/>
    </row>
    <row r="1462" customFormat="false" ht="22.35" hidden="false" customHeight="false" outlineLevel="0" collapsed="false">
      <c r="A1462" s="10" t="s">
        <v>7272</v>
      </c>
      <c r="B1462" s="17" t="s">
        <v>159</v>
      </c>
      <c r="C1462" s="18" t="s">
        <v>160</v>
      </c>
      <c r="D1462" s="17" t="s">
        <v>19</v>
      </c>
      <c r="E1462" s="17" t="s">
        <v>229</v>
      </c>
      <c r="F1462" s="17" t="s">
        <v>7069</v>
      </c>
      <c r="G1462" s="17" t="s">
        <v>161</v>
      </c>
      <c r="H1462" s="17" t="s">
        <v>35</v>
      </c>
      <c r="I1462" s="17" t="s">
        <v>289</v>
      </c>
      <c r="J1462" s="17" t="s">
        <v>233</v>
      </c>
      <c r="K1462" s="19"/>
      <c r="L1462" s="19"/>
      <c r="M1462" s="19"/>
      <c r="N1462" s="19"/>
      <c r="O1462" s="17" t="n">
        <v>3</v>
      </c>
      <c r="P1462" s="18" t="s">
        <v>7261</v>
      </c>
      <c r="Q1462" s="18" t="s">
        <v>7262</v>
      </c>
      <c r="R1462" s="18" t="s">
        <v>7273</v>
      </c>
      <c r="S1462" s="17" t="s">
        <v>7267</v>
      </c>
      <c r="T1462" s="18" t="s">
        <v>7274</v>
      </c>
      <c r="U1462" s="19"/>
      <c r="V1462" s="18" t="s">
        <v>7275</v>
      </c>
      <c r="W1462" s="17" t="s">
        <v>383</v>
      </c>
      <c r="X1462" s="17" t="s">
        <v>7276</v>
      </c>
      <c r="Y1462" s="17" t="s">
        <v>242</v>
      </c>
      <c r="Z1462" s="19"/>
      <c r="AA1462" s="19"/>
      <c r="AB1462" s="17"/>
      <c r="AC1462" s="19"/>
    </row>
    <row r="1463" customFormat="false" ht="22.35" hidden="false" customHeight="false" outlineLevel="0" collapsed="false">
      <c r="A1463" s="10" t="s">
        <v>7277</v>
      </c>
      <c r="B1463" s="17" t="s">
        <v>159</v>
      </c>
      <c r="C1463" s="18" t="s">
        <v>160</v>
      </c>
      <c r="D1463" s="17" t="s">
        <v>19</v>
      </c>
      <c r="E1463" s="17" t="s">
        <v>75</v>
      </c>
      <c r="F1463" s="17" t="s">
        <v>7069</v>
      </c>
      <c r="G1463" s="17" t="s">
        <v>161</v>
      </c>
      <c r="H1463" s="17" t="s">
        <v>35</v>
      </c>
      <c r="I1463" s="17" t="s">
        <v>1028</v>
      </c>
      <c r="J1463" s="17" t="s">
        <v>233</v>
      </c>
      <c r="K1463" s="19"/>
      <c r="L1463" s="19"/>
      <c r="M1463" s="19"/>
      <c r="N1463" s="19"/>
      <c r="O1463" s="17" t="n">
        <v>2</v>
      </c>
      <c r="P1463" s="18" t="s">
        <v>7261</v>
      </c>
      <c r="Q1463" s="18" t="s">
        <v>7262</v>
      </c>
      <c r="R1463" s="18" t="s">
        <v>7278</v>
      </c>
      <c r="S1463" s="17" t="s">
        <v>7260</v>
      </c>
      <c r="T1463" s="18" t="s">
        <v>7279</v>
      </c>
      <c r="U1463" s="19"/>
      <c r="V1463" s="18" t="s">
        <v>7280</v>
      </c>
      <c r="W1463" s="17" t="s">
        <v>240</v>
      </c>
      <c r="X1463" s="17" t="s">
        <v>7281</v>
      </c>
      <c r="Y1463" s="17" t="s">
        <v>242</v>
      </c>
      <c r="Z1463" s="19"/>
      <c r="AA1463" s="19"/>
      <c r="AB1463" s="17"/>
      <c r="AC1463" s="19"/>
    </row>
    <row r="1464" customFormat="false" ht="22.35" hidden="false" customHeight="false" outlineLevel="0" collapsed="false">
      <c r="A1464" s="10" t="s">
        <v>7282</v>
      </c>
      <c r="B1464" s="17" t="s">
        <v>159</v>
      </c>
      <c r="C1464" s="18" t="s">
        <v>160</v>
      </c>
      <c r="D1464" s="17" t="s">
        <v>19</v>
      </c>
      <c r="E1464" s="17" t="s">
        <v>75</v>
      </c>
      <c r="F1464" s="17" t="s">
        <v>7069</v>
      </c>
      <c r="G1464" s="17" t="s">
        <v>161</v>
      </c>
      <c r="H1464" s="17" t="s">
        <v>35</v>
      </c>
      <c r="I1464" s="17" t="s">
        <v>283</v>
      </c>
      <c r="J1464" s="17" t="s">
        <v>233</v>
      </c>
      <c r="K1464" s="19"/>
      <c r="L1464" s="19"/>
      <c r="M1464" s="19"/>
      <c r="N1464" s="19"/>
      <c r="O1464" s="17" t="n">
        <v>5</v>
      </c>
      <c r="P1464" s="18" t="s">
        <v>7261</v>
      </c>
      <c r="Q1464" s="18" t="s">
        <v>7283</v>
      </c>
      <c r="R1464" s="18" t="s">
        <v>7284</v>
      </c>
      <c r="S1464" s="17" t="s">
        <v>7267</v>
      </c>
      <c r="T1464" s="18" t="s">
        <v>7285</v>
      </c>
      <c r="U1464" s="19"/>
      <c r="V1464" s="18" t="s">
        <v>7286</v>
      </c>
      <c r="W1464" s="17" t="s">
        <v>1217</v>
      </c>
      <c r="X1464" s="17" t="s">
        <v>7287</v>
      </c>
      <c r="Y1464" s="17" t="s">
        <v>242</v>
      </c>
      <c r="Z1464" s="19"/>
      <c r="AA1464" s="19"/>
      <c r="AB1464" s="17"/>
      <c r="AC1464" s="19"/>
    </row>
    <row r="1465" customFormat="false" ht="22.35" hidden="false" customHeight="false" outlineLevel="0" collapsed="false">
      <c r="A1465" s="10" t="s">
        <v>7288</v>
      </c>
      <c r="B1465" s="17" t="s">
        <v>159</v>
      </c>
      <c r="C1465" s="18" t="s">
        <v>160</v>
      </c>
      <c r="D1465" s="17" t="s">
        <v>19</v>
      </c>
      <c r="E1465" s="17" t="s">
        <v>75</v>
      </c>
      <c r="F1465" s="17" t="s">
        <v>7069</v>
      </c>
      <c r="G1465" s="17" t="s">
        <v>161</v>
      </c>
      <c r="H1465" s="17" t="s">
        <v>35</v>
      </c>
      <c r="I1465" s="17" t="s">
        <v>283</v>
      </c>
      <c r="J1465" s="17" t="s">
        <v>233</v>
      </c>
      <c r="K1465" s="19"/>
      <c r="L1465" s="19"/>
      <c r="M1465" s="19"/>
      <c r="N1465" s="19"/>
      <c r="O1465" s="17" t="n">
        <v>5</v>
      </c>
      <c r="P1465" s="18" t="s">
        <v>7261</v>
      </c>
      <c r="Q1465" s="18" t="s">
        <v>7283</v>
      </c>
      <c r="R1465" s="18" t="s">
        <v>7289</v>
      </c>
      <c r="S1465" s="17" t="s">
        <v>7290</v>
      </c>
      <c r="T1465" s="18" t="s">
        <v>7285</v>
      </c>
      <c r="U1465" s="19"/>
      <c r="V1465" s="18" t="s">
        <v>7291</v>
      </c>
      <c r="W1465" s="17" t="s">
        <v>383</v>
      </c>
      <c r="X1465" s="17" t="s">
        <v>7292</v>
      </c>
      <c r="Y1465" s="17" t="s">
        <v>242</v>
      </c>
      <c r="Z1465" s="19"/>
      <c r="AA1465" s="19"/>
      <c r="AB1465" s="17"/>
      <c r="AC1465" s="19"/>
    </row>
    <row r="1466" customFormat="false" ht="22.35" hidden="false" customHeight="false" outlineLevel="0" collapsed="false">
      <c r="A1466" s="10" t="s">
        <v>7293</v>
      </c>
      <c r="B1466" s="17" t="s">
        <v>159</v>
      </c>
      <c r="C1466" s="18" t="s">
        <v>160</v>
      </c>
      <c r="D1466" s="17" t="s">
        <v>19</v>
      </c>
      <c r="E1466" s="17" t="s">
        <v>75</v>
      </c>
      <c r="F1466" s="17" t="s">
        <v>7069</v>
      </c>
      <c r="G1466" s="17" t="s">
        <v>161</v>
      </c>
      <c r="H1466" s="17" t="s">
        <v>35</v>
      </c>
      <c r="I1466" s="17" t="s">
        <v>283</v>
      </c>
      <c r="J1466" s="17" t="s">
        <v>233</v>
      </c>
      <c r="K1466" s="19"/>
      <c r="L1466" s="19"/>
      <c r="M1466" s="19"/>
      <c r="N1466" s="19"/>
      <c r="O1466" s="17" t="n">
        <v>5</v>
      </c>
      <c r="P1466" s="18" t="s">
        <v>7261</v>
      </c>
      <c r="Q1466" s="18" t="s">
        <v>7283</v>
      </c>
      <c r="R1466" s="18" t="s">
        <v>7294</v>
      </c>
      <c r="S1466" s="17" t="s">
        <v>7295</v>
      </c>
      <c r="T1466" s="18" t="s">
        <v>7296</v>
      </c>
      <c r="U1466" s="19"/>
      <c r="V1466" s="18" t="s">
        <v>7297</v>
      </c>
      <c r="W1466" s="17" t="s">
        <v>240</v>
      </c>
      <c r="X1466" s="17" t="s">
        <v>7298</v>
      </c>
      <c r="Y1466" s="17" t="s">
        <v>242</v>
      </c>
      <c r="Z1466" s="19"/>
      <c r="AA1466" s="19"/>
      <c r="AB1466" s="17"/>
      <c r="AC1466" s="19"/>
    </row>
    <row r="1467" customFormat="false" ht="22.35" hidden="false" customHeight="false" outlineLevel="0" collapsed="false">
      <c r="A1467" s="10" t="s">
        <v>7299</v>
      </c>
      <c r="B1467" s="17" t="s">
        <v>159</v>
      </c>
      <c r="C1467" s="18" t="s">
        <v>160</v>
      </c>
      <c r="D1467" s="17" t="s">
        <v>19</v>
      </c>
      <c r="E1467" s="17" t="s">
        <v>75</v>
      </c>
      <c r="F1467" s="17" t="s">
        <v>7069</v>
      </c>
      <c r="G1467" s="17" t="s">
        <v>161</v>
      </c>
      <c r="H1467" s="17" t="s">
        <v>35</v>
      </c>
      <c r="I1467" s="17" t="s">
        <v>1028</v>
      </c>
      <c r="J1467" s="17" t="s">
        <v>233</v>
      </c>
      <c r="K1467" s="19"/>
      <c r="L1467" s="19"/>
      <c r="M1467" s="19"/>
      <c r="N1467" s="19"/>
      <c r="O1467" s="17" t="n">
        <v>5</v>
      </c>
      <c r="P1467" s="18" t="s">
        <v>7261</v>
      </c>
      <c r="Q1467" s="18" t="s">
        <v>7283</v>
      </c>
      <c r="R1467" s="18" t="s">
        <v>7300</v>
      </c>
      <c r="S1467" s="17" t="s">
        <v>7301</v>
      </c>
      <c r="T1467" s="18" t="s">
        <v>7302</v>
      </c>
      <c r="U1467" s="19"/>
      <c r="V1467" s="18" t="s">
        <v>7303</v>
      </c>
      <c r="W1467" s="17" t="s">
        <v>240</v>
      </c>
      <c r="X1467" s="17" t="s">
        <v>7304</v>
      </c>
      <c r="Y1467" s="17" t="s">
        <v>242</v>
      </c>
      <c r="Z1467" s="19"/>
      <c r="AA1467" s="19"/>
      <c r="AB1467" s="17"/>
      <c r="AC1467" s="19"/>
    </row>
    <row r="1468" customFormat="false" ht="22.35" hidden="false" customHeight="false" outlineLevel="0" collapsed="false">
      <c r="A1468" s="10" t="s">
        <v>7305</v>
      </c>
      <c r="B1468" s="17" t="s">
        <v>159</v>
      </c>
      <c r="C1468" s="18" t="s">
        <v>160</v>
      </c>
      <c r="D1468" s="17" t="s">
        <v>19</v>
      </c>
      <c r="E1468" s="17" t="s">
        <v>75</v>
      </c>
      <c r="F1468" s="17" t="s">
        <v>7069</v>
      </c>
      <c r="G1468" s="17" t="s">
        <v>161</v>
      </c>
      <c r="H1468" s="17" t="s">
        <v>35</v>
      </c>
      <c r="I1468" s="17" t="s">
        <v>1028</v>
      </c>
      <c r="J1468" s="17" t="s">
        <v>233</v>
      </c>
      <c r="K1468" s="19"/>
      <c r="L1468" s="19"/>
      <c r="M1468" s="19"/>
      <c r="N1468" s="19"/>
      <c r="O1468" s="17" t="n">
        <v>5</v>
      </c>
      <c r="P1468" s="18" t="s">
        <v>7261</v>
      </c>
      <c r="Q1468" s="18" t="s">
        <v>7283</v>
      </c>
      <c r="R1468" s="18" t="s">
        <v>7306</v>
      </c>
      <c r="S1468" s="17" t="s">
        <v>7299</v>
      </c>
      <c r="T1468" s="18" t="s">
        <v>7307</v>
      </c>
      <c r="U1468" s="19"/>
      <c r="V1468" s="18" t="s">
        <v>7308</v>
      </c>
      <c r="W1468" s="17" t="s">
        <v>240</v>
      </c>
      <c r="X1468" s="17" t="s">
        <v>7281</v>
      </c>
      <c r="Y1468" s="17" t="s">
        <v>242</v>
      </c>
      <c r="Z1468" s="19"/>
      <c r="AA1468" s="19"/>
      <c r="AB1468" s="17"/>
      <c r="AC1468" s="19"/>
    </row>
    <row r="1469" customFormat="false" ht="15" hidden="false" customHeight="false" outlineLevel="0" collapsed="false">
      <c r="A1469" s="10" t="s">
        <v>7309</v>
      </c>
      <c r="B1469" s="17" t="s">
        <v>159</v>
      </c>
      <c r="C1469" s="18" t="s">
        <v>160</v>
      </c>
      <c r="D1469" s="17" t="s">
        <v>19</v>
      </c>
      <c r="E1469" s="17" t="s">
        <v>75</v>
      </c>
      <c r="F1469" s="17" t="s">
        <v>7069</v>
      </c>
      <c r="G1469" s="17" t="s">
        <v>161</v>
      </c>
      <c r="H1469" s="17" t="s">
        <v>35</v>
      </c>
      <c r="I1469" s="17" t="s">
        <v>283</v>
      </c>
      <c r="J1469" s="17" t="s">
        <v>233</v>
      </c>
      <c r="K1469" s="19"/>
      <c r="L1469" s="19"/>
      <c r="M1469" s="19"/>
      <c r="N1469" s="19"/>
      <c r="O1469" s="17" t="n">
        <v>5</v>
      </c>
      <c r="P1469" s="18" t="s">
        <v>7261</v>
      </c>
      <c r="Q1469" s="18" t="s">
        <v>7283</v>
      </c>
      <c r="R1469" s="18" t="s">
        <v>7310</v>
      </c>
      <c r="S1469" s="17" t="s">
        <v>7299</v>
      </c>
      <c r="T1469" s="18" t="s">
        <v>6037</v>
      </c>
      <c r="U1469" s="19"/>
      <c r="V1469" s="18" t="s">
        <v>6038</v>
      </c>
      <c r="W1469" s="17" t="s">
        <v>240</v>
      </c>
      <c r="X1469" s="17" t="s">
        <v>6039</v>
      </c>
      <c r="Y1469" s="17" t="s">
        <v>242</v>
      </c>
      <c r="Z1469" s="19"/>
      <c r="AA1469" s="19"/>
      <c r="AB1469" s="17"/>
      <c r="AC1469" s="19"/>
    </row>
    <row r="1470" customFormat="false" ht="22.35" hidden="false" customHeight="false" outlineLevel="0" collapsed="false">
      <c r="A1470" s="10" t="s">
        <v>7311</v>
      </c>
      <c r="B1470" s="17" t="s">
        <v>162</v>
      </c>
      <c r="C1470" s="18" t="s">
        <v>163</v>
      </c>
      <c r="D1470" s="17" t="s">
        <v>19</v>
      </c>
      <c r="E1470" s="17" t="s">
        <v>75</v>
      </c>
      <c r="F1470" s="17" t="s">
        <v>7069</v>
      </c>
      <c r="G1470" s="17" t="s">
        <v>164</v>
      </c>
      <c r="H1470" s="17" t="s">
        <v>35</v>
      </c>
      <c r="I1470" s="17" t="s">
        <v>289</v>
      </c>
      <c r="J1470" s="17" t="s">
        <v>233</v>
      </c>
      <c r="K1470" s="19"/>
      <c r="L1470" s="19"/>
      <c r="M1470" s="19"/>
      <c r="N1470" s="19"/>
      <c r="O1470" s="17" t="n">
        <v>1</v>
      </c>
      <c r="P1470" s="18" t="s">
        <v>7312</v>
      </c>
      <c r="Q1470" s="18" t="s">
        <v>7313</v>
      </c>
      <c r="R1470" s="18" t="s">
        <v>7314</v>
      </c>
      <c r="S1470" s="17" t="s">
        <v>237</v>
      </c>
      <c r="T1470" s="18" t="s">
        <v>7315</v>
      </c>
      <c r="U1470" s="19"/>
      <c r="V1470" s="18" t="s">
        <v>7316</v>
      </c>
      <c r="W1470" s="17" t="s">
        <v>240</v>
      </c>
      <c r="X1470" s="17" t="s">
        <v>7317</v>
      </c>
      <c r="Y1470" s="17" t="s">
        <v>242</v>
      </c>
      <c r="Z1470" s="19"/>
      <c r="AA1470" s="19"/>
      <c r="AB1470" s="17"/>
      <c r="AC1470" s="19"/>
    </row>
    <row r="1471" customFormat="false" ht="22.35" hidden="false" customHeight="false" outlineLevel="0" collapsed="false">
      <c r="A1471" s="10" t="s">
        <v>7318</v>
      </c>
      <c r="B1471" s="17" t="s">
        <v>162</v>
      </c>
      <c r="C1471" s="18" t="s">
        <v>163</v>
      </c>
      <c r="D1471" s="17" t="s">
        <v>19</v>
      </c>
      <c r="E1471" s="17" t="s">
        <v>75</v>
      </c>
      <c r="F1471" s="17" t="s">
        <v>7069</v>
      </c>
      <c r="G1471" s="17" t="s">
        <v>164</v>
      </c>
      <c r="H1471" s="17" t="s">
        <v>35</v>
      </c>
      <c r="I1471" s="17" t="s">
        <v>369</v>
      </c>
      <c r="J1471" s="17" t="s">
        <v>233</v>
      </c>
      <c r="K1471" s="19"/>
      <c r="L1471" s="19"/>
      <c r="M1471" s="19"/>
      <c r="N1471" s="19"/>
      <c r="O1471" s="17" t="n">
        <v>1</v>
      </c>
      <c r="P1471" s="18" t="s">
        <v>7312</v>
      </c>
      <c r="Q1471" s="18" t="s">
        <v>7313</v>
      </c>
      <c r="R1471" s="18" t="s">
        <v>7319</v>
      </c>
      <c r="S1471" s="17" t="s">
        <v>7311</v>
      </c>
      <c r="T1471" s="18" t="s">
        <v>7320</v>
      </c>
      <c r="U1471" s="19"/>
      <c r="V1471" s="18" t="s">
        <v>7321</v>
      </c>
      <c r="W1471" s="17" t="s">
        <v>240</v>
      </c>
      <c r="X1471" s="17" t="s">
        <v>7322</v>
      </c>
      <c r="Y1471" s="17" t="s">
        <v>242</v>
      </c>
      <c r="Z1471" s="19"/>
      <c r="AA1471" s="19"/>
      <c r="AB1471" s="17"/>
      <c r="AC1471" s="19"/>
    </row>
    <row r="1472" customFormat="false" ht="22.35" hidden="false" customHeight="false" outlineLevel="0" collapsed="false">
      <c r="A1472" s="10" t="s">
        <v>7323</v>
      </c>
      <c r="B1472" s="17" t="s">
        <v>162</v>
      </c>
      <c r="C1472" s="18" t="s">
        <v>163</v>
      </c>
      <c r="D1472" s="17" t="s">
        <v>19</v>
      </c>
      <c r="E1472" s="17" t="s">
        <v>75</v>
      </c>
      <c r="F1472" s="17" t="s">
        <v>7069</v>
      </c>
      <c r="G1472" s="17" t="s">
        <v>164</v>
      </c>
      <c r="H1472" s="17" t="s">
        <v>35</v>
      </c>
      <c r="I1472" s="17" t="s">
        <v>1028</v>
      </c>
      <c r="J1472" s="17" t="s">
        <v>233</v>
      </c>
      <c r="K1472" s="19"/>
      <c r="L1472" s="19"/>
      <c r="M1472" s="19"/>
      <c r="N1472" s="19"/>
      <c r="O1472" s="17" t="n">
        <v>2</v>
      </c>
      <c r="P1472" s="18" t="s">
        <v>7312</v>
      </c>
      <c r="Q1472" s="18" t="s">
        <v>7313</v>
      </c>
      <c r="R1472" s="18" t="s">
        <v>7324</v>
      </c>
      <c r="S1472" s="17" t="s">
        <v>7318</v>
      </c>
      <c r="T1472" s="18" t="s">
        <v>7325</v>
      </c>
      <c r="U1472" s="19"/>
      <c r="V1472" s="18" t="s">
        <v>7326</v>
      </c>
      <c r="W1472" s="17" t="s">
        <v>240</v>
      </c>
      <c r="X1472" s="17" t="s">
        <v>7327</v>
      </c>
      <c r="Y1472" s="17" t="s">
        <v>242</v>
      </c>
      <c r="Z1472" s="19"/>
      <c r="AA1472" s="19"/>
      <c r="AB1472" s="17"/>
      <c r="AC1472" s="19"/>
    </row>
    <row r="1473" customFormat="false" ht="22.35" hidden="false" customHeight="false" outlineLevel="0" collapsed="false">
      <c r="A1473" s="10" t="s">
        <v>7328</v>
      </c>
      <c r="B1473" s="17" t="s">
        <v>162</v>
      </c>
      <c r="C1473" s="18" t="s">
        <v>163</v>
      </c>
      <c r="D1473" s="17" t="s">
        <v>19</v>
      </c>
      <c r="E1473" s="17" t="s">
        <v>75</v>
      </c>
      <c r="F1473" s="17" t="s">
        <v>7069</v>
      </c>
      <c r="G1473" s="17" t="s">
        <v>164</v>
      </c>
      <c r="H1473" s="17" t="s">
        <v>35</v>
      </c>
      <c r="I1473" s="17" t="s">
        <v>1028</v>
      </c>
      <c r="J1473" s="17" t="s">
        <v>233</v>
      </c>
      <c r="K1473" s="19"/>
      <c r="L1473" s="19"/>
      <c r="M1473" s="19"/>
      <c r="N1473" s="19"/>
      <c r="O1473" s="17" t="n">
        <v>5</v>
      </c>
      <c r="P1473" s="18" t="s">
        <v>7312</v>
      </c>
      <c r="Q1473" s="18" t="s">
        <v>7329</v>
      </c>
      <c r="R1473" s="18" t="s">
        <v>7330</v>
      </c>
      <c r="S1473" s="17" t="s">
        <v>7331</v>
      </c>
      <c r="T1473" s="18" t="s">
        <v>7332</v>
      </c>
      <c r="U1473" s="19"/>
      <c r="V1473" s="18" t="s">
        <v>7333</v>
      </c>
      <c r="W1473" s="17" t="s">
        <v>240</v>
      </c>
      <c r="X1473" s="17" t="s">
        <v>7334</v>
      </c>
      <c r="Y1473" s="17" t="s">
        <v>242</v>
      </c>
      <c r="Z1473" s="19"/>
      <c r="AA1473" s="19"/>
      <c r="AB1473" s="17"/>
      <c r="AC1473" s="19"/>
    </row>
    <row r="1474" customFormat="false" ht="22.35" hidden="false" customHeight="false" outlineLevel="0" collapsed="false">
      <c r="A1474" s="10" t="s">
        <v>7335</v>
      </c>
      <c r="B1474" s="17" t="s">
        <v>162</v>
      </c>
      <c r="C1474" s="18" t="s">
        <v>163</v>
      </c>
      <c r="D1474" s="17" t="s">
        <v>19</v>
      </c>
      <c r="E1474" s="17" t="s">
        <v>75</v>
      </c>
      <c r="F1474" s="17" t="s">
        <v>7069</v>
      </c>
      <c r="G1474" s="17" t="s">
        <v>164</v>
      </c>
      <c r="H1474" s="17" t="s">
        <v>35</v>
      </c>
      <c r="I1474" s="17" t="s">
        <v>1028</v>
      </c>
      <c r="J1474" s="17" t="s">
        <v>233</v>
      </c>
      <c r="K1474" s="19"/>
      <c r="L1474" s="19"/>
      <c r="M1474" s="19"/>
      <c r="N1474" s="19"/>
      <c r="O1474" s="17" t="n">
        <v>5</v>
      </c>
      <c r="P1474" s="18" t="s">
        <v>7312</v>
      </c>
      <c r="Q1474" s="18" t="s">
        <v>7329</v>
      </c>
      <c r="R1474" s="18" t="s">
        <v>7336</v>
      </c>
      <c r="S1474" s="17" t="s">
        <v>7323</v>
      </c>
      <c r="T1474" s="18" t="s">
        <v>7337</v>
      </c>
      <c r="U1474" s="19"/>
      <c r="V1474" s="18" t="s">
        <v>7338</v>
      </c>
      <c r="W1474" s="17" t="s">
        <v>240</v>
      </c>
      <c r="X1474" s="17" t="s">
        <v>7339</v>
      </c>
      <c r="Y1474" s="17" t="s">
        <v>242</v>
      </c>
      <c r="Z1474" s="19"/>
      <c r="AA1474" s="19"/>
      <c r="AB1474" s="17"/>
      <c r="AC1474" s="19"/>
    </row>
    <row r="1475" customFormat="false" ht="22.35" hidden="false" customHeight="false" outlineLevel="0" collapsed="false">
      <c r="A1475" s="10" t="s">
        <v>7340</v>
      </c>
      <c r="B1475" s="17" t="s">
        <v>162</v>
      </c>
      <c r="C1475" s="18" t="s">
        <v>163</v>
      </c>
      <c r="D1475" s="17" t="s">
        <v>19</v>
      </c>
      <c r="E1475" s="17" t="s">
        <v>75</v>
      </c>
      <c r="F1475" s="17" t="s">
        <v>7069</v>
      </c>
      <c r="G1475" s="17" t="s">
        <v>164</v>
      </c>
      <c r="H1475" s="17" t="s">
        <v>35</v>
      </c>
      <c r="I1475" s="17" t="s">
        <v>1028</v>
      </c>
      <c r="J1475" s="17" t="s">
        <v>233</v>
      </c>
      <c r="K1475" s="19"/>
      <c r="L1475" s="19"/>
      <c r="M1475" s="19"/>
      <c r="N1475" s="19"/>
      <c r="O1475" s="17" t="n">
        <v>5</v>
      </c>
      <c r="P1475" s="18" t="s">
        <v>7312</v>
      </c>
      <c r="Q1475" s="18" t="s">
        <v>7329</v>
      </c>
      <c r="R1475" s="18" t="s">
        <v>7341</v>
      </c>
      <c r="S1475" s="17" t="s">
        <v>7323</v>
      </c>
      <c r="T1475" s="18" t="s">
        <v>7342</v>
      </c>
      <c r="U1475" s="19"/>
      <c r="V1475" s="18" t="s">
        <v>7343</v>
      </c>
      <c r="W1475" s="17" t="s">
        <v>240</v>
      </c>
      <c r="X1475" s="17" t="s">
        <v>7322</v>
      </c>
      <c r="Y1475" s="17" t="s">
        <v>242</v>
      </c>
      <c r="Z1475" s="19"/>
      <c r="AA1475" s="19"/>
      <c r="AB1475" s="17"/>
      <c r="AC1475" s="19"/>
    </row>
    <row r="1476" customFormat="false" ht="22.35" hidden="false" customHeight="false" outlineLevel="0" collapsed="false">
      <c r="A1476" s="10" t="s">
        <v>7344</v>
      </c>
      <c r="B1476" s="17" t="s">
        <v>162</v>
      </c>
      <c r="C1476" s="18" t="s">
        <v>163</v>
      </c>
      <c r="D1476" s="17" t="s">
        <v>19</v>
      </c>
      <c r="E1476" s="17" t="s">
        <v>75</v>
      </c>
      <c r="F1476" s="17" t="s">
        <v>7069</v>
      </c>
      <c r="G1476" s="17" t="s">
        <v>164</v>
      </c>
      <c r="H1476" s="17" t="s">
        <v>35</v>
      </c>
      <c r="I1476" s="17" t="s">
        <v>283</v>
      </c>
      <c r="J1476" s="17" t="s">
        <v>233</v>
      </c>
      <c r="K1476" s="19"/>
      <c r="L1476" s="19"/>
      <c r="M1476" s="19"/>
      <c r="N1476" s="19"/>
      <c r="O1476" s="17" t="n">
        <v>5</v>
      </c>
      <c r="P1476" s="18" t="s">
        <v>7312</v>
      </c>
      <c r="Q1476" s="18" t="s">
        <v>7329</v>
      </c>
      <c r="R1476" s="18" t="s">
        <v>7345</v>
      </c>
      <c r="S1476" s="17" t="s">
        <v>7346</v>
      </c>
      <c r="T1476" s="18" t="s">
        <v>7347</v>
      </c>
      <c r="U1476" s="19"/>
      <c r="V1476" s="18" t="s">
        <v>7348</v>
      </c>
      <c r="W1476" s="17" t="s">
        <v>240</v>
      </c>
      <c r="X1476" s="17" t="s">
        <v>7349</v>
      </c>
      <c r="Y1476" s="17" t="s">
        <v>242</v>
      </c>
      <c r="Z1476" s="19"/>
      <c r="AA1476" s="19"/>
      <c r="AB1476" s="17"/>
      <c r="AC1476" s="19"/>
    </row>
    <row r="1477" customFormat="false" ht="22.35" hidden="false" customHeight="false" outlineLevel="0" collapsed="false">
      <c r="A1477" s="10" t="s">
        <v>7350</v>
      </c>
      <c r="B1477" s="17" t="s">
        <v>162</v>
      </c>
      <c r="C1477" s="18" t="s">
        <v>163</v>
      </c>
      <c r="D1477" s="17" t="s">
        <v>19</v>
      </c>
      <c r="E1477" s="17" t="s">
        <v>75</v>
      </c>
      <c r="F1477" s="17" t="s">
        <v>7069</v>
      </c>
      <c r="G1477" s="17" t="s">
        <v>164</v>
      </c>
      <c r="H1477" s="17" t="s">
        <v>35</v>
      </c>
      <c r="I1477" s="17" t="s">
        <v>289</v>
      </c>
      <c r="J1477" s="17" t="s">
        <v>233</v>
      </c>
      <c r="K1477" s="19"/>
      <c r="L1477" s="19"/>
      <c r="M1477" s="19"/>
      <c r="N1477" s="19"/>
      <c r="O1477" s="17" t="n">
        <v>5</v>
      </c>
      <c r="P1477" s="18" t="s">
        <v>7312</v>
      </c>
      <c r="Q1477" s="18" t="s">
        <v>7329</v>
      </c>
      <c r="R1477" s="18" t="s">
        <v>7351</v>
      </c>
      <c r="S1477" s="17" t="s">
        <v>7311</v>
      </c>
      <c r="T1477" s="18" t="s">
        <v>7352</v>
      </c>
      <c r="U1477" s="19"/>
      <c r="V1477" s="18" t="s">
        <v>7353</v>
      </c>
      <c r="W1477" s="17" t="s">
        <v>240</v>
      </c>
      <c r="X1477" s="17" t="s">
        <v>7354</v>
      </c>
      <c r="Y1477" s="17" t="s">
        <v>242</v>
      </c>
      <c r="Z1477" s="19"/>
      <c r="AA1477" s="19"/>
      <c r="AB1477" s="17"/>
      <c r="AC1477" s="19"/>
    </row>
    <row r="1478" customFormat="false" ht="22.35" hidden="false" customHeight="false" outlineLevel="0" collapsed="false">
      <c r="A1478" s="10" t="s">
        <v>7355</v>
      </c>
      <c r="B1478" s="17" t="s">
        <v>162</v>
      </c>
      <c r="C1478" s="18" t="s">
        <v>163</v>
      </c>
      <c r="D1478" s="17" t="s">
        <v>19</v>
      </c>
      <c r="E1478" s="17" t="s">
        <v>75</v>
      </c>
      <c r="F1478" s="17" t="s">
        <v>7069</v>
      </c>
      <c r="G1478" s="17" t="s">
        <v>164</v>
      </c>
      <c r="H1478" s="17" t="s">
        <v>35</v>
      </c>
      <c r="I1478" s="17" t="s">
        <v>1028</v>
      </c>
      <c r="J1478" s="17" t="s">
        <v>233</v>
      </c>
      <c r="K1478" s="19"/>
      <c r="L1478" s="19"/>
      <c r="M1478" s="19"/>
      <c r="N1478" s="19"/>
      <c r="O1478" s="17" t="n">
        <v>5</v>
      </c>
      <c r="P1478" s="18" t="s">
        <v>7312</v>
      </c>
      <c r="Q1478" s="18" t="s">
        <v>7329</v>
      </c>
      <c r="R1478" s="18" t="s">
        <v>7356</v>
      </c>
      <c r="S1478" s="17" t="s">
        <v>7357</v>
      </c>
      <c r="T1478" s="18" t="s">
        <v>7358</v>
      </c>
      <c r="U1478" s="19"/>
      <c r="V1478" s="18" t="s">
        <v>7359</v>
      </c>
      <c r="W1478" s="17" t="s">
        <v>240</v>
      </c>
      <c r="X1478" s="17" t="s">
        <v>7322</v>
      </c>
      <c r="Y1478" s="17" t="s">
        <v>242</v>
      </c>
      <c r="Z1478" s="19"/>
      <c r="AA1478" s="19"/>
      <c r="AB1478" s="17"/>
      <c r="AC1478" s="19"/>
    </row>
    <row r="1479" customFormat="false" ht="15" hidden="false" customHeight="false" outlineLevel="0" collapsed="false">
      <c r="A1479" s="10" t="s">
        <v>7360</v>
      </c>
      <c r="B1479" s="17" t="s">
        <v>162</v>
      </c>
      <c r="C1479" s="18" t="s">
        <v>163</v>
      </c>
      <c r="D1479" s="17" t="s">
        <v>19</v>
      </c>
      <c r="E1479" s="17" t="s">
        <v>75</v>
      </c>
      <c r="F1479" s="17" t="s">
        <v>7069</v>
      </c>
      <c r="G1479" s="17" t="s">
        <v>164</v>
      </c>
      <c r="H1479" s="17" t="s">
        <v>35</v>
      </c>
      <c r="I1479" s="17" t="s">
        <v>283</v>
      </c>
      <c r="J1479" s="17" t="s">
        <v>233</v>
      </c>
      <c r="K1479" s="19"/>
      <c r="L1479" s="19"/>
      <c r="M1479" s="19"/>
      <c r="N1479" s="19"/>
      <c r="O1479" s="17" t="n">
        <v>5</v>
      </c>
      <c r="P1479" s="18" t="s">
        <v>7312</v>
      </c>
      <c r="Q1479" s="18" t="s">
        <v>7329</v>
      </c>
      <c r="R1479" s="18" t="s">
        <v>7361</v>
      </c>
      <c r="S1479" s="17" t="s">
        <v>7355</v>
      </c>
      <c r="T1479" s="18" t="s">
        <v>6037</v>
      </c>
      <c r="U1479" s="19"/>
      <c r="V1479" s="18" t="s">
        <v>6038</v>
      </c>
      <c r="W1479" s="17" t="s">
        <v>240</v>
      </c>
      <c r="X1479" s="17" t="s">
        <v>6039</v>
      </c>
      <c r="Y1479" s="17" t="s">
        <v>242</v>
      </c>
      <c r="Z1479" s="19"/>
      <c r="AA1479" s="19"/>
      <c r="AB1479" s="17"/>
      <c r="AC1479" s="19"/>
    </row>
    <row r="1480" customFormat="false" ht="32.8" hidden="false" customHeight="false" outlineLevel="0" collapsed="false">
      <c r="A1480" s="10" t="s">
        <v>7362</v>
      </c>
      <c r="B1480" s="17" t="s">
        <v>178</v>
      </c>
      <c r="C1480" s="18" t="s">
        <v>179</v>
      </c>
      <c r="D1480" s="17" t="s">
        <v>19</v>
      </c>
      <c r="E1480" s="17" t="s">
        <v>75</v>
      </c>
      <c r="F1480" s="17" t="s">
        <v>7069</v>
      </c>
      <c r="G1480" s="17" t="s">
        <v>177</v>
      </c>
      <c r="H1480" s="17" t="s">
        <v>35</v>
      </c>
      <c r="I1480" s="17" t="s">
        <v>232</v>
      </c>
      <c r="J1480" s="17" t="s">
        <v>233</v>
      </c>
      <c r="K1480" s="19"/>
      <c r="L1480" s="19"/>
      <c r="M1480" s="19"/>
      <c r="N1480" s="19"/>
      <c r="O1480" s="17" t="n">
        <v>2</v>
      </c>
      <c r="P1480" s="18" t="s">
        <v>7363</v>
      </c>
      <c r="Q1480" s="18" t="s">
        <v>7364</v>
      </c>
      <c r="R1480" s="18" t="s">
        <v>7365</v>
      </c>
      <c r="S1480" s="17" t="s">
        <v>843</v>
      </c>
      <c r="T1480" s="18" t="s">
        <v>7366</v>
      </c>
      <c r="U1480" s="19"/>
      <c r="V1480" s="18" t="s">
        <v>7367</v>
      </c>
      <c r="W1480" s="17" t="s">
        <v>240</v>
      </c>
      <c r="X1480" s="17" t="s">
        <v>7368</v>
      </c>
      <c r="Y1480" s="17" t="s">
        <v>242</v>
      </c>
      <c r="Z1480" s="19"/>
      <c r="AA1480" s="19"/>
      <c r="AB1480" s="17"/>
      <c r="AC1480" s="19"/>
    </row>
    <row r="1481" customFormat="false" ht="22.35" hidden="false" customHeight="false" outlineLevel="0" collapsed="false">
      <c r="A1481" s="10" t="s">
        <v>7369</v>
      </c>
      <c r="B1481" s="17" t="s">
        <v>178</v>
      </c>
      <c r="C1481" s="18" t="s">
        <v>179</v>
      </c>
      <c r="D1481" s="17" t="s">
        <v>19</v>
      </c>
      <c r="E1481" s="17" t="s">
        <v>75</v>
      </c>
      <c r="F1481" s="17" t="s">
        <v>7069</v>
      </c>
      <c r="G1481" s="17" t="s">
        <v>177</v>
      </c>
      <c r="H1481" s="17" t="s">
        <v>35</v>
      </c>
      <c r="I1481" s="17" t="s">
        <v>277</v>
      </c>
      <c r="J1481" s="17" t="s">
        <v>233</v>
      </c>
      <c r="K1481" s="19"/>
      <c r="L1481" s="19"/>
      <c r="M1481" s="19"/>
      <c r="N1481" s="19"/>
      <c r="O1481" s="17" t="n">
        <v>2</v>
      </c>
      <c r="P1481" s="18" t="s">
        <v>7363</v>
      </c>
      <c r="Q1481" s="18" t="s">
        <v>7364</v>
      </c>
      <c r="R1481" s="18" t="s">
        <v>7370</v>
      </c>
      <c r="S1481" s="17" t="s">
        <v>7362</v>
      </c>
      <c r="T1481" s="18" t="s">
        <v>7371</v>
      </c>
      <c r="U1481" s="19"/>
      <c r="V1481" s="18" t="s">
        <v>7372</v>
      </c>
      <c r="W1481" s="17" t="s">
        <v>240</v>
      </c>
      <c r="X1481" s="17" t="s">
        <v>7373</v>
      </c>
      <c r="Y1481" s="17" t="s">
        <v>242</v>
      </c>
      <c r="Z1481" s="19"/>
      <c r="AA1481" s="19"/>
      <c r="AB1481" s="17"/>
      <c r="AC1481" s="19"/>
    </row>
    <row r="1482" customFormat="false" ht="32.8" hidden="false" customHeight="false" outlineLevel="0" collapsed="false">
      <c r="A1482" s="10" t="s">
        <v>7374</v>
      </c>
      <c r="B1482" s="17" t="s">
        <v>178</v>
      </c>
      <c r="C1482" s="18" t="s">
        <v>179</v>
      </c>
      <c r="D1482" s="17" t="s">
        <v>19</v>
      </c>
      <c r="E1482" s="17" t="s">
        <v>75</v>
      </c>
      <c r="F1482" s="17" t="s">
        <v>7069</v>
      </c>
      <c r="G1482" s="17" t="s">
        <v>177</v>
      </c>
      <c r="H1482" s="17" t="s">
        <v>35</v>
      </c>
      <c r="I1482" s="17" t="s">
        <v>1028</v>
      </c>
      <c r="J1482" s="17" t="s">
        <v>233</v>
      </c>
      <c r="K1482" s="19"/>
      <c r="L1482" s="19"/>
      <c r="M1482" s="19"/>
      <c r="N1482" s="19"/>
      <c r="O1482" s="17" t="n">
        <v>1</v>
      </c>
      <c r="P1482" s="18" t="s">
        <v>7363</v>
      </c>
      <c r="Q1482" s="18" t="s">
        <v>7364</v>
      </c>
      <c r="R1482" s="18" t="s">
        <v>7375</v>
      </c>
      <c r="S1482" s="17" t="s">
        <v>237</v>
      </c>
      <c r="T1482" s="18" t="s">
        <v>7376</v>
      </c>
      <c r="U1482" s="19"/>
      <c r="V1482" s="18" t="s">
        <v>7377</v>
      </c>
      <c r="W1482" s="17" t="s">
        <v>240</v>
      </c>
      <c r="X1482" s="17" t="s">
        <v>7378</v>
      </c>
      <c r="Y1482" s="17" t="s">
        <v>242</v>
      </c>
      <c r="Z1482" s="19"/>
      <c r="AA1482" s="19"/>
      <c r="AB1482" s="17"/>
      <c r="AC1482" s="19"/>
    </row>
    <row r="1483" customFormat="false" ht="32.8" hidden="false" customHeight="false" outlineLevel="0" collapsed="false">
      <c r="A1483" s="10" t="s">
        <v>7379</v>
      </c>
      <c r="B1483" s="17" t="s">
        <v>178</v>
      </c>
      <c r="C1483" s="18" t="s">
        <v>179</v>
      </c>
      <c r="D1483" s="17" t="s">
        <v>19</v>
      </c>
      <c r="E1483" s="17" t="s">
        <v>75</v>
      </c>
      <c r="F1483" s="17" t="s">
        <v>7069</v>
      </c>
      <c r="G1483" s="17" t="s">
        <v>177</v>
      </c>
      <c r="H1483" s="17" t="s">
        <v>35</v>
      </c>
      <c r="I1483" s="17" t="s">
        <v>1028</v>
      </c>
      <c r="J1483" s="17" t="s">
        <v>233</v>
      </c>
      <c r="K1483" s="19"/>
      <c r="L1483" s="19"/>
      <c r="M1483" s="19"/>
      <c r="N1483" s="19"/>
      <c r="O1483" s="17" t="n">
        <v>1</v>
      </c>
      <c r="P1483" s="18" t="s">
        <v>7363</v>
      </c>
      <c r="Q1483" s="18" t="s">
        <v>7364</v>
      </c>
      <c r="R1483" s="18" t="s">
        <v>7380</v>
      </c>
      <c r="S1483" s="17" t="s">
        <v>7374</v>
      </c>
      <c r="T1483" s="18" t="s">
        <v>7381</v>
      </c>
      <c r="U1483" s="19"/>
      <c r="V1483" s="18" t="s">
        <v>7382</v>
      </c>
      <c r="W1483" s="17" t="s">
        <v>240</v>
      </c>
      <c r="X1483" s="17" t="s">
        <v>7383</v>
      </c>
      <c r="Y1483" s="17" t="s">
        <v>242</v>
      </c>
      <c r="Z1483" s="19"/>
      <c r="AA1483" s="19"/>
      <c r="AB1483" s="17"/>
      <c r="AC1483" s="19"/>
    </row>
    <row r="1484" customFormat="false" ht="22.35" hidden="false" customHeight="false" outlineLevel="0" collapsed="false">
      <c r="A1484" s="10" t="s">
        <v>7384</v>
      </c>
      <c r="B1484" s="17" t="s">
        <v>178</v>
      </c>
      <c r="C1484" s="18" t="s">
        <v>179</v>
      </c>
      <c r="D1484" s="17" t="s">
        <v>19</v>
      </c>
      <c r="E1484" s="17" t="s">
        <v>75</v>
      </c>
      <c r="F1484" s="17" t="s">
        <v>7069</v>
      </c>
      <c r="G1484" s="17" t="s">
        <v>177</v>
      </c>
      <c r="H1484" s="17" t="s">
        <v>35</v>
      </c>
      <c r="I1484" s="17" t="s">
        <v>1028</v>
      </c>
      <c r="J1484" s="17" t="s">
        <v>233</v>
      </c>
      <c r="K1484" s="19"/>
      <c r="L1484" s="19"/>
      <c r="M1484" s="19"/>
      <c r="N1484" s="19"/>
      <c r="O1484" s="17" t="n">
        <v>2</v>
      </c>
      <c r="P1484" s="18" t="s">
        <v>7363</v>
      </c>
      <c r="Q1484" s="18" t="s">
        <v>7385</v>
      </c>
      <c r="R1484" s="18" t="s">
        <v>7386</v>
      </c>
      <c r="S1484" s="17" t="s">
        <v>7374</v>
      </c>
      <c r="T1484" s="18" t="s">
        <v>7387</v>
      </c>
      <c r="U1484" s="19"/>
      <c r="V1484" s="18" t="s">
        <v>7388</v>
      </c>
      <c r="W1484" s="17" t="s">
        <v>240</v>
      </c>
      <c r="X1484" s="17" t="s">
        <v>7389</v>
      </c>
      <c r="Y1484" s="17" t="s">
        <v>242</v>
      </c>
      <c r="Z1484" s="19"/>
      <c r="AA1484" s="19"/>
      <c r="AB1484" s="17"/>
      <c r="AC1484" s="19"/>
    </row>
    <row r="1485" customFormat="false" ht="22.35" hidden="false" customHeight="false" outlineLevel="0" collapsed="false">
      <c r="A1485" s="10" t="s">
        <v>7390</v>
      </c>
      <c r="B1485" s="17" t="s">
        <v>178</v>
      </c>
      <c r="C1485" s="18" t="s">
        <v>179</v>
      </c>
      <c r="D1485" s="17" t="s">
        <v>19</v>
      </c>
      <c r="E1485" s="17" t="s">
        <v>75</v>
      </c>
      <c r="F1485" s="17" t="s">
        <v>7069</v>
      </c>
      <c r="G1485" s="17" t="s">
        <v>177</v>
      </c>
      <c r="H1485" s="17" t="s">
        <v>35</v>
      </c>
      <c r="I1485" s="17" t="s">
        <v>316</v>
      </c>
      <c r="J1485" s="17" t="s">
        <v>233</v>
      </c>
      <c r="K1485" s="19"/>
      <c r="L1485" s="19"/>
      <c r="M1485" s="19"/>
      <c r="N1485" s="19"/>
      <c r="O1485" s="17" t="n">
        <v>2</v>
      </c>
      <c r="P1485" s="18" t="s">
        <v>7363</v>
      </c>
      <c r="Q1485" s="18" t="s">
        <v>7385</v>
      </c>
      <c r="R1485" s="18" t="s">
        <v>7391</v>
      </c>
      <c r="S1485" s="17" t="s">
        <v>7362</v>
      </c>
      <c r="T1485" s="18" t="s">
        <v>7392</v>
      </c>
      <c r="U1485" s="19"/>
      <c r="V1485" s="18" t="s">
        <v>7393</v>
      </c>
      <c r="W1485" s="17" t="s">
        <v>240</v>
      </c>
      <c r="X1485" s="17" t="s">
        <v>7394</v>
      </c>
      <c r="Y1485" s="17" t="s">
        <v>242</v>
      </c>
      <c r="Z1485" s="19"/>
      <c r="AA1485" s="19"/>
      <c r="AB1485" s="17"/>
      <c r="AC1485" s="19"/>
    </row>
    <row r="1486" customFormat="false" ht="22.35" hidden="false" customHeight="false" outlineLevel="0" collapsed="false">
      <c r="A1486" s="10" t="s">
        <v>7395</v>
      </c>
      <c r="B1486" s="17" t="s">
        <v>181</v>
      </c>
      <c r="C1486" s="18" t="s">
        <v>182</v>
      </c>
      <c r="D1486" s="17" t="s">
        <v>19</v>
      </c>
      <c r="E1486" s="17" t="s">
        <v>75</v>
      </c>
      <c r="F1486" s="17" t="s">
        <v>7069</v>
      </c>
      <c r="G1486" s="17" t="s">
        <v>177</v>
      </c>
      <c r="H1486" s="17" t="s">
        <v>35</v>
      </c>
      <c r="I1486" s="17" t="s">
        <v>1413</v>
      </c>
      <c r="J1486" s="17" t="s">
        <v>233</v>
      </c>
      <c r="K1486" s="19"/>
      <c r="L1486" s="19"/>
      <c r="M1486" s="19"/>
      <c r="N1486" s="19"/>
      <c r="O1486" s="17" t="n">
        <v>3</v>
      </c>
      <c r="P1486" s="18" t="s">
        <v>7363</v>
      </c>
      <c r="Q1486" s="18" t="s">
        <v>7385</v>
      </c>
      <c r="R1486" s="18" t="s">
        <v>7396</v>
      </c>
      <c r="S1486" s="17" t="s">
        <v>237</v>
      </c>
      <c r="T1486" s="18" t="s">
        <v>7397</v>
      </c>
      <c r="U1486" s="19"/>
      <c r="V1486" s="18" t="s">
        <v>7398</v>
      </c>
      <c r="W1486" s="17" t="s">
        <v>240</v>
      </c>
      <c r="X1486" s="17" t="s">
        <v>7399</v>
      </c>
      <c r="Y1486" s="17" t="s">
        <v>242</v>
      </c>
      <c r="Z1486" s="19"/>
      <c r="AA1486" s="19"/>
      <c r="AB1486" s="17"/>
      <c r="AC1486" s="19"/>
    </row>
    <row r="1487" customFormat="false" ht="22.35" hidden="false" customHeight="false" outlineLevel="0" collapsed="false">
      <c r="A1487" s="10" t="s">
        <v>7400</v>
      </c>
      <c r="B1487" s="17" t="s">
        <v>178</v>
      </c>
      <c r="C1487" s="18" t="s">
        <v>179</v>
      </c>
      <c r="D1487" s="17" t="s">
        <v>19</v>
      </c>
      <c r="E1487" s="17" t="s">
        <v>229</v>
      </c>
      <c r="F1487" s="17" t="s">
        <v>7069</v>
      </c>
      <c r="G1487" s="17" t="s">
        <v>177</v>
      </c>
      <c r="H1487" s="17" t="s">
        <v>35</v>
      </c>
      <c r="I1487" s="17" t="s">
        <v>232</v>
      </c>
      <c r="J1487" s="17" t="s">
        <v>233</v>
      </c>
      <c r="K1487" s="19"/>
      <c r="L1487" s="19"/>
      <c r="M1487" s="19"/>
      <c r="N1487" s="19"/>
      <c r="O1487" s="17" t="n">
        <v>0</v>
      </c>
      <c r="P1487" s="18" t="s">
        <v>7363</v>
      </c>
      <c r="Q1487" s="18" t="s">
        <v>7385</v>
      </c>
      <c r="R1487" s="18" t="s">
        <v>7401</v>
      </c>
      <c r="S1487" s="17" t="s">
        <v>237</v>
      </c>
      <c r="T1487" s="18" t="s">
        <v>7402</v>
      </c>
      <c r="U1487" s="19"/>
      <c r="V1487" s="18" t="s">
        <v>7403</v>
      </c>
      <c r="W1487" s="17" t="s">
        <v>240</v>
      </c>
      <c r="X1487" s="17" t="s">
        <v>7404</v>
      </c>
      <c r="Y1487" s="17" t="s">
        <v>242</v>
      </c>
      <c r="Z1487" s="19"/>
      <c r="AA1487" s="19"/>
      <c r="AB1487" s="17"/>
      <c r="AC1487" s="19"/>
    </row>
    <row r="1488" customFormat="false" ht="22.35" hidden="false" customHeight="false" outlineLevel="0" collapsed="false">
      <c r="A1488" s="10" t="s">
        <v>7405</v>
      </c>
      <c r="B1488" s="17" t="s">
        <v>178</v>
      </c>
      <c r="C1488" s="18" t="s">
        <v>179</v>
      </c>
      <c r="D1488" s="17" t="s">
        <v>19</v>
      </c>
      <c r="E1488" s="17" t="s">
        <v>75</v>
      </c>
      <c r="F1488" s="17" t="s">
        <v>7069</v>
      </c>
      <c r="G1488" s="17" t="s">
        <v>177</v>
      </c>
      <c r="H1488" s="17" t="s">
        <v>35</v>
      </c>
      <c r="I1488" s="17" t="s">
        <v>232</v>
      </c>
      <c r="J1488" s="17" t="s">
        <v>233</v>
      </c>
      <c r="K1488" s="19"/>
      <c r="L1488" s="19"/>
      <c r="M1488" s="19"/>
      <c r="N1488" s="19"/>
      <c r="O1488" s="17" t="n">
        <v>2</v>
      </c>
      <c r="P1488" s="18" t="s">
        <v>7363</v>
      </c>
      <c r="Q1488" s="18" t="s">
        <v>7385</v>
      </c>
      <c r="R1488" s="18" t="s">
        <v>7406</v>
      </c>
      <c r="S1488" s="17" t="s">
        <v>7362</v>
      </c>
      <c r="T1488" s="18" t="s">
        <v>7407</v>
      </c>
      <c r="U1488" s="19"/>
      <c r="V1488" s="18" t="s">
        <v>7408</v>
      </c>
      <c r="W1488" s="17" t="s">
        <v>240</v>
      </c>
      <c r="X1488" s="17" t="s">
        <v>7409</v>
      </c>
      <c r="Y1488" s="17" t="s">
        <v>242</v>
      </c>
      <c r="Z1488" s="19"/>
      <c r="AA1488" s="19"/>
      <c r="AB1488" s="17"/>
      <c r="AC1488" s="19"/>
    </row>
    <row r="1489" customFormat="false" ht="15" hidden="false" customHeight="false" outlineLevel="0" collapsed="false">
      <c r="A1489" s="10" t="s">
        <v>7410</v>
      </c>
      <c r="B1489" s="17" t="s">
        <v>178</v>
      </c>
      <c r="C1489" s="18" t="s">
        <v>179</v>
      </c>
      <c r="D1489" s="17" t="s">
        <v>19</v>
      </c>
      <c r="E1489" s="17" t="s">
        <v>75</v>
      </c>
      <c r="F1489" s="17" t="s">
        <v>7069</v>
      </c>
      <c r="G1489" s="17" t="s">
        <v>177</v>
      </c>
      <c r="H1489" s="17" t="s">
        <v>35</v>
      </c>
      <c r="I1489" s="17" t="s">
        <v>283</v>
      </c>
      <c r="J1489" s="17" t="s">
        <v>233</v>
      </c>
      <c r="K1489" s="19"/>
      <c r="L1489" s="19"/>
      <c r="M1489" s="19"/>
      <c r="N1489" s="19"/>
      <c r="O1489" s="17" t="n">
        <v>2</v>
      </c>
      <c r="P1489" s="18" t="s">
        <v>7363</v>
      </c>
      <c r="Q1489" s="18" t="s">
        <v>7385</v>
      </c>
      <c r="R1489" s="18" t="s">
        <v>7411</v>
      </c>
      <c r="S1489" s="17" t="s">
        <v>7412</v>
      </c>
      <c r="T1489" s="18" t="s">
        <v>6037</v>
      </c>
      <c r="U1489" s="19"/>
      <c r="V1489" s="18" t="s">
        <v>6038</v>
      </c>
      <c r="W1489" s="17" t="s">
        <v>240</v>
      </c>
      <c r="X1489" s="17" t="s">
        <v>6039</v>
      </c>
      <c r="Y1489" s="17" t="s">
        <v>242</v>
      </c>
      <c r="Z1489" s="19"/>
      <c r="AA1489" s="19"/>
      <c r="AB1489" s="17"/>
      <c r="AC1489" s="19"/>
    </row>
    <row r="1490" customFormat="false" ht="32.8" hidden="false" customHeight="false" outlineLevel="0" collapsed="false">
      <c r="A1490" s="10" t="s">
        <v>7413</v>
      </c>
      <c r="B1490" s="17" t="s">
        <v>181</v>
      </c>
      <c r="C1490" s="18" t="s">
        <v>182</v>
      </c>
      <c r="D1490" s="17" t="s">
        <v>19</v>
      </c>
      <c r="E1490" s="17" t="s">
        <v>229</v>
      </c>
      <c r="F1490" s="17" t="s">
        <v>7069</v>
      </c>
      <c r="G1490" s="17" t="s">
        <v>177</v>
      </c>
      <c r="H1490" s="17" t="s">
        <v>35</v>
      </c>
      <c r="I1490" s="17" t="s">
        <v>928</v>
      </c>
      <c r="J1490" s="17" t="s">
        <v>233</v>
      </c>
      <c r="K1490" s="19"/>
      <c r="L1490" s="19"/>
      <c r="M1490" s="19"/>
      <c r="N1490" s="19"/>
      <c r="O1490" s="17" t="n">
        <v>0</v>
      </c>
      <c r="P1490" s="18" t="s">
        <v>7414</v>
      </c>
      <c r="Q1490" s="18" t="s">
        <v>7415</v>
      </c>
      <c r="R1490" s="18" t="s">
        <v>7416</v>
      </c>
      <c r="S1490" s="17" t="s">
        <v>237</v>
      </c>
      <c r="T1490" s="18" t="s">
        <v>7417</v>
      </c>
      <c r="U1490" s="19"/>
      <c r="V1490" s="18" t="s">
        <v>7418</v>
      </c>
      <c r="W1490" s="17" t="s">
        <v>240</v>
      </c>
      <c r="X1490" s="17" t="s">
        <v>7419</v>
      </c>
      <c r="Y1490" s="17" t="s">
        <v>242</v>
      </c>
      <c r="Z1490" s="19"/>
      <c r="AA1490" s="19"/>
      <c r="AB1490" s="17"/>
      <c r="AC1490" s="19"/>
    </row>
    <row r="1491" customFormat="false" ht="32.8" hidden="false" customHeight="false" outlineLevel="0" collapsed="false">
      <c r="A1491" s="10" t="s">
        <v>7420</v>
      </c>
      <c r="B1491" s="17" t="s">
        <v>181</v>
      </c>
      <c r="C1491" s="18" t="s">
        <v>182</v>
      </c>
      <c r="D1491" s="17" t="s">
        <v>19</v>
      </c>
      <c r="E1491" s="17" t="s">
        <v>75</v>
      </c>
      <c r="F1491" s="17" t="s">
        <v>7069</v>
      </c>
      <c r="G1491" s="17" t="s">
        <v>177</v>
      </c>
      <c r="H1491" s="17" t="s">
        <v>35</v>
      </c>
      <c r="I1491" s="17" t="s">
        <v>893</v>
      </c>
      <c r="J1491" s="17" t="s">
        <v>233</v>
      </c>
      <c r="K1491" s="19"/>
      <c r="L1491" s="19"/>
      <c r="M1491" s="19"/>
      <c r="N1491" s="19"/>
      <c r="O1491" s="17" t="n">
        <v>1</v>
      </c>
      <c r="P1491" s="18" t="s">
        <v>7414</v>
      </c>
      <c r="Q1491" s="18" t="s">
        <v>7415</v>
      </c>
      <c r="R1491" s="18" t="s">
        <v>7421</v>
      </c>
      <c r="S1491" s="17" t="s">
        <v>7413</v>
      </c>
      <c r="T1491" s="18" t="s">
        <v>7422</v>
      </c>
      <c r="U1491" s="19"/>
      <c r="V1491" s="18" t="s">
        <v>7423</v>
      </c>
      <c r="W1491" s="17" t="s">
        <v>240</v>
      </c>
      <c r="X1491" s="17" t="s">
        <v>7424</v>
      </c>
      <c r="Y1491" s="17" t="s">
        <v>242</v>
      </c>
      <c r="Z1491" s="19"/>
      <c r="AA1491" s="19"/>
      <c r="AB1491" s="17"/>
      <c r="AC1491" s="19"/>
    </row>
    <row r="1492" customFormat="false" ht="22.35" hidden="false" customHeight="false" outlineLevel="0" collapsed="false">
      <c r="A1492" s="10" t="s">
        <v>7425</v>
      </c>
      <c r="B1492" s="17" t="s">
        <v>181</v>
      </c>
      <c r="C1492" s="18" t="s">
        <v>182</v>
      </c>
      <c r="D1492" s="17" t="s">
        <v>19</v>
      </c>
      <c r="E1492" s="17" t="s">
        <v>75</v>
      </c>
      <c r="F1492" s="17" t="s">
        <v>7069</v>
      </c>
      <c r="G1492" s="17" t="s">
        <v>177</v>
      </c>
      <c r="H1492" s="17" t="s">
        <v>35</v>
      </c>
      <c r="I1492" s="17" t="s">
        <v>277</v>
      </c>
      <c r="J1492" s="17" t="s">
        <v>233</v>
      </c>
      <c r="K1492" s="19"/>
      <c r="L1492" s="19"/>
      <c r="M1492" s="19"/>
      <c r="N1492" s="19"/>
      <c r="O1492" s="17" t="n">
        <v>2</v>
      </c>
      <c r="P1492" s="18" t="s">
        <v>7414</v>
      </c>
      <c r="Q1492" s="18" t="s">
        <v>7415</v>
      </c>
      <c r="R1492" s="18" t="s">
        <v>7426</v>
      </c>
      <c r="S1492" s="17" t="s">
        <v>7420</v>
      </c>
      <c r="T1492" s="18" t="s">
        <v>7427</v>
      </c>
      <c r="U1492" s="19"/>
      <c r="V1492" s="18" t="s">
        <v>7428</v>
      </c>
      <c r="W1492" s="17" t="s">
        <v>240</v>
      </c>
      <c r="X1492" s="17" t="s">
        <v>7429</v>
      </c>
      <c r="Y1492" s="17" t="s">
        <v>242</v>
      </c>
      <c r="Z1492" s="19"/>
      <c r="AA1492" s="19"/>
      <c r="AB1492" s="17"/>
      <c r="AC1492" s="19"/>
    </row>
    <row r="1493" customFormat="false" ht="22.35" hidden="false" customHeight="false" outlineLevel="0" collapsed="false">
      <c r="A1493" s="10" t="s">
        <v>7430</v>
      </c>
      <c r="B1493" s="17" t="s">
        <v>181</v>
      </c>
      <c r="C1493" s="18" t="s">
        <v>182</v>
      </c>
      <c r="D1493" s="17" t="s">
        <v>19</v>
      </c>
      <c r="E1493" s="17" t="s">
        <v>75</v>
      </c>
      <c r="F1493" s="17" t="s">
        <v>7069</v>
      </c>
      <c r="G1493" s="17" t="s">
        <v>177</v>
      </c>
      <c r="H1493" s="17" t="s">
        <v>35</v>
      </c>
      <c r="I1493" s="17" t="s">
        <v>277</v>
      </c>
      <c r="J1493" s="17" t="s">
        <v>233</v>
      </c>
      <c r="K1493" s="19"/>
      <c r="L1493" s="19"/>
      <c r="M1493" s="19"/>
      <c r="N1493" s="19"/>
      <c r="O1493" s="17" t="n">
        <v>3</v>
      </c>
      <c r="P1493" s="18" t="s">
        <v>7414</v>
      </c>
      <c r="Q1493" s="18" t="s">
        <v>7415</v>
      </c>
      <c r="R1493" s="18" t="s">
        <v>7431</v>
      </c>
      <c r="S1493" s="17" t="s">
        <v>7432</v>
      </c>
      <c r="T1493" s="18" t="s">
        <v>7433</v>
      </c>
      <c r="U1493" s="19"/>
      <c r="V1493" s="18" t="s">
        <v>7428</v>
      </c>
      <c r="W1493" s="17" t="s">
        <v>240</v>
      </c>
      <c r="X1493" s="17" t="s">
        <v>7434</v>
      </c>
      <c r="Y1493" s="17" t="s">
        <v>242</v>
      </c>
      <c r="Z1493" s="19"/>
      <c r="AA1493" s="19"/>
      <c r="AB1493" s="17" t="s">
        <v>1681</v>
      </c>
      <c r="AC1493" s="19"/>
    </row>
    <row r="1494" customFormat="false" ht="22.35" hidden="false" customHeight="false" outlineLevel="0" collapsed="false">
      <c r="A1494" s="10" t="s">
        <v>7435</v>
      </c>
      <c r="B1494" s="17" t="s">
        <v>181</v>
      </c>
      <c r="C1494" s="18" t="s">
        <v>182</v>
      </c>
      <c r="D1494" s="17" t="s">
        <v>19</v>
      </c>
      <c r="E1494" s="17" t="s">
        <v>75</v>
      </c>
      <c r="F1494" s="17" t="s">
        <v>7069</v>
      </c>
      <c r="G1494" s="17" t="s">
        <v>177</v>
      </c>
      <c r="H1494" s="17" t="s">
        <v>35</v>
      </c>
      <c r="I1494" s="17" t="s">
        <v>277</v>
      </c>
      <c r="J1494" s="17" t="s">
        <v>233</v>
      </c>
      <c r="K1494" s="19"/>
      <c r="L1494" s="19"/>
      <c r="M1494" s="19"/>
      <c r="N1494" s="19"/>
      <c r="O1494" s="17" t="n">
        <v>3</v>
      </c>
      <c r="P1494" s="18" t="s">
        <v>7414</v>
      </c>
      <c r="Q1494" s="18" t="s">
        <v>7415</v>
      </c>
      <c r="R1494" s="18" t="s">
        <v>7436</v>
      </c>
      <c r="S1494" s="17" t="s">
        <v>7437</v>
      </c>
      <c r="T1494" s="18" t="s">
        <v>7438</v>
      </c>
      <c r="U1494" s="19"/>
      <c r="V1494" s="18" t="s">
        <v>7428</v>
      </c>
      <c r="W1494" s="17" t="s">
        <v>240</v>
      </c>
      <c r="X1494" s="17" t="s">
        <v>7439</v>
      </c>
      <c r="Y1494" s="17" t="s">
        <v>242</v>
      </c>
      <c r="Z1494" s="19"/>
      <c r="AA1494" s="19"/>
      <c r="AB1494" s="17"/>
      <c r="AC1494" s="19"/>
    </row>
    <row r="1495" customFormat="false" ht="22.35" hidden="false" customHeight="false" outlineLevel="0" collapsed="false">
      <c r="A1495" s="10" t="s">
        <v>7440</v>
      </c>
      <c r="B1495" s="17" t="s">
        <v>181</v>
      </c>
      <c r="C1495" s="18" t="s">
        <v>182</v>
      </c>
      <c r="D1495" s="17" t="s">
        <v>19</v>
      </c>
      <c r="E1495" s="17" t="s">
        <v>75</v>
      </c>
      <c r="F1495" s="17" t="s">
        <v>7069</v>
      </c>
      <c r="G1495" s="17" t="s">
        <v>177</v>
      </c>
      <c r="H1495" s="17" t="s">
        <v>35</v>
      </c>
      <c r="I1495" s="17" t="s">
        <v>277</v>
      </c>
      <c r="J1495" s="17" t="s">
        <v>233</v>
      </c>
      <c r="K1495" s="19"/>
      <c r="L1495" s="19"/>
      <c r="M1495" s="19"/>
      <c r="N1495" s="19"/>
      <c r="O1495" s="17" t="n">
        <v>2</v>
      </c>
      <c r="P1495" s="18" t="s">
        <v>7414</v>
      </c>
      <c r="Q1495" s="18" t="s">
        <v>7441</v>
      </c>
      <c r="R1495" s="18" t="s">
        <v>7442</v>
      </c>
      <c r="S1495" s="17" t="s">
        <v>7413</v>
      </c>
      <c r="T1495" s="18" t="s">
        <v>7443</v>
      </c>
      <c r="U1495" s="19"/>
      <c r="V1495" s="18" t="s">
        <v>7444</v>
      </c>
      <c r="W1495" s="17" t="s">
        <v>240</v>
      </c>
      <c r="X1495" s="17" t="s">
        <v>7445</v>
      </c>
      <c r="Y1495" s="17" t="s">
        <v>242</v>
      </c>
      <c r="Z1495" s="19"/>
      <c r="AA1495" s="19"/>
      <c r="AB1495" s="17"/>
      <c r="AC1495" s="19"/>
    </row>
    <row r="1496" customFormat="false" ht="22.35" hidden="false" customHeight="false" outlineLevel="0" collapsed="false">
      <c r="A1496" s="10" t="s">
        <v>7446</v>
      </c>
      <c r="B1496" s="17" t="s">
        <v>181</v>
      </c>
      <c r="C1496" s="18" t="s">
        <v>182</v>
      </c>
      <c r="D1496" s="17" t="s">
        <v>19</v>
      </c>
      <c r="E1496" s="17" t="s">
        <v>75</v>
      </c>
      <c r="F1496" s="17" t="s">
        <v>7069</v>
      </c>
      <c r="G1496" s="17" t="s">
        <v>177</v>
      </c>
      <c r="H1496" s="17" t="s">
        <v>35</v>
      </c>
      <c r="I1496" s="17" t="s">
        <v>277</v>
      </c>
      <c r="J1496" s="17" t="s">
        <v>233</v>
      </c>
      <c r="K1496" s="19"/>
      <c r="L1496" s="19"/>
      <c r="M1496" s="19"/>
      <c r="N1496" s="19"/>
      <c r="O1496" s="17" t="n">
        <v>3</v>
      </c>
      <c r="P1496" s="18" t="s">
        <v>7414</v>
      </c>
      <c r="Q1496" s="18" t="s">
        <v>7441</v>
      </c>
      <c r="R1496" s="18" t="s">
        <v>7447</v>
      </c>
      <c r="S1496" s="17" t="s">
        <v>7448</v>
      </c>
      <c r="T1496" s="18" t="s">
        <v>7449</v>
      </c>
      <c r="U1496" s="19"/>
      <c r="V1496" s="18" t="s">
        <v>7450</v>
      </c>
      <c r="W1496" s="17" t="s">
        <v>5511</v>
      </c>
      <c r="X1496" s="17" t="s">
        <v>7451</v>
      </c>
      <c r="Y1496" s="17" t="s">
        <v>242</v>
      </c>
      <c r="Z1496" s="19"/>
      <c r="AA1496" s="19"/>
      <c r="AB1496" s="17" t="s">
        <v>1681</v>
      </c>
      <c r="AC1496" s="19"/>
    </row>
    <row r="1497" customFormat="false" ht="32.8" hidden="false" customHeight="false" outlineLevel="0" collapsed="false">
      <c r="A1497" s="10" t="s">
        <v>7452</v>
      </c>
      <c r="B1497" s="17" t="s">
        <v>181</v>
      </c>
      <c r="C1497" s="18" t="s">
        <v>182</v>
      </c>
      <c r="D1497" s="17" t="s">
        <v>19</v>
      </c>
      <c r="E1497" s="17" t="s">
        <v>244</v>
      </c>
      <c r="F1497" s="17" t="s">
        <v>7069</v>
      </c>
      <c r="G1497" s="17" t="s">
        <v>177</v>
      </c>
      <c r="H1497" s="17" t="s">
        <v>35</v>
      </c>
      <c r="I1497" s="17" t="s">
        <v>1413</v>
      </c>
      <c r="J1497" s="17" t="s">
        <v>233</v>
      </c>
      <c r="K1497" s="19"/>
      <c r="L1497" s="19"/>
      <c r="M1497" s="19"/>
      <c r="N1497" s="19"/>
      <c r="O1497" s="17" t="n">
        <v>3</v>
      </c>
      <c r="P1497" s="18" t="s">
        <v>7414</v>
      </c>
      <c r="Q1497" s="18" t="s">
        <v>7441</v>
      </c>
      <c r="R1497" s="18" t="s">
        <v>7453</v>
      </c>
      <c r="S1497" s="17" t="s">
        <v>7413</v>
      </c>
      <c r="T1497" s="18" t="s">
        <v>7454</v>
      </c>
      <c r="U1497" s="19"/>
      <c r="V1497" s="18" t="s">
        <v>7455</v>
      </c>
      <c r="W1497" s="17" t="s">
        <v>240</v>
      </c>
      <c r="X1497" s="17" t="s">
        <v>7456</v>
      </c>
      <c r="Y1497" s="17" t="s">
        <v>242</v>
      </c>
      <c r="Z1497" s="19"/>
      <c r="AA1497" s="19"/>
      <c r="AB1497" s="17"/>
      <c r="AC1497" s="19"/>
    </row>
    <row r="1498" customFormat="false" ht="22.35" hidden="false" customHeight="false" outlineLevel="0" collapsed="false">
      <c r="A1498" s="10" t="s">
        <v>7457</v>
      </c>
      <c r="B1498" s="17" t="s">
        <v>181</v>
      </c>
      <c r="C1498" s="18" t="s">
        <v>182</v>
      </c>
      <c r="D1498" s="17" t="s">
        <v>19</v>
      </c>
      <c r="E1498" s="17" t="s">
        <v>75</v>
      </c>
      <c r="F1498" s="17" t="s">
        <v>7069</v>
      </c>
      <c r="G1498" s="17" t="s">
        <v>177</v>
      </c>
      <c r="H1498" s="17" t="s">
        <v>35</v>
      </c>
      <c r="I1498" s="17" t="s">
        <v>1413</v>
      </c>
      <c r="J1498" s="17" t="s">
        <v>233</v>
      </c>
      <c r="K1498" s="19"/>
      <c r="L1498" s="19"/>
      <c r="M1498" s="19"/>
      <c r="N1498" s="19"/>
      <c r="O1498" s="17" t="n">
        <v>3</v>
      </c>
      <c r="P1498" s="18" t="s">
        <v>7414</v>
      </c>
      <c r="Q1498" s="18" t="s">
        <v>7441</v>
      </c>
      <c r="R1498" s="18" t="s">
        <v>7458</v>
      </c>
      <c r="S1498" s="17" t="s">
        <v>7452</v>
      </c>
      <c r="T1498" s="18" t="s">
        <v>3614</v>
      </c>
      <c r="U1498" s="19"/>
      <c r="V1498" s="18" t="s">
        <v>7459</v>
      </c>
      <c r="W1498" s="17" t="s">
        <v>240</v>
      </c>
      <c r="X1498" s="17" t="s">
        <v>7460</v>
      </c>
      <c r="Y1498" s="17" t="s">
        <v>242</v>
      </c>
      <c r="Z1498" s="19"/>
      <c r="AA1498" s="19"/>
      <c r="AB1498" s="17"/>
      <c r="AC1498" s="19"/>
    </row>
    <row r="1499" customFormat="false" ht="32.8" hidden="false" customHeight="false" outlineLevel="0" collapsed="false">
      <c r="A1499" s="10" t="s">
        <v>7461</v>
      </c>
      <c r="B1499" s="17" t="s">
        <v>181</v>
      </c>
      <c r="C1499" s="18" t="s">
        <v>182</v>
      </c>
      <c r="D1499" s="17" t="s">
        <v>19</v>
      </c>
      <c r="E1499" s="17" t="s">
        <v>75</v>
      </c>
      <c r="F1499" s="17" t="s">
        <v>7069</v>
      </c>
      <c r="G1499" s="17" t="s">
        <v>177</v>
      </c>
      <c r="H1499" s="17" t="s">
        <v>35</v>
      </c>
      <c r="I1499" s="17" t="s">
        <v>1564</v>
      </c>
      <c r="J1499" s="17" t="s">
        <v>233</v>
      </c>
      <c r="K1499" s="19"/>
      <c r="L1499" s="19"/>
      <c r="M1499" s="19"/>
      <c r="N1499" s="19"/>
      <c r="O1499" s="17" t="n">
        <v>2</v>
      </c>
      <c r="P1499" s="18" t="s">
        <v>7414</v>
      </c>
      <c r="Q1499" s="18" t="s">
        <v>7462</v>
      </c>
      <c r="R1499" s="18" t="s">
        <v>7463</v>
      </c>
      <c r="S1499" s="17" t="s">
        <v>7464</v>
      </c>
      <c r="T1499" s="18" t="s">
        <v>7465</v>
      </c>
      <c r="U1499" s="19"/>
      <c r="V1499" s="18" t="s">
        <v>7466</v>
      </c>
      <c r="W1499" s="17" t="s">
        <v>240</v>
      </c>
      <c r="X1499" s="17" t="s">
        <v>7467</v>
      </c>
      <c r="Y1499" s="17" t="s">
        <v>242</v>
      </c>
      <c r="Z1499" s="19"/>
      <c r="AA1499" s="19"/>
      <c r="AB1499" s="17"/>
      <c r="AC1499" s="19"/>
    </row>
    <row r="1500" customFormat="false" ht="22.35" hidden="false" customHeight="false" outlineLevel="0" collapsed="false">
      <c r="A1500" s="10" t="s">
        <v>7468</v>
      </c>
      <c r="B1500" s="17" t="s">
        <v>181</v>
      </c>
      <c r="C1500" s="18" t="s">
        <v>182</v>
      </c>
      <c r="D1500" s="17" t="s">
        <v>19</v>
      </c>
      <c r="E1500" s="17" t="s">
        <v>75</v>
      </c>
      <c r="F1500" s="17" t="s">
        <v>7069</v>
      </c>
      <c r="G1500" s="17" t="s">
        <v>177</v>
      </c>
      <c r="H1500" s="17" t="s">
        <v>35</v>
      </c>
      <c r="I1500" s="17" t="s">
        <v>1786</v>
      </c>
      <c r="J1500" s="17" t="s">
        <v>233</v>
      </c>
      <c r="K1500" s="19"/>
      <c r="L1500" s="19"/>
      <c r="M1500" s="19"/>
      <c r="N1500" s="19"/>
      <c r="O1500" s="17" t="n">
        <v>3</v>
      </c>
      <c r="P1500" s="18" t="s">
        <v>7414</v>
      </c>
      <c r="Q1500" s="18" t="s">
        <v>7462</v>
      </c>
      <c r="R1500" s="18" t="s">
        <v>7469</v>
      </c>
      <c r="S1500" s="17" t="s">
        <v>7461</v>
      </c>
      <c r="T1500" s="18" t="s">
        <v>7470</v>
      </c>
      <c r="U1500" s="19"/>
      <c r="V1500" s="18" t="s">
        <v>7471</v>
      </c>
      <c r="W1500" s="17" t="s">
        <v>240</v>
      </c>
      <c r="X1500" s="17" t="s">
        <v>7472</v>
      </c>
      <c r="Y1500" s="17" t="s">
        <v>242</v>
      </c>
      <c r="Z1500" s="19"/>
      <c r="AA1500" s="19"/>
      <c r="AB1500" s="17"/>
      <c r="AC1500" s="19"/>
    </row>
    <row r="1501" customFormat="false" ht="32.8" hidden="false" customHeight="false" outlineLevel="0" collapsed="false">
      <c r="A1501" s="10" t="s">
        <v>7473</v>
      </c>
      <c r="B1501" s="17" t="s">
        <v>181</v>
      </c>
      <c r="C1501" s="18" t="s">
        <v>182</v>
      </c>
      <c r="D1501" s="17" t="s">
        <v>19</v>
      </c>
      <c r="E1501" s="17" t="s">
        <v>229</v>
      </c>
      <c r="F1501" s="17" t="s">
        <v>7069</v>
      </c>
      <c r="G1501" s="17" t="s">
        <v>177</v>
      </c>
      <c r="H1501" s="17" t="s">
        <v>35</v>
      </c>
      <c r="I1501" s="17" t="s">
        <v>316</v>
      </c>
      <c r="J1501" s="17" t="s">
        <v>233</v>
      </c>
      <c r="K1501" s="19"/>
      <c r="L1501" s="19"/>
      <c r="M1501" s="19"/>
      <c r="N1501" s="19"/>
      <c r="O1501" s="17" t="n">
        <v>3</v>
      </c>
      <c r="P1501" s="18" t="s">
        <v>7414</v>
      </c>
      <c r="Q1501" s="18" t="s">
        <v>7462</v>
      </c>
      <c r="R1501" s="18" t="s">
        <v>7474</v>
      </c>
      <c r="S1501" s="17" t="s">
        <v>7475</v>
      </c>
      <c r="T1501" s="18" t="s">
        <v>7476</v>
      </c>
      <c r="U1501" s="19"/>
      <c r="V1501" s="18" t="s">
        <v>7477</v>
      </c>
      <c r="W1501" s="17" t="s">
        <v>240</v>
      </c>
      <c r="X1501" s="17" t="s">
        <v>7478</v>
      </c>
      <c r="Y1501" s="17" t="s">
        <v>242</v>
      </c>
      <c r="Z1501" s="19"/>
      <c r="AA1501" s="19"/>
      <c r="AB1501" s="17"/>
      <c r="AC1501" s="19"/>
    </row>
    <row r="1502" customFormat="false" ht="22.35" hidden="false" customHeight="false" outlineLevel="0" collapsed="false">
      <c r="A1502" s="10" t="s">
        <v>7479</v>
      </c>
      <c r="B1502" s="17" t="s">
        <v>181</v>
      </c>
      <c r="C1502" s="18" t="s">
        <v>182</v>
      </c>
      <c r="D1502" s="17" t="s">
        <v>19</v>
      </c>
      <c r="E1502" s="17" t="s">
        <v>229</v>
      </c>
      <c r="F1502" s="17" t="s">
        <v>7069</v>
      </c>
      <c r="G1502" s="17" t="s">
        <v>177</v>
      </c>
      <c r="H1502" s="17" t="s">
        <v>35</v>
      </c>
      <c r="I1502" s="17" t="s">
        <v>277</v>
      </c>
      <c r="J1502" s="17" t="s">
        <v>233</v>
      </c>
      <c r="K1502" s="19"/>
      <c r="L1502" s="19"/>
      <c r="M1502" s="19"/>
      <c r="N1502" s="19"/>
      <c r="O1502" s="17" t="n">
        <v>3</v>
      </c>
      <c r="P1502" s="18" t="s">
        <v>7414</v>
      </c>
      <c r="Q1502" s="18" t="s">
        <v>7462</v>
      </c>
      <c r="R1502" s="18" t="s">
        <v>7480</v>
      </c>
      <c r="S1502" s="17" t="s">
        <v>7481</v>
      </c>
      <c r="T1502" s="18" t="s">
        <v>3818</v>
      </c>
      <c r="U1502" s="19"/>
      <c r="V1502" s="18" t="s">
        <v>7482</v>
      </c>
      <c r="W1502" s="17" t="s">
        <v>240</v>
      </c>
      <c r="X1502" s="17" t="s">
        <v>3825</v>
      </c>
      <c r="Y1502" s="17" t="s">
        <v>242</v>
      </c>
      <c r="Z1502" s="19"/>
      <c r="AA1502" s="19"/>
      <c r="AB1502" s="17"/>
      <c r="AC1502" s="19"/>
    </row>
    <row r="1503" customFormat="false" ht="22.35" hidden="false" customHeight="false" outlineLevel="0" collapsed="false">
      <c r="A1503" s="10" t="s">
        <v>7483</v>
      </c>
      <c r="B1503" s="17" t="s">
        <v>181</v>
      </c>
      <c r="C1503" s="18" t="s">
        <v>182</v>
      </c>
      <c r="D1503" s="17" t="s">
        <v>19</v>
      </c>
      <c r="E1503" s="17" t="s">
        <v>75</v>
      </c>
      <c r="F1503" s="17" t="s">
        <v>7069</v>
      </c>
      <c r="G1503" s="17" t="s">
        <v>177</v>
      </c>
      <c r="H1503" s="17" t="s">
        <v>35</v>
      </c>
      <c r="I1503" s="17" t="s">
        <v>1028</v>
      </c>
      <c r="J1503" s="17" t="s">
        <v>233</v>
      </c>
      <c r="K1503" s="19"/>
      <c r="L1503" s="19"/>
      <c r="M1503" s="19"/>
      <c r="N1503" s="19"/>
      <c r="O1503" s="17" t="n">
        <v>3</v>
      </c>
      <c r="P1503" s="18" t="s">
        <v>7414</v>
      </c>
      <c r="Q1503" s="18" t="s">
        <v>7462</v>
      </c>
      <c r="R1503" s="18" t="s">
        <v>7484</v>
      </c>
      <c r="S1503" s="17" t="s">
        <v>7473</v>
      </c>
      <c r="T1503" s="18" t="s">
        <v>7485</v>
      </c>
      <c r="U1503" s="19"/>
      <c r="V1503" s="18" t="s">
        <v>7486</v>
      </c>
      <c r="W1503" s="17" t="s">
        <v>240</v>
      </c>
      <c r="X1503" s="17" t="s">
        <v>7487</v>
      </c>
      <c r="Y1503" s="17" t="s">
        <v>242</v>
      </c>
      <c r="Z1503" s="19"/>
      <c r="AA1503" s="19"/>
      <c r="AB1503" s="17"/>
      <c r="AC1503" s="19"/>
    </row>
    <row r="1504" customFormat="false" ht="22.35" hidden="false" customHeight="false" outlineLevel="0" collapsed="false">
      <c r="A1504" s="10" t="s">
        <v>7488</v>
      </c>
      <c r="B1504" s="17" t="s">
        <v>181</v>
      </c>
      <c r="C1504" s="18" t="s">
        <v>182</v>
      </c>
      <c r="D1504" s="17" t="s">
        <v>19</v>
      </c>
      <c r="E1504" s="17" t="s">
        <v>229</v>
      </c>
      <c r="F1504" s="17" t="s">
        <v>7069</v>
      </c>
      <c r="G1504" s="17" t="s">
        <v>177</v>
      </c>
      <c r="H1504" s="17" t="s">
        <v>35</v>
      </c>
      <c r="I1504" s="17" t="s">
        <v>333</v>
      </c>
      <c r="J1504" s="17" t="s">
        <v>233</v>
      </c>
      <c r="K1504" s="19"/>
      <c r="L1504" s="19"/>
      <c r="M1504" s="19"/>
      <c r="N1504" s="19"/>
      <c r="O1504" s="17" t="n">
        <v>0</v>
      </c>
      <c r="P1504" s="18" t="s">
        <v>7414</v>
      </c>
      <c r="Q1504" s="18" t="s">
        <v>7462</v>
      </c>
      <c r="R1504" s="18" t="s">
        <v>7489</v>
      </c>
      <c r="S1504" s="17" t="s">
        <v>7413</v>
      </c>
      <c r="T1504" s="18" t="s">
        <v>7490</v>
      </c>
      <c r="U1504" s="19"/>
      <c r="V1504" s="18" t="s">
        <v>7491</v>
      </c>
      <c r="W1504" s="17" t="s">
        <v>240</v>
      </c>
      <c r="X1504" s="17" t="s">
        <v>7492</v>
      </c>
      <c r="Y1504" s="17" t="s">
        <v>242</v>
      </c>
      <c r="Z1504" s="19"/>
      <c r="AA1504" s="19"/>
      <c r="AB1504" s="17"/>
      <c r="AC1504" s="19"/>
    </row>
    <row r="1505" customFormat="false" ht="22.35" hidden="false" customHeight="false" outlineLevel="0" collapsed="false">
      <c r="A1505" s="10" t="s">
        <v>7493</v>
      </c>
      <c r="B1505" s="17" t="s">
        <v>181</v>
      </c>
      <c r="C1505" s="18" t="s">
        <v>182</v>
      </c>
      <c r="D1505" s="17" t="s">
        <v>19</v>
      </c>
      <c r="E1505" s="17" t="s">
        <v>75</v>
      </c>
      <c r="F1505" s="17" t="s">
        <v>7069</v>
      </c>
      <c r="G1505" s="17" t="s">
        <v>177</v>
      </c>
      <c r="H1505" s="17" t="s">
        <v>35</v>
      </c>
      <c r="I1505" s="17" t="s">
        <v>277</v>
      </c>
      <c r="J1505" s="17" t="s">
        <v>233</v>
      </c>
      <c r="K1505" s="19"/>
      <c r="L1505" s="19"/>
      <c r="M1505" s="19"/>
      <c r="N1505" s="19"/>
      <c r="O1505" s="17" t="n">
        <v>3</v>
      </c>
      <c r="P1505" s="18" t="s">
        <v>7414</v>
      </c>
      <c r="Q1505" s="18" t="s">
        <v>7462</v>
      </c>
      <c r="R1505" s="18" t="s">
        <v>7494</v>
      </c>
      <c r="S1505" s="17" t="s">
        <v>7479</v>
      </c>
      <c r="T1505" s="18" t="s">
        <v>7495</v>
      </c>
      <c r="U1505" s="19"/>
      <c r="V1505" s="18" t="s">
        <v>7496</v>
      </c>
      <c r="W1505" s="17" t="s">
        <v>240</v>
      </c>
      <c r="X1505" s="17" t="s">
        <v>7497</v>
      </c>
      <c r="Y1505" s="17" t="s">
        <v>242</v>
      </c>
      <c r="Z1505" s="19"/>
      <c r="AA1505" s="19"/>
      <c r="AB1505" s="17"/>
      <c r="AC1505" s="19"/>
    </row>
    <row r="1506" customFormat="false" ht="22.35" hidden="false" customHeight="false" outlineLevel="0" collapsed="false">
      <c r="A1506" s="10" t="s">
        <v>7498</v>
      </c>
      <c r="B1506" s="17" t="s">
        <v>181</v>
      </c>
      <c r="C1506" s="18" t="s">
        <v>182</v>
      </c>
      <c r="D1506" s="17" t="s">
        <v>19</v>
      </c>
      <c r="E1506" s="17" t="s">
        <v>75</v>
      </c>
      <c r="F1506" s="17" t="s">
        <v>7069</v>
      </c>
      <c r="G1506" s="17" t="s">
        <v>177</v>
      </c>
      <c r="H1506" s="17" t="s">
        <v>35</v>
      </c>
      <c r="I1506" s="17" t="s">
        <v>283</v>
      </c>
      <c r="J1506" s="17" t="s">
        <v>233</v>
      </c>
      <c r="K1506" s="19"/>
      <c r="L1506" s="19"/>
      <c r="M1506" s="19"/>
      <c r="N1506" s="19"/>
      <c r="O1506" s="17" t="n">
        <v>3</v>
      </c>
      <c r="P1506" s="18" t="s">
        <v>7414</v>
      </c>
      <c r="Q1506" s="18" t="s">
        <v>7462</v>
      </c>
      <c r="R1506" s="18" t="s">
        <v>7499</v>
      </c>
      <c r="S1506" s="17" t="s">
        <v>7500</v>
      </c>
      <c r="T1506" s="18" t="s">
        <v>6037</v>
      </c>
      <c r="U1506" s="19"/>
      <c r="V1506" s="18" t="s">
        <v>6038</v>
      </c>
      <c r="W1506" s="17" t="s">
        <v>240</v>
      </c>
      <c r="X1506" s="17" t="s">
        <v>6039</v>
      </c>
      <c r="Y1506" s="17" t="s">
        <v>242</v>
      </c>
      <c r="Z1506" s="19"/>
      <c r="AA1506" s="19"/>
      <c r="AB1506" s="17"/>
      <c r="AC1506" s="19"/>
    </row>
    <row r="1507" customFormat="false" ht="22.35" hidden="false" customHeight="false" outlineLevel="0" collapsed="false">
      <c r="A1507" s="10" t="s">
        <v>7501</v>
      </c>
      <c r="B1507" s="17" t="s">
        <v>183</v>
      </c>
      <c r="C1507" s="18" t="s">
        <v>184</v>
      </c>
      <c r="D1507" s="17" t="s">
        <v>20</v>
      </c>
      <c r="E1507" s="17" t="s">
        <v>75</v>
      </c>
      <c r="F1507" s="17" t="s">
        <v>7502</v>
      </c>
      <c r="G1507" s="17" t="s">
        <v>185</v>
      </c>
      <c r="H1507" s="17" t="s">
        <v>36</v>
      </c>
      <c r="I1507" s="17" t="s">
        <v>277</v>
      </c>
      <c r="J1507" s="17" t="s">
        <v>7503</v>
      </c>
      <c r="K1507" s="19"/>
      <c r="L1507" s="19"/>
      <c r="M1507" s="19"/>
      <c r="N1507" s="19"/>
      <c r="O1507" s="17" t="n">
        <v>1</v>
      </c>
      <c r="P1507" s="18" t="s">
        <v>7504</v>
      </c>
      <c r="Q1507" s="18" t="s">
        <v>7505</v>
      </c>
      <c r="R1507" s="18" t="s">
        <v>7506</v>
      </c>
      <c r="S1507" s="17" t="s">
        <v>237</v>
      </c>
      <c r="T1507" s="18" t="s">
        <v>7507</v>
      </c>
      <c r="U1507" s="19"/>
      <c r="V1507" s="18" t="s">
        <v>7508</v>
      </c>
      <c r="W1507" s="17" t="s">
        <v>240</v>
      </c>
      <c r="X1507" s="17" t="s">
        <v>7509</v>
      </c>
      <c r="Y1507" s="17" t="s">
        <v>242</v>
      </c>
      <c r="Z1507" s="19"/>
      <c r="AA1507" s="19"/>
      <c r="AB1507" s="17"/>
      <c r="AC1507" s="19"/>
    </row>
    <row r="1508" customFormat="false" ht="22.35" hidden="false" customHeight="false" outlineLevel="0" collapsed="false">
      <c r="A1508" s="10" t="s">
        <v>7510</v>
      </c>
      <c r="B1508" s="17" t="s">
        <v>183</v>
      </c>
      <c r="C1508" s="18" t="s">
        <v>184</v>
      </c>
      <c r="D1508" s="17" t="s">
        <v>20</v>
      </c>
      <c r="E1508" s="17" t="s">
        <v>75</v>
      </c>
      <c r="F1508" s="17" t="s">
        <v>7502</v>
      </c>
      <c r="G1508" s="17" t="s">
        <v>185</v>
      </c>
      <c r="H1508" s="17" t="s">
        <v>36</v>
      </c>
      <c r="I1508" s="17" t="s">
        <v>277</v>
      </c>
      <c r="J1508" s="17" t="s">
        <v>7503</v>
      </c>
      <c r="K1508" s="19"/>
      <c r="L1508" s="19"/>
      <c r="M1508" s="19"/>
      <c r="N1508" s="19"/>
      <c r="O1508" s="17" t="n">
        <v>1</v>
      </c>
      <c r="P1508" s="18" t="s">
        <v>7504</v>
      </c>
      <c r="Q1508" s="18" t="s">
        <v>7505</v>
      </c>
      <c r="R1508" s="18" t="s">
        <v>7511</v>
      </c>
      <c r="S1508" s="17" t="s">
        <v>7501</v>
      </c>
      <c r="T1508" s="18" t="s">
        <v>7512</v>
      </c>
      <c r="U1508" s="19"/>
      <c r="V1508" s="18" t="s">
        <v>7513</v>
      </c>
      <c r="W1508" s="17" t="s">
        <v>240</v>
      </c>
      <c r="X1508" s="17" t="s">
        <v>7509</v>
      </c>
      <c r="Y1508" s="17" t="s">
        <v>242</v>
      </c>
      <c r="Z1508" s="19"/>
      <c r="AA1508" s="19"/>
      <c r="AB1508" s="17"/>
      <c r="AC1508" s="19"/>
    </row>
    <row r="1509" customFormat="false" ht="22.35" hidden="false" customHeight="false" outlineLevel="0" collapsed="false">
      <c r="A1509" s="10" t="s">
        <v>7514</v>
      </c>
      <c r="B1509" s="17" t="s">
        <v>183</v>
      </c>
      <c r="C1509" s="18" t="s">
        <v>184</v>
      </c>
      <c r="D1509" s="17" t="s">
        <v>20</v>
      </c>
      <c r="E1509" s="17" t="s">
        <v>75</v>
      </c>
      <c r="F1509" s="17" t="s">
        <v>7502</v>
      </c>
      <c r="G1509" s="17" t="s">
        <v>185</v>
      </c>
      <c r="H1509" s="17" t="s">
        <v>36</v>
      </c>
      <c r="I1509" s="17" t="s">
        <v>277</v>
      </c>
      <c r="J1509" s="17" t="s">
        <v>7515</v>
      </c>
      <c r="K1509" s="19"/>
      <c r="L1509" s="19"/>
      <c r="M1509" s="19"/>
      <c r="N1509" s="19"/>
      <c r="O1509" s="17" t="n">
        <v>1</v>
      </c>
      <c r="P1509" s="18" t="s">
        <v>7504</v>
      </c>
      <c r="Q1509" s="18" t="s">
        <v>7505</v>
      </c>
      <c r="R1509" s="18" t="s">
        <v>7516</v>
      </c>
      <c r="S1509" s="17" t="s">
        <v>7501</v>
      </c>
      <c r="T1509" s="18" t="s">
        <v>7517</v>
      </c>
      <c r="U1509" s="19"/>
      <c r="V1509" s="18" t="s">
        <v>7518</v>
      </c>
      <c r="W1509" s="17" t="s">
        <v>240</v>
      </c>
      <c r="X1509" s="17" t="s">
        <v>7509</v>
      </c>
      <c r="Y1509" s="17" t="s">
        <v>242</v>
      </c>
      <c r="Z1509" s="19"/>
      <c r="AA1509" s="19"/>
      <c r="AB1509" s="17"/>
      <c r="AC1509" s="19"/>
    </row>
    <row r="1510" customFormat="false" ht="22.35" hidden="false" customHeight="false" outlineLevel="0" collapsed="false">
      <c r="A1510" s="10" t="s">
        <v>7519</v>
      </c>
      <c r="B1510" s="17" t="s">
        <v>183</v>
      </c>
      <c r="C1510" s="18" t="s">
        <v>184</v>
      </c>
      <c r="D1510" s="17" t="s">
        <v>20</v>
      </c>
      <c r="E1510" s="17" t="s">
        <v>75</v>
      </c>
      <c r="F1510" s="17" t="s">
        <v>7502</v>
      </c>
      <c r="G1510" s="17" t="s">
        <v>185</v>
      </c>
      <c r="H1510" s="17" t="s">
        <v>36</v>
      </c>
      <c r="I1510" s="17" t="s">
        <v>277</v>
      </c>
      <c r="J1510" s="17" t="s">
        <v>7503</v>
      </c>
      <c r="K1510" s="19"/>
      <c r="L1510" s="19"/>
      <c r="M1510" s="19"/>
      <c r="N1510" s="19"/>
      <c r="O1510" s="17" t="n">
        <v>1</v>
      </c>
      <c r="P1510" s="18" t="s">
        <v>7504</v>
      </c>
      <c r="Q1510" s="18" t="s">
        <v>7520</v>
      </c>
      <c r="R1510" s="18" t="s">
        <v>7521</v>
      </c>
      <c r="S1510" s="17" t="s">
        <v>237</v>
      </c>
      <c r="T1510" s="18" t="s">
        <v>7522</v>
      </c>
      <c r="U1510" s="19"/>
      <c r="V1510" s="18" t="s">
        <v>7523</v>
      </c>
      <c r="W1510" s="17" t="s">
        <v>240</v>
      </c>
      <c r="X1510" s="17" t="s">
        <v>7509</v>
      </c>
      <c r="Y1510" s="17" t="s">
        <v>242</v>
      </c>
      <c r="Z1510" s="19"/>
      <c r="AA1510" s="19"/>
      <c r="AB1510" s="17"/>
      <c r="AC1510" s="19"/>
    </row>
    <row r="1511" customFormat="false" ht="22.35" hidden="false" customHeight="false" outlineLevel="0" collapsed="false">
      <c r="A1511" s="10" t="s">
        <v>7524</v>
      </c>
      <c r="B1511" s="17" t="s">
        <v>183</v>
      </c>
      <c r="C1511" s="18" t="s">
        <v>184</v>
      </c>
      <c r="D1511" s="17" t="s">
        <v>20</v>
      </c>
      <c r="E1511" s="17" t="s">
        <v>75</v>
      </c>
      <c r="F1511" s="17" t="s">
        <v>7502</v>
      </c>
      <c r="G1511" s="17" t="s">
        <v>185</v>
      </c>
      <c r="H1511" s="17" t="s">
        <v>36</v>
      </c>
      <c r="I1511" s="17" t="s">
        <v>277</v>
      </c>
      <c r="J1511" s="17" t="s">
        <v>7525</v>
      </c>
      <c r="K1511" s="19"/>
      <c r="L1511" s="19"/>
      <c r="M1511" s="19"/>
      <c r="N1511" s="19"/>
      <c r="O1511" s="17" t="n">
        <v>1</v>
      </c>
      <c r="P1511" s="18" t="s">
        <v>7504</v>
      </c>
      <c r="Q1511" s="18" t="s">
        <v>7520</v>
      </c>
      <c r="R1511" s="18" t="s">
        <v>7526</v>
      </c>
      <c r="S1511" s="17" t="s">
        <v>237</v>
      </c>
      <c r="T1511" s="18" t="s">
        <v>7527</v>
      </c>
      <c r="U1511" s="19"/>
      <c r="V1511" s="18" t="s">
        <v>7528</v>
      </c>
      <c r="W1511" s="17" t="s">
        <v>240</v>
      </c>
      <c r="X1511" s="17" t="s">
        <v>7509</v>
      </c>
      <c r="Y1511" s="17" t="s">
        <v>242</v>
      </c>
      <c r="Z1511" s="19"/>
      <c r="AA1511" s="19"/>
      <c r="AB1511" s="17"/>
      <c r="AC1511" s="19"/>
    </row>
    <row r="1512" customFormat="false" ht="15" hidden="false" customHeight="false" outlineLevel="0" collapsed="false">
      <c r="A1512" s="10" t="s">
        <v>7529</v>
      </c>
      <c r="B1512" s="17" t="s">
        <v>183</v>
      </c>
      <c r="C1512" s="18" t="s">
        <v>184</v>
      </c>
      <c r="D1512" s="17" t="s">
        <v>20</v>
      </c>
      <c r="E1512" s="17" t="s">
        <v>75</v>
      </c>
      <c r="F1512" s="17" t="s">
        <v>7502</v>
      </c>
      <c r="G1512" s="17" t="s">
        <v>185</v>
      </c>
      <c r="H1512" s="17" t="s">
        <v>36</v>
      </c>
      <c r="I1512" s="17" t="s">
        <v>277</v>
      </c>
      <c r="J1512" s="17" t="s">
        <v>7530</v>
      </c>
      <c r="K1512" s="19"/>
      <c r="L1512" s="19"/>
      <c r="M1512" s="19"/>
      <c r="N1512" s="19"/>
      <c r="O1512" s="17" t="n">
        <v>1</v>
      </c>
      <c r="P1512" s="18" t="s">
        <v>7504</v>
      </c>
      <c r="Q1512" s="18" t="s">
        <v>7520</v>
      </c>
      <c r="R1512" s="18" t="s">
        <v>7531</v>
      </c>
      <c r="S1512" s="17" t="s">
        <v>7501</v>
      </c>
      <c r="T1512" s="18" t="s">
        <v>7532</v>
      </c>
      <c r="U1512" s="19"/>
      <c r="V1512" s="18" t="s">
        <v>7533</v>
      </c>
      <c r="W1512" s="17" t="s">
        <v>240</v>
      </c>
      <c r="X1512" s="17" t="s">
        <v>7509</v>
      </c>
      <c r="Y1512" s="17" t="s">
        <v>242</v>
      </c>
      <c r="Z1512" s="19"/>
      <c r="AA1512" s="19"/>
      <c r="AB1512" s="17"/>
      <c r="AC1512" s="19"/>
    </row>
    <row r="1513" customFormat="false" ht="22.35" hidden="false" customHeight="false" outlineLevel="0" collapsed="false">
      <c r="A1513" s="10" t="s">
        <v>7534</v>
      </c>
      <c r="B1513" s="17" t="s">
        <v>183</v>
      </c>
      <c r="C1513" s="18" t="s">
        <v>184</v>
      </c>
      <c r="D1513" s="17" t="s">
        <v>20</v>
      </c>
      <c r="E1513" s="17" t="s">
        <v>75</v>
      </c>
      <c r="F1513" s="17" t="s">
        <v>7502</v>
      </c>
      <c r="G1513" s="17" t="s">
        <v>185</v>
      </c>
      <c r="H1513" s="17" t="s">
        <v>36</v>
      </c>
      <c r="I1513" s="17" t="s">
        <v>283</v>
      </c>
      <c r="J1513" s="17" t="s">
        <v>7503</v>
      </c>
      <c r="K1513" s="19"/>
      <c r="L1513" s="19"/>
      <c r="M1513" s="19"/>
      <c r="N1513" s="19"/>
      <c r="O1513" s="17" t="n">
        <v>1</v>
      </c>
      <c r="P1513" s="18" t="s">
        <v>7504</v>
      </c>
      <c r="Q1513" s="18" t="s">
        <v>7520</v>
      </c>
      <c r="R1513" s="18" t="s">
        <v>7535</v>
      </c>
      <c r="S1513" s="17" t="s">
        <v>7501</v>
      </c>
      <c r="T1513" s="18" t="s">
        <v>7536</v>
      </c>
      <c r="U1513" s="19"/>
      <c r="V1513" s="18" t="s">
        <v>7537</v>
      </c>
      <c r="W1513" s="17" t="s">
        <v>240</v>
      </c>
      <c r="X1513" s="17" t="s">
        <v>7509</v>
      </c>
      <c r="Y1513" s="17" t="s">
        <v>242</v>
      </c>
      <c r="Z1513" s="19"/>
      <c r="AA1513" s="19"/>
      <c r="AB1513" s="17"/>
      <c r="AC1513" s="19"/>
    </row>
    <row r="1514" customFormat="false" ht="22.35" hidden="false" customHeight="false" outlineLevel="0" collapsed="false">
      <c r="A1514" s="10" t="s">
        <v>7538</v>
      </c>
      <c r="B1514" s="17" t="s">
        <v>183</v>
      </c>
      <c r="C1514" s="18" t="s">
        <v>184</v>
      </c>
      <c r="D1514" s="17" t="s">
        <v>20</v>
      </c>
      <c r="E1514" s="17" t="s">
        <v>75</v>
      </c>
      <c r="F1514" s="17" t="s">
        <v>7502</v>
      </c>
      <c r="G1514" s="17" t="s">
        <v>185</v>
      </c>
      <c r="H1514" s="17" t="s">
        <v>36</v>
      </c>
      <c r="I1514" s="17" t="s">
        <v>277</v>
      </c>
      <c r="J1514" s="17" t="s">
        <v>7530</v>
      </c>
      <c r="K1514" s="19"/>
      <c r="L1514" s="19"/>
      <c r="M1514" s="19"/>
      <c r="N1514" s="19"/>
      <c r="O1514" s="17" t="n">
        <v>1</v>
      </c>
      <c r="P1514" s="18" t="s">
        <v>7539</v>
      </c>
      <c r="Q1514" s="18" t="s">
        <v>7540</v>
      </c>
      <c r="R1514" s="18" t="s">
        <v>7541</v>
      </c>
      <c r="S1514" s="17" t="s">
        <v>228</v>
      </c>
      <c r="T1514" s="18" t="s">
        <v>7542</v>
      </c>
      <c r="U1514" s="19"/>
      <c r="V1514" s="18" t="s">
        <v>7543</v>
      </c>
      <c r="W1514" s="17" t="s">
        <v>240</v>
      </c>
      <c r="X1514" s="17" t="s">
        <v>7544</v>
      </c>
      <c r="Y1514" s="17" t="s">
        <v>242</v>
      </c>
      <c r="Z1514" s="19"/>
      <c r="AA1514" s="19"/>
      <c r="AB1514" s="17"/>
      <c r="AC1514" s="19"/>
    </row>
    <row r="1515" customFormat="false" ht="22.35" hidden="false" customHeight="false" outlineLevel="0" collapsed="false">
      <c r="A1515" s="10" t="s">
        <v>7545</v>
      </c>
      <c r="B1515" s="17" t="s">
        <v>183</v>
      </c>
      <c r="C1515" s="18" t="s">
        <v>184</v>
      </c>
      <c r="D1515" s="17" t="s">
        <v>20</v>
      </c>
      <c r="E1515" s="17" t="s">
        <v>75</v>
      </c>
      <c r="F1515" s="17" t="s">
        <v>7502</v>
      </c>
      <c r="G1515" s="17" t="s">
        <v>185</v>
      </c>
      <c r="H1515" s="17" t="s">
        <v>36</v>
      </c>
      <c r="I1515" s="17" t="s">
        <v>277</v>
      </c>
      <c r="J1515" s="17" t="s">
        <v>7530</v>
      </c>
      <c r="K1515" s="19"/>
      <c r="L1515" s="19"/>
      <c r="M1515" s="19"/>
      <c r="N1515" s="19"/>
      <c r="O1515" s="17" t="n">
        <v>1</v>
      </c>
      <c r="P1515" s="18" t="s">
        <v>7539</v>
      </c>
      <c r="Q1515" s="18" t="s">
        <v>7540</v>
      </c>
      <c r="R1515" s="18" t="s">
        <v>7546</v>
      </c>
      <c r="S1515" s="17" t="s">
        <v>7538</v>
      </c>
      <c r="T1515" s="18" t="s">
        <v>7547</v>
      </c>
      <c r="U1515" s="19"/>
      <c r="V1515" s="18" t="s">
        <v>7548</v>
      </c>
      <c r="W1515" s="17" t="s">
        <v>240</v>
      </c>
      <c r="X1515" s="17" t="s">
        <v>7544</v>
      </c>
      <c r="Y1515" s="17" t="s">
        <v>242</v>
      </c>
      <c r="Z1515" s="19"/>
      <c r="AA1515" s="19"/>
      <c r="AB1515" s="17"/>
      <c r="AC1515" s="19"/>
    </row>
    <row r="1516" customFormat="false" ht="22.35" hidden="false" customHeight="false" outlineLevel="0" collapsed="false">
      <c r="A1516" s="10" t="s">
        <v>7549</v>
      </c>
      <c r="B1516" s="17" t="s">
        <v>183</v>
      </c>
      <c r="C1516" s="18" t="s">
        <v>184</v>
      </c>
      <c r="D1516" s="17" t="s">
        <v>20</v>
      </c>
      <c r="E1516" s="17" t="s">
        <v>75</v>
      </c>
      <c r="F1516" s="17" t="s">
        <v>7502</v>
      </c>
      <c r="G1516" s="17" t="s">
        <v>185</v>
      </c>
      <c r="H1516" s="17" t="s">
        <v>36</v>
      </c>
      <c r="I1516" s="17" t="s">
        <v>277</v>
      </c>
      <c r="J1516" s="17" t="s">
        <v>7530</v>
      </c>
      <c r="K1516" s="19"/>
      <c r="L1516" s="19"/>
      <c r="M1516" s="19"/>
      <c r="N1516" s="19"/>
      <c r="O1516" s="17" t="n">
        <v>1</v>
      </c>
      <c r="P1516" s="18" t="s">
        <v>7539</v>
      </c>
      <c r="Q1516" s="18" t="s">
        <v>7540</v>
      </c>
      <c r="R1516" s="18" t="s">
        <v>7550</v>
      </c>
      <c r="S1516" s="17" t="s">
        <v>7538</v>
      </c>
      <c r="T1516" s="18" t="s">
        <v>7551</v>
      </c>
      <c r="U1516" s="19"/>
      <c r="V1516" s="18" t="s">
        <v>7552</v>
      </c>
      <c r="W1516" s="17" t="s">
        <v>240</v>
      </c>
      <c r="X1516" s="17" t="s">
        <v>7544</v>
      </c>
      <c r="Y1516" s="17" t="s">
        <v>242</v>
      </c>
      <c r="Z1516" s="19"/>
      <c r="AA1516" s="19"/>
      <c r="AB1516" s="17"/>
      <c r="AC1516" s="19"/>
    </row>
    <row r="1517" customFormat="false" ht="22.35" hidden="false" customHeight="false" outlineLevel="0" collapsed="false">
      <c r="A1517" s="10" t="s">
        <v>7553</v>
      </c>
      <c r="B1517" s="17" t="s">
        <v>183</v>
      </c>
      <c r="C1517" s="18" t="s">
        <v>184</v>
      </c>
      <c r="D1517" s="17" t="s">
        <v>20</v>
      </c>
      <c r="E1517" s="17" t="s">
        <v>75</v>
      </c>
      <c r="F1517" s="17" t="s">
        <v>7502</v>
      </c>
      <c r="G1517" s="17" t="s">
        <v>185</v>
      </c>
      <c r="H1517" s="17" t="s">
        <v>36</v>
      </c>
      <c r="I1517" s="17" t="s">
        <v>277</v>
      </c>
      <c r="J1517" s="17" t="s">
        <v>7530</v>
      </c>
      <c r="K1517" s="19"/>
      <c r="L1517" s="19"/>
      <c r="M1517" s="19"/>
      <c r="N1517" s="19"/>
      <c r="O1517" s="17" t="n">
        <v>1</v>
      </c>
      <c r="P1517" s="18" t="s">
        <v>7539</v>
      </c>
      <c r="Q1517" s="18" t="s">
        <v>7540</v>
      </c>
      <c r="R1517" s="18" t="s">
        <v>7554</v>
      </c>
      <c r="S1517" s="17" t="s">
        <v>7538</v>
      </c>
      <c r="T1517" s="18" t="s">
        <v>7555</v>
      </c>
      <c r="U1517" s="19"/>
      <c r="V1517" s="18" t="s">
        <v>7556</v>
      </c>
      <c r="W1517" s="17" t="s">
        <v>240</v>
      </c>
      <c r="X1517" s="17" t="s">
        <v>7544</v>
      </c>
      <c r="Y1517" s="17" t="s">
        <v>242</v>
      </c>
      <c r="Z1517" s="19"/>
      <c r="AA1517" s="19"/>
      <c r="AB1517" s="17"/>
      <c r="AC1517" s="19"/>
    </row>
    <row r="1518" customFormat="false" ht="15" hidden="false" customHeight="false" outlineLevel="0" collapsed="false">
      <c r="A1518" s="10" t="s">
        <v>7557</v>
      </c>
      <c r="B1518" s="17" t="s">
        <v>183</v>
      </c>
      <c r="C1518" s="18" t="s">
        <v>184</v>
      </c>
      <c r="D1518" s="17" t="s">
        <v>20</v>
      </c>
      <c r="E1518" s="17" t="s">
        <v>75</v>
      </c>
      <c r="F1518" s="17" t="s">
        <v>7502</v>
      </c>
      <c r="G1518" s="17" t="s">
        <v>185</v>
      </c>
      <c r="H1518" s="17" t="s">
        <v>36</v>
      </c>
      <c r="I1518" s="17" t="s">
        <v>283</v>
      </c>
      <c r="J1518" s="17" t="s">
        <v>7530</v>
      </c>
      <c r="K1518" s="19"/>
      <c r="L1518" s="19"/>
      <c r="M1518" s="19"/>
      <c r="N1518" s="19"/>
      <c r="O1518" s="17" t="n">
        <v>1</v>
      </c>
      <c r="P1518" s="18" t="s">
        <v>7539</v>
      </c>
      <c r="Q1518" s="18" t="s">
        <v>7540</v>
      </c>
      <c r="R1518" s="18" t="s">
        <v>7558</v>
      </c>
      <c r="S1518" s="17" t="s">
        <v>7538</v>
      </c>
      <c r="T1518" s="18" t="s">
        <v>7559</v>
      </c>
      <c r="U1518" s="19"/>
      <c r="V1518" s="18" t="s">
        <v>7560</v>
      </c>
      <c r="W1518" s="17" t="s">
        <v>240</v>
      </c>
      <c r="X1518" s="17" t="s">
        <v>7544</v>
      </c>
      <c r="Y1518" s="17" t="s">
        <v>242</v>
      </c>
      <c r="Z1518" s="19"/>
      <c r="AA1518" s="19"/>
      <c r="AB1518" s="17"/>
      <c r="AC1518" s="19"/>
    </row>
    <row r="1519" customFormat="false" ht="22.35" hidden="false" customHeight="false" outlineLevel="0" collapsed="false">
      <c r="A1519" s="10" t="s">
        <v>7561</v>
      </c>
      <c r="B1519" s="17" t="s">
        <v>183</v>
      </c>
      <c r="C1519" s="18" t="s">
        <v>184</v>
      </c>
      <c r="D1519" s="17" t="s">
        <v>20</v>
      </c>
      <c r="E1519" s="17" t="s">
        <v>75</v>
      </c>
      <c r="F1519" s="17" t="s">
        <v>7502</v>
      </c>
      <c r="G1519" s="17" t="s">
        <v>185</v>
      </c>
      <c r="H1519" s="17" t="s">
        <v>36</v>
      </c>
      <c r="I1519" s="17" t="s">
        <v>277</v>
      </c>
      <c r="J1519" s="17" t="s">
        <v>7503</v>
      </c>
      <c r="K1519" s="19"/>
      <c r="L1519" s="19"/>
      <c r="M1519" s="19"/>
      <c r="N1519" s="19"/>
      <c r="O1519" s="17" t="n">
        <v>1</v>
      </c>
      <c r="P1519" s="18" t="s">
        <v>7562</v>
      </c>
      <c r="Q1519" s="18" t="s">
        <v>7563</v>
      </c>
      <c r="R1519" s="18" t="s">
        <v>7564</v>
      </c>
      <c r="S1519" s="17" t="s">
        <v>7538</v>
      </c>
      <c r="T1519" s="18" t="s">
        <v>7565</v>
      </c>
      <c r="U1519" s="19"/>
      <c r="V1519" s="18" t="s">
        <v>7566</v>
      </c>
      <c r="W1519" s="17" t="s">
        <v>240</v>
      </c>
      <c r="X1519" s="17" t="s">
        <v>7567</v>
      </c>
      <c r="Y1519" s="17" t="s">
        <v>242</v>
      </c>
      <c r="Z1519" s="19"/>
      <c r="AA1519" s="19"/>
      <c r="AB1519" s="17"/>
      <c r="AC1519" s="19"/>
    </row>
    <row r="1520" customFormat="false" ht="22.35" hidden="false" customHeight="false" outlineLevel="0" collapsed="false">
      <c r="A1520" s="10" t="s">
        <v>7568</v>
      </c>
      <c r="B1520" s="17" t="s">
        <v>183</v>
      </c>
      <c r="C1520" s="18" t="s">
        <v>184</v>
      </c>
      <c r="D1520" s="17" t="s">
        <v>20</v>
      </c>
      <c r="E1520" s="17" t="s">
        <v>75</v>
      </c>
      <c r="F1520" s="17" t="s">
        <v>7502</v>
      </c>
      <c r="G1520" s="17" t="s">
        <v>185</v>
      </c>
      <c r="H1520" s="17" t="s">
        <v>36</v>
      </c>
      <c r="I1520" s="17" t="s">
        <v>277</v>
      </c>
      <c r="J1520" s="17" t="s">
        <v>7569</v>
      </c>
      <c r="K1520" s="19"/>
      <c r="L1520" s="19"/>
      <c r="M1520" s="19"/>
      <c r="N1520" s="19"/>
      <c r="O1520" s="17" t="n">
        <v>1</v>
      </c>
      <c r="P1520" s="18" t="s">
        <v>7562</v>
      </c>
      <c r="Q1520" s="18" t="s">
        <v>7570</v>
      </c>
      <c r="R1520" s="18" t="s">
        <v>7571</v>
      </c>
      <c r="S1520" s="17" t="s">
        <v>7561</v>
      </c>
      <c r="T1520" s="18" t="s">
        <v>7572</v>
      </c>
      <c r="U1520" s="19"/>
      <c r="V1520" s="18" t="s">
        <v>7573</v>
      </c>
      <c r="W1520" s="17" t="s">
        <v>240</v>
      </c>
      <c r="X1520" s="17" t="s">
        <v>7567</v>
      </c>
      <c r="Y1520" s="17" t="s">
        <v>242</v>
      </c>
      <c r="Z1520" s="19"/>
      <c r="AA1520" s="19"/>
      <c r="AB1520" s="17"/>
      <c r="AC1520" s="19"/>
    </row>
    <row r="1521" customFormat="false" ht="22.35" hidden="false" customHeight="false" outlineLevel="0" collapsed="false">
      <c r="A1521" s="10" t="s">
        <v>7574</v>
      </c>
      <c r="B1521" s="17" t="s">
        <v>183</v>
      </c>
      <c r="C1521" s="18" t="s">
        <v>184</v>
      </c>
      <c r="D1521" s="17" t="s">
        <v>20</v>
      </c>
      <c r="E1521" s="17" t="s">
        <v>75</v>
      </c>
      <c r="F1521" s="17" t="s">
        <v>7502</v>
      </c>
      <c r="G1521" s="17" t="s">
        <v>185</v>
      </c>
      <c r="H1521" s="17" t="s">
        <v>36</v>
      </c>
      <c r="I1521" s="17" t="s">
        <v>277</v>
      </c>
      <c r="J1521" s="17" t="s">
        <v>7575</v>
      </c>
      <c r="K1521" s="19"/>
      <c r="L1521" s="19"/>
      <c r="M1521" s="19"/>
      <c r="N1521" s="19"/>
      <c r="O1521" s="17" t="n">
        <v>1</v>
      </c>
      <c r="P1521" s="18" t="s">
        <v>7562</v>
      </c>
      <c r="Q1521" s="18" t="s">
        <v>7570</v>
      </c>
      <c r="R1521" s="18" t="s">
        <v>7576</v>
      </c>
      <c r="S1521" s="17" t="s">
        <v>7561</v>
      </c>
      <c r="T1521" s="18" t="s">
        <v>7577</v>
      </c>
      <c r="U1521" s="19"/>
      <c r="V1521" s="18" t="s">
        <v>7578</v>
      </c>
      <c r="W1521" s="17" t="s">
        <v>240</v>
      </c>
      <c r="X1521" s="17" t="s">
        <v>7567</v>
      </c>
      <c r="Y1521" s="17" t="s">
        <v>242</v>
      </c>
      <c r="Z1521" s="19"/>
      <c r="AA1521" s="19"/>
      <c r="AB1521" s="17"/>
      <c r="AC1521" s="19"/>
    </row>
    <row r="1522" customFormat="false" ht="22.35" hidden="false" customHeight="false" outlineLevel="0" collapsed="false">
      <c r="A1522" s="10" t="s">
        <v>7579</v>
      </c>
      <c r="B1522" s="17" t="s">
        <v>183</v>
      </c>
      <c r="C1522" s="18" t="s">
        <v>184</v>
      </c>
      <c r="D1522" s="17" t="s">
        <v>20</v>
      </c>
      <c r="E1522" s="17" t="s">
        <v>75</v>
      </c>
      <c r="F1522" s="17" t="s">
        <v>7502</v>
      </c>
      <c r="G1522" s="17" t="s">
        <v>185</v>
      </c>
      <c r="H1522" s="17" t="s">
        <v>36</v>
      </c>
      <c r="I1522" s="17" t="s">
        <v>277</v>
      </c>
      <c r="J1522" s="17" t="s">
        <v>7580</v>
      </c>
      <c r="K1522" s="19"/>
      <c r="L1522" s="19"/>
      <c r="M1522" s="19"/>
      <c r="N1522" s="19"/>
      <c r="O1522" s="17" t="n">
        <v>1</v>
      </c>
      <c r="P1522" s="18" t="s">
        <v>7562</v>
      </c>
      <c r="Q1522" s="18" t="s">
        <v>7570</v>
      </c>
      <c r="R1522" s="18" t="s">
        <v>7581</v>
      </c>
      <c r="S1522" s="17" t="s">
        <v>7561</v>
      </c>
      <c r="T1522" s="18" t="s">
        <v>7582</v>
      </c>
      <c r="U1522" s="19"/>
      <c r="V1522" s="18" t="s">
        <v>7583</v>
      </c>
      <c r="W1522" s="17" t="s">
        <v>240</v>
      </c>
      <c r="X1522" s="17" t="s">
        <v>7567</v>
      </c>
      <c r="Y1522" s="17" t="s">
        <v>242</v>
      </c>
      <c r="Z1522" s="19"/>
      <c r="AA1522" s="19"/>
      <c r="AB1522" s="17"/>
      <c r="AC1522" s="19"/>
    </row>
    <row r="1523" customFormat="false" ht="15" hidden="false" customHeight="false" outlineLevel="0" collapsed="false">
      <c r="A1523" s="10" t="s">
        <v>7584</v>
      </c>
      <c r="B1523" s="17" t="s">
        <v>183</v>
      </c>
      <c r="C1523" s="18" t="s">
        <v>184</v>
      </c>
      <c r="D1523" s="17" t="s">
        <v>20</v>
      </c>
      <c r="E1523" s="17" t="s">
        <v>75</v>
      </c>
      <c r="F1523" s="17" t="s">
        <v>7502</v>
      </c>
      <c r="G1523" s="17" t="s">
        <v>185</v>
      </c>
      <c r="H1523" s="17" t="s">
        <v>36</v>
      </c>
      <c r="I1523" s="17" t="s">
        <v>283</v>
      </c>
      <c r="J1523" s="17" t="s">
        <v>7503</v>
      </c>
      <c r="K1523" s="19"/>
      <c r="L1523" s="19"/>
      <c r="M1523" s="19"/>
      <c r="N1523" s="19"/>
      <c r="O1523" s="17" t="n">
        <v>1</v>
      </c>
      <c r="P1523" s="18" t="s">
        <v>7562</v>
      </c>
      <c r="Q1523" s="18" t="s">
        <v>7570</v>
      </c>
      <c r="R1523" s="18" t="s">
        <v>7585</v>
      </c>
      <c r="S1523" s="17" t="s">
        <v>7561</v>
      </c>
      <c r="T1523" s="18" t="s">
        <v>7586</v>
      </c>
      <c r="U1523" s="19"/>
      <c r="V1523" s="18" t="s">
        <v>7560</v>
      </c>
      <c r="W1523" s="17" t="s">
        <v>240</v>
      </c>
      <c r="X1523" s="17" t="s">
        <v>7567</v>
      </c>
      <c r="Y1523" s="17" t="s">
        <v>242</v>
      </c>
      <c r="Z1523" s="19"/>
      <c r="AA1523" s="19"/>
      <c r="AB1523" s="17"/>
      <c r="AC1523" s="19"/>
    </row>
    <row r="1524" customFormat="false" ht="22.35" hidden="false" customHeight="false" outlineLevel="0" collapsed="false">
      <c r="A1524" s="10" t="s">
        <v>7587</v>
      </c>
      <c r="B1524" s="17" t="s">
        <v>183</v>
      </c>
      <c r="C1524" s="18" t="s">
        <v>184</v>
      </c>
      <c r="D1524" s="17" t="s">
        <v>20</v>
      </c>
      <c r="E1524" s="17" t="s">
        <v>75</v>
      </c>
      <c r="F1524" s="17" t="s">
        <v>7502</v>
      </c>
      <c r="G1524" s="17" t="s">
        <v>185</v>
      </c>
      <c r="H1524" s="17" t="s">
        <v>36</v>
      </c>
      <c r="I1524" s="17" t="s">
        <v>277</v>
      </c>
      <c r="J1524" s="17" t="s">
        <v>7580</v>
      </c>
      <c r="K1524" s="19"/>
      <c r="L1524" s="19"/>
      <c r="M1524" s="19"/>
      <c r="N1524" s="19"/>
      <c r="O1524" s="17" t="n">
        <v>1</v>
      </c>
      <c r="P1524" s="18" t="s">
        <v>7588</v>
      </c>
      <c r="Q1524" s="18" t="s">
        <v>7589</v>
      </c>
      <c r="R1524" s="18" t="s">
        <v>7590</v>
      </c>
      <c r="S1524" s="17" t="s">
        <v>237</v>
      </c>
      <c r="T1524" s="18" t="s">
        <v>2695</v>
      </c>
      <c r="U1524" s="19"/>
      <c r="V1524" s="18" t="s">
        <v>7591</v>
      </c>
      <c r="W1524" s="17" t="s">
        <v>240</v>
      </c>
      <c r="X1524" s="17" t="s">
        <v>7592</v>
      </c>
      <c r="Y1524" s="17" t="s">
        <v>242</v>
      </c>
      <c r="Z1524" s="19"/>
      <c r="AA1524" s="19"/>
      <c r="AB1524" s="17"/>
      <c r="AC1524" s="19"/>
    </row>
    <row r="1525" customFormat="false" ht="22.35" hidden="false" customHeight="false" outlineLevel="0" collapsed="false">
      <c r="A1525" s="10" t="s">
        <v>7593</v>
      </c>
      <c r="B1525" s="17" t="s">
        <v>183</v>
      </c>
      <c r="C1525" s="18" t="s">
        <v>184</v>
      </c>
      <c r="D1525" s="17" t="s">
        <v>20</v>
      </c>
      <c r="E1525" s="17" t="s">
        <v>75</v>
      </c>
      <c r="F1525" s="17" t="s">
        <v>7502</v>
      </c>
      <c r="G1525" s="17" t="s">
        <v>185</v>
      </c>
      <c r="H1525" s="17" t="s">
        <v>36</v>
      </c>
      <c r="I1525" s="17" t="s">
        <v>277</v>
      </c>
      <c r="J1525" s="17" t="s">
        <v>7580</v>
      </c>
      <c r="K1525" s="19"/>
      <c r="L1525" s="19"/>
      <c r="M1525" s="19"/>
      <c r="N1525" s="19"/>
      <c r="O1525" s="17" t="n">
        <v>1</v>
      </c>
      <c r="P1525" s="18" t="s">
        <v>7588</v>
      </c>
      <c r="Q1525" s="18" t="s">
        <v>7589</v>
      </c>
      <c r="R1525" s="18" t="s">
        <v>7594</v>
      </c>
      <c r="S1525" s="17" t="s">
        <v>237</v>
      </c>
      <c r="T1525" s="18" t="s">
        <v>7595</v>
      </c>
      <c r="U1525" s="19"/>
      <c r="V1525" s="18" t="s">
        <v>7596</v>
      </c>
      <c r="W1525" s="17" t="s">
        <v>240</v>
      </c>
      <c r="X1525" s="17" t="s">
        <v>7592</v>
      </c>
      <c r="Y1525" s="17" t="s">
        <v>242</v>
      </c>
      <c r="Z1525" s="19"/>
      <c r="AA1525" s="19"/>
      <c r="AB1525" s="17"/>
      <c r="AC1525" s="19"/>
    </row>
    <row r="1526" customFormat="false" ht="22.35" hidden="false" customHeight="false" outlineLevel="0" collapsed="false">
      <c r="A1526" s="10" t="s">
        <v>7597</v>
      </c>
      <c r="B1526" s="17" t="s">
        <v>183</v>
      </c>
      <c r="C1526" s="18" t="s">
        <v>184</v>
      </c>
      <c r="D1526" s="17" t="s">
        <v>20</v>
      </c>
      <c r="E1526" s="17" t="s">
        <v>75</v>
      </c>
      <c r="F1526" s="17" t="s">
        <v>7502</v>
      </c>
      <c r="G1526" s="17" t="s">
        <v>185</v>
      </c>
      <c r="H1526" s="17" t="s">
        <v>36</v>
      </c>
      <c r="I1526" s="17" t="s">
        <v>316</v>
      </c>
      <c r="J1526" s="17" t="s">
        <v>7580</v>
      </c>
      <c r="K1526" s="19"/>
      <c r="L1526" s="19"/>
      <c r="M1526" s="19"/>
      <c r="N1526" s="19"/>
      <c r="O1526" s="17" t="n">
        <v>1</v>
      </c>
      <c r="P1526" s="18" t="s">
        <v>7588</v>
      </c>
      <c r="Q1526" s="18" t="s">
        <v>7598</v>
      </c>
      <c r="R1526" s="18" t="s">
        <v>7599</v>
      </c>
      <c r="S1526" s="17" t="s">
        <v>237</v>
      </c>
      <c r="T1526" s="18" t="s">
        <v>7600</v>
      </c>
      <c r="U1526" s="19"/>
      <c r="V1526" s="18" t="s">
        <v>7601</v>
      </c>
      <c r="W1526" s="17" t="s">
        <v>240</v>
      </c>
      <c r="X1526" s="17" t="s">
        <v>7592</v>
      </c>
      <c r="Y1526" s="17" t="s">
        <v>242</v>
      </c>
      <c r="Z1526" s="19"/>
      <c r="AA1526" s="19"/>
      <c r="AB1526" s="17"/>
      <c r="AC1526" s="19"/>
    </row>
    <row r="1527" customFormat="false" ht="22.35" hidden="false" customHeight="false" outlineLevel="0" collapsed="false">
      <c r="A1527" s="10" t="s">
        <v>7602</v>
      </c>
      <c r="B1527" s="17" t="s">
        <v>183</v>
      </c>
      <c r="C1527" s="18" t="s">
        <v>184</v>
      </c>
      <c r="D1527" s="17" t="s">
        <v>20</v>
      </c>
      <c r="E1527" s="17" t="s">
        <v>75</v>
      </c>
      <c r="F1527" s="17" t="s">
        <v>7502</v>
      </c>
      <c r="G1527" s="17" t="s">
        <v>185</v>
      </c>
      <c r="H1527" s="17" t="s">
        <v>36</v>
      </c>
      <c r="I1527" s="17" t="s">
        <v>450</v>
      </c>
      <c r="J1527" s="17" t="s">
        <v>7580</v>
      </c>
      <c r="K1527" s="19"/>
      <c r="L1527" s="19"/>
      <c r="M1527" s="19"/>
      <c r="N1527" s="19"/>
      <c r="O1527" s="17" t="n">
        <v>1</v>
      </c>
      <c r="P1527" s="18" t="s">
        <v>7588</v>
      </c>
      <c r="Q1527" s="18" t="s">
        <v>7603</v>
      </c>
      <c r="R1527" s="18" t="s">
        <v>7604</v>
      </c>
      <c r="S1527" s="17" t="s">
        <v>237</v>
      </c>
      <c r="T1527" s="18" t="s">
        <v>7605</v>
      </c>
      <c r="U1527" s="19"/>
      <c r="V1527" s="18" t="s">
        <v>7606</v>
      </c>
      <c r="W1527" s="17" t="s">
        <v>240</v>
      </c>
      <c r="X1527" s="17" t="s">
        <v>7592</v>
      </c>
      <c r="Y1527" s="17" t="s">
        <v>242</v>
      </c>
      <c r="Z1527" s="19"/>
      <c r="AA1527" s="19"/>
      <c r="AB1527" s="17"/>
      <c r="AC1527" s="19"/>
    </row>
    <row r="1528" customFormat="false" ht="15" hidden="false" customHeight="false" outlineLevel="0" collapsed="false">
      <c r="A1528" s="10" t="s">
        <v>7607</v>
      </c>
      <c r="B1528" s="17" t="s">
        <v>183</v>
      </c>
      <c r="C1528" s="18" t="s">
        <v>184</v>
      </c>
      <c r="D1528" s="17" t="s">
        <v>20</v>
      </c>
      <c r="E1528" s="17" t="s">
        <v>75</v>
      </c>
      <c r="F1528" s="17" t="s">
        <v>7502</v>
      </c>
      <c r="G1528" s="17" t="s">
        <v>185</v>
      </c>
      <c r="H1528" s="17" t="s">
        <v>36</v>
      </c>
      <c r="I1528" s="17" t="s">
        <v>450</v>
      </c>
      <c r="J1528" s="17" t="s">
        <v>7525</v>
      </c>
      <c r="K1528" s="19"/>
      <c r="L1528" s="19"/>
      <c r="M1528" s="19"/>
      <c r="N1528" s="19"/>
      <c r="O1528" s="17" t="n">
        <v>1</v>
      </c>
      <c r="P1528" s="18" t="s">
        <v>7588</v>
      </c>
      <c r="Q1528" s="18" t="s">
        <v>7603</v>
      </c>
      <c r="R1528" s="18" t="s">
        <v>7608</v>
      </c>
      <c r="S1528" s="17" t="s">
        <v>7574</v>
      </c>
      <c r="T1528" s="18" t="s">
        <v>7609</v>
      </c>
      <c r="U1528" s="19"/>
      <c r="V1528" s="18" t="s">
        <v>7610</v>
      </c>
      <c r="W1528" s="17" t="s">
        <v>240</v>
      </c>
      <c r="X1528" s="17" t="s">
        <v>7592</v>
      </c>
      <c r="Y1528" s="17" t="s">
        <v>242</v>
      </c>
      <c r="Z1528" s="19"/>
      <c r="AA1528" s="19"/>
      <c r="AB1528" s="17"/>
      <c r="AC1528" s="19"/>
    </row>
    <row r="1529" customFormat="false" ht="15" hidden="false" customHeight="false" outlineLevel="0" collapsed="false">
      <c r="A1529" s="10" t="s">
        <v>7611</v>
      </c>
      <c r="B1529" s="17" t="s">
        <v>183</v>
      </c>
      <c r="C1529" s="18" t="s">
        <v>184</v>
      </c>
      <c r="D1529" s="17" t="s">
        <v>20</v>
      </c>
      <c r="E1529" s="17" t="s">
        <v>75</v>
      </c>
      <c r="F1529" s="17" t="s">
        <v>7502</v>
      </c>
      <c r="G1529" s="17" t="s">
        <v>185</v>
      </c>
      <c r="H1529" s="17" t="s">
        <v>36</v>
      </c>
      <c r="I1529" s="17" t="s">
        <v>283</v>
      </c>
      <c r="J1529" s="17" t="s">
        <v>7580</v>
      </c>
      <c r="K1529" s="19"/>
      <c r="L1529" s="19"/>
      <c r="M1529" s="19"/>
      <c r="N1529" s="19"/>
      <c r="O1529" s="17" t="n">
        <v>1</v>
      </c>
      <c r="P1529" s="18" t="s">
        <v>7588</v>
      </c>
      <c r="Q1529" s="18" t="s">
        <v>7603</v>
      </c>
      <c r="R1529" s="18" t="s">
        <v>7612</v>
      </c>
      <c r="S1529" s="17" t="s">
        <v>7587</v>
      </c>
      <c r="T1529" s="18" t="s">
        <v>7613</v>
      </c>
      <c r="U1529" s="19"/>
      <c r="V1529" s="18" t="s">
        <v>7560</v>
      </c>
      <c r="W1529" s="17" t="s">
        <v>240</v>
      </c>
      <c r="X1529" s="17" t="s">
        <v>7592</v>
      </c>
      <c r="Y1529" s="17" t="s">
        <v>242</v>
      </c>
      <c r="Z1529" s="19"/>
      <c r="AA1529" s="19"/>
      <c r="AB1529" s="17"/>
      <c r="AC1529" s="19"/>
    </row>
    <row r="1530" customFormat="false" ht="15" hidden="false" customHeight="false" outlineLevel="0" collapsed="false">
      <c r="A1530" s="10" t="s">
        <v>7614</v>
      </c>
      <c r="B1530" s="17" t="s">
        <v>183</v>
      </c>
      <c r="C1530" s="18" t="s">
        <v>184</v>
      </c>
      <c r="D1530" s="17" t="s">
        <v>20</v>
      </c>
      <c r="E1530" s="17" t="s">
        <v>75</v>
      </c>
      <c r="F1530" s="17" t="s">
        <v>7502</v>
      </c>
      <c r="G1530" s="17" t="s">
        <v>185</v>
      </c>
      <c r="H1530" s="17" t="s">
        <v>36</v>
      </c>
      <c r="I1530" s="17" t="s">
        <v>333</v>
      </c>
      <c r="J1530" s="17" t="s">
        <v>7503</v>
      </c>
      <c r="K1530" s="19"/>
      <c r="L1530" s="19"/>
      <c r="M1530" s="19"/>
      <c r="N1530" s="19"/>
      <c r="O1530" s="17" t="n">
        <v>1</v>
      </c>
      <c r="P1530" s="18" t="s">
        <v>342</v>
      </c>
      <c r="Q1530" s="18" t="s">
        <v>7615</v>
      </c>
      <c r="R1530" s="18" t="s">
        <v>7616</v>
      </c>
      <c r="S1530" s="17" t="s">
        <v>237</v>
      </c>
      <c r="T1530" s="18" t="s">
        <v>7617</v>
      </c>
      <c r="U1530" s="19"/>
      <c r="V1530" s="18" t="s">
        <v>7618</v>
      </c>
      <c r="W1530" s="17" t="s">
        <v>240</v>
      </c>
      <c r="X1530" s="17" t="s">
        <v>7619</v>
      </c>
      <c r="Y1530" s="17" t="s">
        <v>242</v>
      </c>
      <c r="Z1530" s="19"/>
      <c r="AA1530" s="19"/>
      <c r="AB1530" s="17"/>
      <c r="AC1530" s="19"/>
    </row>
    <row r="1531" customFormat="false" ht="22.35" hidden="false" customHeight="false" outlineLevel="0" collapsed="false">
      <c r="A1531" s="10" t="s">
        <v>7620</v>
      </c>
      <c r="B1531" s="17" t="s">
        <v>183</v>
      </c>
      <c r="C1531" s="18" t="s">
        <v>184</v>
      </c>
      <c r="D1531" s="17" t="s">
        <v>20</v>
      </c>
      <c r="E1531" s="17" t="s">
        <v>75</v>
      </c>
      <c r="F1531" s="17" t="s">
        <v>7502</v>
      </c>
      <c r="G1531" s="17" t="s">
        <v>185</v>
      </c>
      <c r="H1531" s="17" t="s">
        <v>36</v>
      </c>
      <c r="I1531" s="17" t="s">
        <v>333</v>
      </c>
      <c r="J1531" s="17" t="s">
        <v>7569</v>
      </c>
      <c r="K1531" s="19"/>
      <c r="L1531" s="19"/>
      <c r="M1531" s="19"/>
      <c r="N1531" s="19"/>
      <c r="O1531" s="17" t="n">
        <v>1</v>
      </c>
      <c r="P1531" s="18" t="s">
        <v>342</v>
      </c>
      <c r="Q1531" s="18" t="s">
        <v>7615</v>
      </c>
      <c r="R1531" s="18" t="s">
        <v>7621</v>
      </c>
      <c r="S1531" s="17" t="s">
        <v>7614</v>
      </c>
      <c r="T1531" s="18" t="s">
        <v>7622</v>
      </c>
      <c r="U1531" s="19"/>
      <c r="V1531" s="18" t="s">
        <v>7623</v>
      </c>
      <c r="W1531" s="17" t="s">
        <v>240</v>
      </c>
      <c r="X1531" s="17" t="s">
        <v>7619</v>
      </c>
      <c r="Y1531" s="17" t="s">
        <v>242</v>
      </c>
      <c r="Z1531" s="19"/>
      <c r="AA1531" s="19"/>
      <c r="AB1531" s="17"/>
      <c r="AC1531" s="19"/>
    </row>
    <row r="1532" customFormat="false" ht="22.35" hidden="false" customHeight="false" outlineLevel="0" collapsed="false">
      <c r="A1532" s="10" t="s">
        <v>7624</v>
      </c>
      <c r="B1532" s="17" t="s">
        <v>183</v>
      </c>
      <c r="C1532" s="18" t="s">
        <v>184</v>
      </c>
      <c r="D1532" s="17" t="s">
        <v>20</v>
      </c>
      <c r="E1532" s="17" t="s">
        <v>229</v>
      </c>
      <c r="F1532" s="17" t="s">
        <v>7502</v>
      </c>
      <c r="G1532" s="17" t="s">
        <v>185</v>
      </c>
      <c r="H1532" s="17" t="s">
        <v>36</v>
      </c>
      <c r="I1532" s="17" t="s">
        <v>333</v>
      </c>
      <c r="J1532" s="17" t="s">
        <v>7569</v>
      </c>
      <c r="K1532" s="19"/>
      <c r="L1532" s="19"/>
      <c r="M1532" s="19"/>
      <c r="N1532" s="19"/>
      <c r="O1532" s="17" t="n">
        <v>1</v>
      </c>
      <c r="P1532" s="18" t="s">
        <v>342</v>
      </c>
      <c r="Q1532" s="18" t="s">
        <v>7615</v>
      </c>
      <c r="R1532" s="18" t="s">
        <v>7625</v>
      </c>
      <c r="S1532" s="17" t="s">
        <v>7614</v>
      </c>
      <c r="T1532" s="18" t="s">
        <v>7626</v>
      </c>
      <c r="U1532" s="19"/>
      <c r="V1532" s="18" t="s">
        <v>7627</v>
      </c>
      <c r="W1532" s="17" t="s">
        <v>240</v>
      </c>
      <c r="X1532" s="17" t="s">
        <v>5087</v>
      </c>
      <c r="Y1532" s="17" t="s">
        <v>242</v>
      </c>
      <c r="Z1532" s="19"/>
      <c r="AA1532" s="19"/>
      <c r="AB1532" s="17"/>
      <c r="AC1532" s="19"/>
    </row>
    <row r="1533" customFormat="false" ht="22.35" hidden="false" customHeight="false" outlineLevel="0" collapsed="false">
      <c r="A1533" s="10" t="s">
        <v>7628</v>
      </c>
      <c r="B1533" s="17" t="s">
        <v>183</v>
      </c>
      <c r="C1533" s="18" t="s">
        <v>184</v>
      </c>
      <c r="D1533" s="17" t="s">
        <v>20</v>
      </c>
      <c r="E1533" s="17" t="s">
        <v>75</v>
      </c>
      <c r="F1533" s="17" t="s">
        <v>7502</v>
      </c>
      <c r="G1533" s="17" t="s">
        <v>185</v>
      </c>
      <c r="H1533" s="17" t="s">
        <v>36</v>
      </c>
      <c r="I1533" s="17" t="s">
        <v>333</v>
      </c>
      <c r="J1533" s="17" t="s">
        <v>7569</v>
      </c>
      <c r="K1533" s="19"/>
      <c r="L1533" s="19"/>
      <c r="M1533" s="19"/>
      <c r="N1533" s="19"/>
      <c r="O1533" s="17" t="n">
        <v>1</v>
      </c>
      <c r="P1533" s="18" t="s">
        <v>342</v>
      </c>
      <c r="Q1533" s="18" t="s">
        <v>7629</v>
      </c>
      <c r="R1533" s="18" t="s">
        <v>7630</v>
      </c>
      <c r="S1533" s="17" t="s">
        <v>237</v>
      </c>
      <c r="T1533" s="18" t="s">
        <v>1560</v>
      </c>
      <c r="U1533" s="19"/>
      <c r="V1533" s="18" t="s">
        <v>7631</v>
      </c>
      <c r="W1533" s="17" t="s">
        <v>240</v>
      </c>
      <c r="X1533" s="17" t="s">
        <v>7619</v>
      </c>
      <c r="Y1533" s="17" t="s">
        <v>242</v>
      </c>
      <c r="Z1533" s="19"/>
      <c r="AA1533" s="19"/>
      <c r="AB1533" s="17"/>
      <c r="AC1533" s="19"/>
    </row>
    <row r="1534" customFormat="false" ht="22.35" hidden="false" customHeight="false" outlineLevel="0" collapsed="false">
      <c r="A1534" s="10" t="s">
        <v>7632</v>
      </c>
      <c r="B1534" s="17" t="s">
        <v>183</v>
      </c>
      <c r="C1534" s="18" t="s">
        <v>184</v>
      </c>
      <c r="D1534" s="17" t="s">
        <v>20</v>
      </c>
      <c r="E1534" s="17" t="s">
        <v>75</v>
      </c>
      <c r="F1534" s="17" t="s">
        <v>7502</v>
      </c>
      <c r="G1534" s="17" t="s">
        <v>185</v>
      </c>
      <c r="H1534" s="17" t="s">
        <v>36</v>
      </c>
      <c r="I1534" s="17" t="s">
        <v>289</v>
      </c>
      <c r="J1534" s="17" t="s">
        <v>7503</v>
      </c>
      <c r="K1534" s="19"/>
      <c r="L1534" s="19"/>
      <c r="M1534" s="19"/>
      <c r="N1534" s="19"/>
      <c r="O1534" s="17" t="n">
        <v>1</v>
      </c>
      <c r="P1534" s="18" t="s">
        <v>342</v>
      </c>
      <c r="Q1534" s="18" t="s">
        <v>7629</v>
      </c>
      <c r="R1534" s="18" t="s">
        <v>7633</v>
      </c>
      <c r="S1534" s="17" t="s">
        <v>237</v>
      </c>
      <c r="T1534" s="18" t="s">
        <v>7634</v>
      </c>
      <c r="U1534" s="19"/>
      <c r="V1534" s="18" t="s">
        <v>7635</v>
      </c>
      <c r="W1534" s="17" t="s">
        <v>240</v>
      </c>
      <c r="X1534" s="17" t="s">
        <v>7619</v>
      </c>
      <c r="Y1534" s="17" t="s">
        <v>242</v>
      </c>
      <c r="Z1534" s="19"/>
      <c r="AA1534" s="19"/>
      <c r="AB1534" s="17"/>
      <c r="AC1534" s="19"/>
    </row>
    <row r="1535" customFormat="false" ht="22.35" hidden="false" customHeight="false" outlineLevel="0" collapsed="false">
      <c r="A1535" s="10" t="s">
        <v>7636</v>
      </c>
      <c r="B1535" s="17" t="s">
        <v>183</v>
      </c>
      <c r="C1535" s="18" t="s">
        <v>184</v>
      </c>
      <c r="D1535" s="17" t="s">
        <v>20</v>
      </c>
      <c r="E1535" s="17" t="s">
        <v>75</v>
      </c>
      <c r="F1535" s="17" t="s">
        <v>7502</v>
      </c>
      <c r="G1535" s="17" t="s">
        <v>185</v>
      </c>
      <c r="H1535" s="17" t="s">
        <v>36</v>
      </c>
      <c r="I1535" s="17" t="s">
        <v>289</v>
      </c>
      <c r="J1535" s="17" t="s">
        <v>7569</v>
      </c>
      <c r="K1535" s="19"/>
      <c r="L1535" s="19"/>
      <c r="M1535" s="19"/>
      <c r="N1535" s="19"/>
      <c r="O1535" s="17" t="n">
        <v>1</v>
      </c>
      <c r="P1535" s="18" t="s">
        <v>342</v>
      </c>
      <c r="Q1535" s="18" t="s">
        <v>7629</v>
      </c>
      <c r="R1535" s="18" t="s">
        <v>7637</v>
      </c>
      <c r="S1535" s="17" t="s">
        <v>237</v>
      </c>
      <c r="T1535" s="18" t="s">
        <v>7638</v>
      </c>
      <c r="U1535" s="19"/>
      <c r="V1535" s="18" t="s">
        <v>7639</v>
      </c>
      <c r="W1535" s="17" t="s">
        <v>240</v>
      </c>
      <c r="X1535" s="17" t="s">
        <v>7619</v>
      </c>
      <c r="Y1535" s="17" t="s">
        <v>242</v>
      </c>
      <c r="Z1535" s="19"/>
      <c r="AA1535" s="19"/>
      <c r="AB1535" s="17"/>
      <c r="AC1535" s="19"/>
    </row>
    <row r="1536" customFormat="false" ht="22.35" hidden="false" customHeight="false" outlineLevel="0" collapsed="false">
      <c r="A1536" s="10" t="s">
        <v>7640</v>
      </c>
      <c r="B1536" s="17" t="s">
        <v>183</v>
      </c>
      <c r="C1536" s="18" t="s">
        <v>184</v>
      </c>
      <c r="D1536" s="17" t="s">
        <v>20</v>
      </c>
      <c r="E1536" s="17" t="s">
        <v>75</v>
      </c>
      <c r="F1536" s="17" t="s">
        <v>7502</v>
      </c>
      <c r="G1536" s="17" t="s">
        <v>185</v>
      </c>
      <c r="H1536" s="17" t="s">
        <v>36</v>
      </c>
      <c r="I1536" s="17" t="s">
        <v>333</v>
      </c>
      <c r="J1536" s="17" t="s">
        <v>7503</v>
      </c>
      <c r="K1536" s="19"/>
      <c r="L1536" s="19"/>
      <c r="M1536" s="19"/>
      <c r="N1536" s="19"/>
      <c r="O1536" s="17" t="n">
        <v>1</v>
      </c>
      <c r="P1536" s="18" t="s">
        <v>342</v>
      </c>
      <c r="Q1536" s="18" t="s">
        <v>7629</v>
      </c>
      <c r="R1536" s="18" t="s">
        <v>7641</v>
      </c>
      <c r="S1536" s="17" t="s">
        <v>7614</v>
      </c>
      <c r="T1536" s="18" t="s">
        <v>7642</v>
      </c>
      <c r="U1536" s="19"/>
      <c r="V1536" s="18" t="s">
        <v>7643</v>
      </c>
      <c r="W1536" s="17" t="s">
        <v>240</v>
      </c>
      <c r="X1536" s="17" t="s">
        <v>7619</v>
      </c>
      <c r="Y1536" s="17" t="s">
        <v>242</v>
      </c>
      <c r="Z1536" s="19"/>
      <c r="AA1536" s="19"/>
      <c r="AB1536" s="17"/>
      <c r="AC1536" s="19"/>
    </row>
    <row r="1537" customFormat="false" ht="15" hidden="false" customHeight="false" outlineLevel="0" collapsed="false">
      <c r="A1537" s="10" t="s">
        <v>7644</v>
      </c>
      <c r="B1537" s="17" t="s">
        <v>183</v>
      </c>
      <c r="C1537" s="18" t="s">
        <v>184</v>
      </c>
      <c r="D1537" s="17" t="s">
        <v>20</v>
      </c>
      <c r="E1537" s="17" t="s">
        <v>75</v>
      </c>
      <c r="F1537" s="17" t="s">
        <v>7502</v>
      </c>
      <c r="G1537" s="17" t="s">
        <v>185</v>
      </c>
      <c r="H1537" s="17" t="s">
        <v>36</v>
      </c>
      <c r="I1537" s="17" t="s">
        <v>333</v>
      </c>
      <c r="J1537" s="17" t="s">
        <v>7503</v>
      </c>
      <c r="K1537" s="19"/>
      <c r="L1537" s="19"/>
      <c r="M1537" s="19"/>
      <c r="N1537" s="19"/>
      <c r="O1537" s="17" t="n">
        <v>1</v>
      </c>
      <c r="P1537" s="18" t="s">
        <v>342</v>
      </c>
      <c r="Q1537" s="18" t="s">
        <v>7629</v>
      </c>
      <c r="R1537" s="18" t="s">
        <v>7645</v>
      </c>
      <c r="S1537" s="17" t="s">
        <v>7614</v>
      </c>
      <c r="T1537" s="18" t="s">
        <v>7646</v>
      </c>
      <c r="U1537" s="19"/>
      <c r="V1537" s="18" t="s">
        <v>7647</v>
      </c>
      <c r="W1537" s="17" t="s">
        <v>240</v>
      </c>
      <c r="X1537" s="17" t="s">
        <v>7619</v>
      </c>
      <c r="Y1537" s="17" t="s">
        <v>242</v>
      </c>
      <c r="Z1537" s="19"/>
      <c r="AA1537" s="19"/>
      <c r="AB1537" s="17"/>
      <c r="AC1537" s="19"/>
    </row>
    <row r="1538" customFormat="false" ht="22.35" hidden="false" customHeight="false" outlineLevel="0" collapsed="false">
      <c r="A1538" s="10" t="s">
        <v>7648</v>
      </c>
      <c r="B1538" s="17" t="s">
        <v>183</v>
      </c>
      <c r="C1538" s="18" t="s">
        <v>184</v>
      </c>
      <c r="D1538" s="17" t="s">
        <v>20</v>
      </c>
      <c r="E1538" s="17" t="s">
        <v>75</v>
      </c>
      <c r="F1538" s="17" t="s">
        <v>7502</v>
      </c>
      <c r="G1538" s="17" t="s">
        <v>185</v>
      </c>
      <c r="H1538" s="17" t="s">
        <v>36</v>
      </c>
      <c r="I1538" s="17" t="s">
        <v>277</v>
      </c>
      <c r="J1538" s="17" t="s">
        <v>7525</v>
      </c>
      <c r="K1538" s="19"/>
      <c r="L1538" s="19"/>
      <c r="M1538" s="19"/>
      <c r="N1538" s="19"/>
      <c r="O1538" s="17" t="n">
        <v>1</v>
      </c>
      <c r="P1538" s="18" t="s">
        <v>7649</v>
      </c>
      <c r="Q1538" s="18" t="s">
        <v>7650</v>
      </c>
      <c r="R1538" s="18" t="s">
        <v>7651</v>
      </c>
      <c r="S1538" s="17" t="s">
        <v>237</v>
      </c>
      <c r="T1538" s="18" t="s">
        <v>665</v>
      </c>
      <c r="U1538" s="19"/>
      <c r="V1538" s="18" t="s">
        <v>7652</v>
      </c>
      <c r="W1538" s="17" t="s">
        <v>240</v>
      </c>
      <c r="X1538" s="17" t="s">
        <v>7653</v>
      </c>
      <c r="Y1538" s="17" t="s">
        <v>242</v>
      </c>
      <c r="Z1538" s="19"/>
      <c r="AA1538" s="19"/>
      <c r="AB1538" s="17"/>
      <c r="AC1538" s="19"/>
    </row>
    <row r="1539" customFormat="false" ht="22.35" hidden="false" customHeight="false" outlineLevel="0" collapsed="false">
      <c r="A1539" s="10" t="s">
        <v>7654</v>
      </c>
      <c r="B1539" s="17" t="s">
        <v>183</v>
      </c>
      <c r="C1539" s="18" t="s">
        <v>184</v>
      </c>
      <c r="D1539" s="17" t="s">
        <v>20</v>
      </c>
      <c r="E1539" s="17" t="s">
        <v>75</v>
      </c>
      <c r="F1539" s="17" t="s">
        <v>7502</v>
      </c>
      <c r="G1539" s="17" t="s">
        <v>185</v>
      </c>
      <c r="H1539" s="17" t="s">
        <v>36</v>
      </c>
      <c r="I1539" s="17" t="s">
        <v>277</v>
      </c>
      <c r="J1539" s="17" t="s">
        <v>7525</v>
      </c>
      <c r="K1539" s="19"/>
      <c r="L1539" s="19"/>
      <c r="M1539" s="19"/>
      <c r="N1539" s="19"/>
      <c r="O1539" s="17" t="n">
        <v>1</v>
      </c>
      <c r="P1539" s="18" t="s">
        <v>7649</v>
      </c>
      <c r="Q1539" s="18" t="s">
        <v>7650</v>
      </c>
      <c r="R1539" s="18" t="s">
        <v>7655</v>
      </c>
      <c r="S1539" s="17" t="s">
        <v>7648</v>
      </c>
      <c r="T1539" s="18" t="s">
        <v>7656</v>
      </c>
      <c r="U1539" s="19"/>
      <c r="V1539" s="18" t="s">
        <v>7657</v>
      </c>
      <c r="W1539" s="17" t="s">
        <v>240</v>
      </c>
      <c r="X1539" s="17" t="s">
        <v>7653</v>
      </c>
      <c r="Y1539" s="17" t="s">
        <v>242</v>
      </c>
      <c r="Z1539" s="19"/>
      <c r="AA1539" s="19"/>
      <c r="AB1539" s="17"/>
      <c r="AC1539" s="19"/>
    </row>
    <row r="1540" customFormat="false" ht="22.35" hidden="false" customHeight="false" outlineLevel="0" collapsed="false">
      <c r="A1540" s="10" t="s">
        <v>7658</v>
      </c>
      <c r="B1540" s="17" t="s">
        <v>183</v>
      </c>
      <c r="C1540" s="18" t="s">
        <v>184</v>
      </c>
      <c r="D1540" s="17" t="s">
        <v>20</v>
      </c>
      <c r="E1540" s="17" t="s">
        <v>75</v>
      </c>
      <c r="F1540" s="17" t="s">
        <v>7502</v>
      </c>
      <c r="G1540" s="17" t="s">
        <v>185</v>
      </c>
      <c r="H1540" s="17" t="s">
        <v>36</v>
      </c>
      <c r="I1540" s="17" t="s">
        <v>277</v>
      </c>
      <c r="J1540" s="17" t="s">
        <v>7525</v>
      </c>
      <c r="K1540" s="19"/>
      <c r="L1540" s="19"/>
      <c r="M1540" s="19"/>
      <c r="N1540" s="19"/>
      <c r="O1540" s="17" t="n">
        <v>1</v>
      </c>
      <c r="P1540" s="18" t="s">
        <v>7649</v>
      </c>
      <c r="Q1540" s="18" t="s">
        <v>7650</v>
      </c>
      <c r="R1540" s="18" t="s">
        <v>7659</v>
      </c>
      <c r="S1540" s="17" t="s">
        <v>7648</v>
      </c>
      <c r="T1540" s="18" t="s">
        <v>7660</v>
      </c>
      <c r="U1540" s="19"/>
      <c r="V1540" s="18" t="s">
        <v>7661</v>
      </c>
      <c r="W1540" s="17" t="s">
        <v>240</v>
      </c>
      <c r="X1540" s="17" t="s">
        <v>7653</v>
      </c>
      <c r="Y1540" s="17" t="s">
        <v>242</v>
      </c>
      <c r="Z1540" s="19"/>
      <c r="AA1540" s="19"/>
      <c r="AB1540" s="17"/>
      <c r="AC1540" s="19"/>
    </row>
    <row r="1541" customFormat="false" ht="22.35" hidden="false" customHeight="false" outlineLevel="0" collapsed="false">
      <c r="A1541" s="10" t="s">
        <v>7662</v>
      </c>
      <c r="B1541" s="17" t="s">
        <v>183</v>
      </c>
      <c r="C1541" s="18" t="s">
        <v>184</v>
      </c>
      <c r="D1541" s="17" t="s">
        <v>20</v>
      </c>
      <c r="E1541" s="17" t="s">
        <v>75</v>
      </c>
      <c r="F1541" s="17" t="s">
        <v>7502</v>
      </c>
      <c r="G1541" s="17" t="s">
        <v>185</v>
      </c>
      <c r="H1541" s="17" t="s">
        <v>36</v>
      </c>
      <c r="I1541" s="17" t="s">
        <v>283</v>
      </c>
      <c r="J1541" s="17" t="s">
        <v>7525</v>
      </c>
      <c r="K1541" s="19"/>
      <c r="L1541" s="19"/>
      <c r="M1541" s="19"/>
      <c r="N1541" s="19"/>
      <c r="O1541" s="17" t="n">
        <v>1</v>
      </c>
      <c r="P1541" s="18" t="s">
        <v>7649</v>
      </c>
      <c r="Q1541" s="18" t="s">
        <v>7650</v>
      </c>
      <c r="R1541" s="18" t="s">
        <v>7663</v>
      </c>
      <c r="S1541" s="17" t="s">
        <v>7648</v>
      </c>
      <c r="T1541" s="18" t="s">
        <v>7664</v>
      </c>
      <c r="U1541" s="19"/>
      <c r="V1541" s="18" t="s">
        <v>7665</v>
      </c>
      <c r="W1541" s="17" t="s">
        <v>240</v>
      </c>
      <c r="X1541" s="17" t="s">
        <v>7653</v>
      </c>
      <c r="Y1541" s="17" t="s">
        <v>242</v>
      </c>
      <c r="Z1541" s="19"/>
      <c r="AA1541" s="19"/>
      <c r="AB1541" s="17"/>
      <c r="AC1541" s="19"/>
    </row>
    <row r="1542" customFormat="false" ht="15" hidden="false" customHeight="false" outlineLevel="0" collapsed="false">
      <c r="A1542" s="10" t="s">
        <v>7666</v>
      </c>
      <c r="B1542" s="17" t="s">
        <v>183</v>
      </c>
      <c r="C1542" s="18" t="s">
        <v>184</v>
      </c>
      <c r="D1542" s="17" t="s">
        <v>20</v>
      </c>
      <c r="E1542" s="17" t="s">
        <v>75</v>
      </c>
      <c r="F1542" s="17" t="s">
        <v>7502</v>
      </c>
      <c r="G1542" s="17" t="s">
        <v>185</v>
      </c>
      <c r="H1542" s="17" t="s">
        <v>36</v>
      </c>
      <c r="I1542" s="17" t="s">
        <v>283</v>
      </c>
      <c r="J1542" s="17" t="s">
        <v>7525</v>
      </c>
      <c r="K1542" s="19"/>
      <c r="L1542" s="19"/>
      <c r="M1542" s="19"/>
      <c r="N1542" s="19"/>
      <c r="O1542" s="17" t="n">
        <v>1</v>
      </c>
      <c r="P1542" s="18" t="s">
        <v>7649</v>
      </c>
      <c r="Q1542" s="18" t="s">
        <v>7650</v>
      </c>
      <c r="R1542" s="18" t="s">
        <v>7667</v>
      </c>
      <c r="S1542" s="17" t="s">
        <v>7648</v>
      </c>
      <c r="T1542" s="18" t="s">
        <v>7668</v>
      </c>
      <c r="U1542" s="19"/>
      <c r="V1542" s="18" t="s">
        <v>7560</v>
      </c>
      <c r="W1542" s="17" t="s">
        <v>240</v>
      </c>
      <c r="X1542" s="17" t="s">
        <v>7653</v>
      </c>
      <c r="Y1542" s="17" t="s">
        <v>242</v>
      </c>
      <c r="Z1542" s="19"/>
      <c r="AA1542" s="19"/>
      <c r="AB1542" s="17"/>
      <c r="AC1542" s="19"/>
    </row>
    <row r="1543" customFormat="false" ht="22.35" hidden="false" customHeight="false" outlineLevel="0" collapsed="false">
      <c r="A1543" s="10" t="s">
        <v>7669</v>
      </c>
      <c r="B1543" s="17" t="s">
        <v>183</v>
      </c>
      <c r="C1543" s="18" t="s">
        <v>184</v>
      </c>
      <c r="D1543" s="17" t="s">
        <v>20</v>
      </c>
      <c r="E1543" s="17" t="s">
        <v>75</v>
      </c>
      <c r="F1543" s="17" t="s">
        <v>7502</v>
      </c>
      <c r="G1543" s="17" t="s">
        <v>185</v>
      </c>
      <c r="H1543" s="17" t="s">
        <v>36</v>
      </c>
      <c r="I1543" s="17" t="s">
        <v>1346</v>
      </c>
      <c r="J1543" s="17" t="s">
        <v>7670</v>
      </c>
      <c r="K1543" s="19"/>
      <c r="L1543" s="19"/>
      <c r="M1543" s="19"/>
      <c r="N1543" s="19"/>
      <c r="O1543" s="17" t="n">
        <v>1</v>
      </c>
      <c r="P1543" s="18" t="s">
        <v>7671</v>
      </c>
      <c r="Q1543" s="18" t="s">
        <v>7672</v>
      </c>
      <c r="R1543" s="18" t="s">
        <v>7673</v>
      </c>
      <c r="S1543" s="17" t="s">
        <v>237</v>
      </c>
      <c r="T1543" s="18" t="s">
        <v>7674</v>
      </c>
      <c r="U1543" s="19"/>
      <c r="V1543" s="18" t="s">
        <v>7675</v>
      </c>
      <c r="W1543" s="17" t="s">
        <v>240</v>
      </c>
      <c r="X1543" s="17" t="s">
        <v>7676</v>
      </c>
      <c r="Y1543" s="17" t="s">
        <v>242</v>
      </c>
      <c r="Z1543" s="19"/>
      <c r="AA1543" s="19"/>
      <c r="AB1543" s="17"/>
      <c r="AC1543" s="19"/>
    </row>
    <row r="1544" customFormat="false" ht="22.35" hidden="false" customHeight="false" outlineLevel="0" collapsed="false">
      <c r="A1544" s="10" t="s">
        <v>7677</v>
      </c>
      <c r="B1544" s="17" t="s">
        <v>183</v>
      </c>
      <c r="C1544" s="18" t="s">
        <v>184</v>
      </c>
      <c r="D1544" s="17" t="s">
        <v>20</v>
      </c>
      <c r="E1544" s="17" t="s">
        <v>75</v>
      </c>
      <c r="F1544" s="17" t="s">
        <v>7502</v>
      </c>
      <c r="G1544" s="17" t="s">
        <v>185</v>
      </c>
      <c r="H1544" s="17" t="s">
        <v>36</v>
      </c>
      <c r="I1544" s="17" t="s">
        <v>1346</v>
      </c>
      <c r="J1544" s="17" t="s">
        <v>7670</v>
      </c>
      <c r="K1544" s="19"/>
      <c r="L1544" s="19"/>
      <c r="M1544" s="19"/>
      <c r="N1544" s="19"/>
      <c r="O1544" s="17" t="n">
        <v>1</v>
      </c>
      <c r="P1544" s="18" t="s">
        <v>7671</v>
      </c>
      <c r="Q1544" s="18" t="s">
        <v>7672</v>
      </c>
      <c r="R1544" s="18" t="s">
        <v>7678</v>
      </c>
      <c r="S1544" s="17" t="s">
        <v>237</v>
      </c>
      <c r="T1544" s="18" t="s">
        <v>7679</v>
      </c>
      <c r="U1544" s="19"/>
      <c r="V1544" s="18" t="s">
        <v>7680</v>
      </c>
      <c r="W1544" s="17" t="s">
        <v>240</v>
      </c>
      <c r="X1544" s="17" t="s">
        <v>7676</v>
      </c>
      <c r="Y1544" s="17" t="s">
        <v>242</v>
      </c>
      <c r="Z1544" s="19"/>
      <c r="AA1544" s="19"/>
      <c r="AB1544" s="17"/>
      <c r="AC1544" s="19"/>
    </row>
    <row r="1545" customFormat="false" ht="15" hidden="false" customHeight="false" outlineLevel="0" collapsed="false">
      <c r="A1545" s="10" t="s">
        <v>7681</v>
      </c>
      <c r="B1545" s="17" t="s">
        <v>183</v>
      </c>
      <c r="C1545" s="18" t="s">
        <v>184</v>
      </c>
      <c r="D1545" s="17" t="s">
        <v>20</v>
      </c>
      <c r="E1545" s="17" t="s">
        <v>75</v>
      </c>
      <c r="F1545" s="17" t="s">
        <v>7502</v>
      </c>
      <c r="G1545" s="17" t="s">
        <v>185</v>
      </c>
      <c r="H1545" s="17" t="s">
        <v>36</v>
      </c>
      <c r="I1545" s="17" t="s">
        <v>1346</v>
      </c>
      <c r="J1545" s="17" t="s">
        <v>7670</v>
      </c>
      <c r="K1545" s="19"/>
      <c r="L1545" s="19"/>
      <c r="M1545" s="19"/>
      <c r="N1545" s="19"/>
      <c r="O1545" s="17" t="n">
        <v>1</v>
      </c>
      <c r="P1545" s="18" t="s">
        <v>7671</v>
      </c>
      <c r="Q1545" s="18" t="s">
        <v>7672</v>
      </c>
      <c r="R1545" s="18" t="s">
        <v>7682</v>
      </c>
      <c r="S1545" s="17" t="s">
        <v>237</v>
      </c>
      <c r="T1545" s="18" t="s">
        <v>7683</v>
      </c>
      <c r="U1545" s="19"/>
      <c r="V1545" s="18" t="s">
        <v>7684</v>
      </c>
      <c r="W1545" s="17" t="s">
        <v>240</v>
      </c>
      <c r="X1545" s="17" t="s">
        <v>7676</v>
      </c>
      <c r="Y1545" s="17" t="s">
        <v>242</v>
      </c>
      <c r="Z1545" s="19"/>
      <c r="AA1545" s="19"/>
      <c r="AB1545" s="17"/>
      <c r="AC1545" s="19"/>
    </row>
    <row r="1546" customFormat="false" ht="22.35" hidden="false" customHeight="false" outlineLevel="0" collapsed="false">
      <c r="A1546" s="10" t="s">
        <v>7685</v>
      </c>
      <c r="B1546" s="17" t="s">
        <v>183</v>
      </c>
      <c r="C1546" s="18" t="s">
        <v>184</v>
      </c>
      <c r="D1546" s="17" t="s">
        <v>20</v>
      </c>
      <c r="E1546" s="17" t="s">
        <v>75</v>
      </c>
      <c r="F1546" s="17" t="s">
        <v>7502</v>
      </c>
      <c r="G1546" s="17" t="s">
        <v>185</v>
      </c>
      <c r="H1546" s="17" t="s">
        <v>36</v>
      </c>
      <c r="I1546" s="17" t="s">
        <v>1346</v>
      </c>
      <c r="J1546" s="17" t="s">
        <v>7670</v>
      </c>
      <c r="K1546" s="19"/>
      <c r="L1546" s="19"/>
      <c r="M1546" s="19"/>
      <c r="N1546" s="19"/>
      <c r="O1546" s="17" t="n">
        <v>1</v>
      </c>
      <c r="P1546" s="18" t="s">
        <v>7671</v>
      </c>
      <c r="Q1546" s="18" t="s">
        <v>7672</v>
      </c>
      <c r="R1546" s="18" t="s">
        <v>7686</v>
      </c>
      <c r="S1546" s="17" t="s">
        <v>237</v>
      </c>
      <c r="T1546" s="18" t="s">
        <v>7687</v>
      </c>
      <c r="U1546" s="19"/>
      <c r="V1546" s="18" t="s">
        <v>7688</v>
      </c>
      <c r="W1546" s="17" t="s">
        <v>240</v>
      </c>
      <c r="X1546" s="17" t="s">
        <v>7676</v>
      </c>
      <c r="Y1546" s="17" t="s">
        <v>242</v>
      </c>
      <c r="Z1546" s="19"/>
      <c r="AA1546" s="19"/>
      <c r="AB1546" s="17"/>
      <c r="AC1546" s="19"/>
    </row>
    <row r="1547" customFormat="false" ht="22.35" hidden="false" customHeight="false" outlineLevel="0" collapsed="false">
      <c r="A1547" s="10" t="s">
        <v>7689</v>
      </c>
      <c r="B1547" s="17" t="s">
        <v>183</v>
      </c>
      <c r="C1547" s="18" t="s">
        <v>184</v>
      </c>
      <c r="D1547" s="17" t="s">
        <v>20</v>
      </c>
      <c r="E1547" s="17" t="s">
        <v>75</v>
      </c>
      <c r="F1547" s="17" t="s">
        <v>7502</v>
      </c>
      <c r="G1547" s="17" t="s">
        <v>185</v>
      </c>
      <c r="H1547" s="17" t="s">
        <v>36</v>
      </c>
      <c r="I1547" s="17" t="s">
        <v>1346</v>
      </c>
      <c r="J1547" s="17" t="s">
        <v>7670</v>
      </c>
      <c r="K1547" s="19"/>
      <c r="L1547" s="19"/>
      <c r="M1547" s="19"/>
      <c r="N1547" s="19"/>
      <c r="O1547" s="17" t="n">
        <v>1</v>
      </c>
      <c r="P1547" s="18" t="s">
        <v>7671</v>
      </c>
      <c r="Q1547" s="18" t="s">
        <v>7672</v>
      </c>
      <c r="R1547" s="18" t="s">
        <v>7690</v>
      </c>
      <c r="S1547" s="17" t="s">
        <v>7669</v>
      </c>
      <c r="T1547" s="18" t="s">
        <v>7691</v>
      </c>
      <c r="U1547" s="19"/>
      <c r="V1547" s="18" t="s">
        <v>7692</v>
      </c>
      <c r="W1547" s="17" t="s">
        <v>240</v>
      </c>
      <c r="X1547" s="17" t="s">
        <v>7676</v>
      </c>
      <c r="Y1547" s="17" t="s">
        <v>242</v>
      </c>
      <c r="Z1547" s="19"/>
      <c r="AA1547" s="19"/>
      <c r="AB1547" s="17"/>
      <c r="AC1547" s="19"/>
    </row>
    <row r="1548" customFormat="false" ht="22.35" hidden="false" customHeight="false" outlineLevel="0" collapsed="false">
      <c r="A1548" s="10" t="s">
        <v>7693</v>
      </c>
      <c r="B1548" s="17" t="s">
        <v>183</v>
      </c>
      <c r="C1548" s="18" t="s">
        <v>184</v>
      </c>
      <c r="D1548" s="17" t="s">
        <v>20</v>
      </c>
      <c r="E1548" s="17" t="s">
        <v>75</v>
      </c>
      <c r="F1548" s="17" t="s">
        <v>7502</v>
      </c>
      <c r="G1548" s="17" t="s">
        <v>185</v>
      </c>
      <c r="H1548" s="17" t="s">
        <v>36</v>
      </c>
      <c r="I1548" s="17" t="s">
        <v>289</v>
      </c>
      <c r="J1548" s="17" t="s">
        <v>7575</v>
      </c>
      <c r="K1548" s="19"/>
      <c r="L1548" s="19"/>
      <c r="M1548" s="19"/>
      <c r="N1548" s="19"/>
      <c r="O1548" s="17" t="n">
        <v>1</v>
      </c>
      <c r="P1548" s="18" t="s">
        <v>358</v>
      </c>
      <c r="Q1548" s="18" t="s">
        <v>7694</v>
      </c>
      <c r="R1548" s="18" t="s">
        <v>7695</v>
      </c>
      <c r="S1548" s="17" t="s">
        <v>237</v>
      </c>
      <c r="T1548" s="18" t="s">
        <v>7696</v>
      </c>
      <c r="U1548" s="19"/>
      <c r="V1548" s="18" t="s">
        <v>7697</v>
      </c>
      <c r="W1548" s="17" t="s">
        <v>240</v>
      </c>
      <c r="X1548" s="17" t="s">
        <v>7698</v>
      </c>
      <c r="Y1548" s="17" t="s">
        <v>242</v>
      </c>
      <c r="Z1548" s="19"/>
      <c r="AA1548" s="19"/>
      <c r="AB1548" s="17"/>
      <c r="AC1548" s="19"/>
    </row>
    <row r="1549" customFormat="false" ht="22.35" hidden="false" customHeight="false" outlineLevel="0" collapsed="false">
      <c r="A1549" s="10" t="s">
        <v>7699</v>
      </c>
      <c r="B1549" s="17" t="s">
        <v>183</v>
      </c>
      <c r="C1549" s="18" t="s">
        <v>184</v>
      </c>
      <c r="D1549" s="17" t="s">
        <v>20</v>
      </c>
      <c r="E1549" s="17" t="s">
        <v>75</v>
      </c>
      <c r="F1549" s="17" t="s">
        <v>7502</v>
      </c>
      <c r="G1549" s="17" t="s">
        <v>185</v>
      </c>
      <c r="H1549" s="17" t="s">
        <v>36</v>
      </c>
      <c r="I1549" s="17" t="s">
        <v>289</v>
      </c>
      <c r="J1549" s="17" t="s">
        <v>7575</v>
      </c>
      <c r="K1549" s="19"/>
      <c r="L1549" s="19"/>
      <c r="M1549" s="19"/>
      <c r="N1549" s="19"/>
      <c r="O1549" s="17" t="n">
        <v>1</v>
      </c>
      <c r="P1549" s="18" t="s">
        <v>358</v>
      </c>
      <c r="Q1549" s="18" t="s">
        <v>7694</v>
      </c>
      <c r="R1549" s="18" t="s">
        <v>7700</v>
      </c>
      <c r="S1549" s="17" t="s">
        <v>237</v>
      </c>
      <c r="T1549" s="18" t="s">
        <v>7701</v>
      </c>
      <c r="U1549" s="19"/>
      <c r="V1549" s="18" t="s">
        <v>7702</v>
      </c>
      <c r="W1549" s="17" t="s">
        <v>240</v>
      </c>
      <c r="X1549" s="17" t="s">
        <v>7698</v>
      </c>
      <c r="Y1549" s="17" t="s">
        <v>242</v>
      </c>
      <c r="Z1549" s="19"/>
      <c r="AA1549" s="19"/>
      <c r="AB1549" s="17"/>
      <c r="AC1549" s="19"/>
    </row>
    <row r="1550" customFormat="false" ht="22.35" hidden="false" customHeight="false" outlineLevel="0" collapsed="false">
      <c r="A1550" s="10" t="s">
        <v>7703</v>
      </c>
      <c r="B1550" s="17" t="s">
        <v>183</v>
      </c>
      <c r="C1550" s="18" t="s">
        <v>184</v>
      </c>
      <c r="D1550" s="17" t="s">
        <v>20</v>
      </c>
      <c r="E1550" s="17" t="s">
        <v>75</v>
      </c>
      <c r="F1550" s="17" t="s">
        <v>7502</v>
      </c>
      <c r="G1550" s="17" t="s">
        <v>185</v>
      </c>
      <c r="H1550" s="17" t="s">
        <v>36</v>
      </c>
      <c r="I1550" s="17" t="s">
        <v>289</v>
      </c>
      <c r="J1550" s="17" t="s">
        <v>7575</v>
      </c>
      <c r="K1550" s="19"/>
      <c r="L1550" s="19"/>
      <c r="M1550" s="19"/>
      <c r="N1550" s="19"/>
      <c r="O1550" s="17" t="n">
        <v>1</v>
      </c>
      <c r="P1550" s="18" t="s">
        <v>358</v>
      </c>
      <c r="Q1550" s="18" t="s">
        <v>7694</v>
      </c>
      <c r="R1550" s="18" t="s">
        <v>7704</v>
      </c>
      <c r="S1550" s="17" t="s">
        <v>237</v>
      </c>
      <c r="T1550" s="18" t="s">
        <v>7705</v>
      </c>
      <c r="U1550" s="19"/>
      <c r="V1550" s="18" t="s">
        <v>7706</v>
      </c>
      <c r="W1550" s="17" t="s">
        <v>240</v>
      </c>
      <c r="X1550" s="17" t="s">
        <v>7698</v>
      </c>
      <c r="Y1550" s="17" t="s">
        <v>242</v>
      </c>
      <c r="Z1550" s="19"/>
      <c r="AA1550" s="19"/>
      <c r="AB1550" s="17"/>
      <c r="AC1550" s="19"/>
    </row>
    <row r="1551" customFormat="false" ht="22.35" hidden="false" customHeight="false" outlineLevel="0" collapsed="false">
      <c r="A1551" s="10" t="s">
        <v>7707</v>
      </c>
      <c r="B1551" s="17" t="s">
        <v>183</v>
      </c>
      <c r="C1551" s="18" t="s">
        <v>184</v>
      </c>
      <c r="D1551" s="17" t="s">
        <v>20</v>
      </c>
      <c r="E1551" s="17" t="s">
        <v>75</v>
      </c>
      <c r="F1551" s="17" t="s">
        <v>7502</v>
      </c>
      <c r="G1551" s="17" t="s">
        <v>185</v>
      </c>
      <c r="H1551" s="17" t="s">
        <v>36</v>
      </c>
      <c r="I1551" s="17" t="s">
        <v>289</v>
      </c>
      <c r="J1551" s="17" t="s">
        <v>7575</v>
      </c>
      <c r="K1551" s="19"/>
      <c r="L1551" s="19"/>
      <c r="M1551" s="19"/>
      <c r="N1551" s="19"/>
      <c r="O1551" s="17" t="n">
        <v>1</v>
      </c>
      <c r="P1551" s="18" t="s">
        <v>358</v>
      </c>
      <c r="Q1551" s="18" t="s">
        <v>7694</v>
      </c>
      <c r="R1551" s="18" t="s">
        <v>7708</v>
      </c>
      <c r="S1551" s="17" t="s">
        <v>7648</v>
      </c>
      <c r="T1551" s="18" t="s">
        <v>7709</v>
      </c>
      <c r="U1551" s="19"/>
      <c r="V1551" s="18" t="s">
        <v>7710</v>
      </c>
      <c r="W1551" s="17" t="s">
        <v>240</v>
      </c>
      <c r="X1551" s="17" t="s">
        <v>7698</v>
      </c>
      <c r="Y1551" s="17" t="s">
        <v>242</v>
      </c>
      <c r="Z1551" s="19"/>
      <c r="AA1551" s="19"/>
      <c r="AB1551" s="17"/>
      <c r="AC1551" s="19"/>
    </row>
    <row r="1552" customFormat="false" ht="22.35" hidden="false" customHeight="false" outlineLevel="0" collapsed="false">
      <c r="A1552" s="10" t="s">
        <v>7711</v>
      </c>
      <c r="B1552" s="17" t="s">
        <v>183</v>
      </c>
      <c r="C1552" s="18" t="s">
        <v>184</v>
      </c>
      <c r="D1552" s="17" t="s">
        <v>20</v>
      </c>
      <c r="E1552" s="17" t="s">
        <v>75</v>
      </c>
      <c r="F1552" s="17" t="s">
        <v>7502</v>
      </c>
      <c r="G1552" s="17" t="s">
        <v>185</v>
      </c>
      <c r="H1552" s="17" t="s">
        <v>36</v>
      </c>
      <c r="I1552" s="17" t="s">
        <v>333</v>
      </c>
      <c r="J1552" s="17" t="s">
        <v>7575</v>
      </c>
      <c r="K1552" s="19"/>
      <c r="L1552" s="19"/>
      <c r="M1552" s="19"/>
      <c r="N1552" s="19"/>
      <c r="O1552" s="17" t="n">
        <v>1</v>
      </c>
      <c r="P1552" s="18" t="s">
        <v>358</v>
      </c>
      <c r="Q1552" s="18" t="s">
        <v>7694</v>
      </c>
      <c r="R1552" s="18" t="s">
        <v>7712</v>
      </c>
      <c r="S1552" s="17" t="s">
        <v>237</v>
      </c>
      <c r="T1552" s="18" t="s">
        <v>7713</v>
      </c>
      <c r="U1552" s="19"/>
      <c r="V1552" s="18" t="s">
        <v>7714</v>
      </c>
      <c r="W1552" s="17" t="s">
        <v>240</v>
      </c>
      <c r="X1552" s="17" t="s">
        <v>7698</v>
      </c>
      <c r="Y1552" s="17" t="s">
        <v>242</v>
      </c>
      <c r="Z1552" s="19"/>
      <c r="AA1552" s="19"/>
      <c r="AB1552" s="17"/>
      <c r="AC1552" s="19"/>
    </row>
    <row r="1553" customFormat="false" ht="15" hidden="false" customHeight="false" outlineLevel="0" collapsed="false">
      <c r="A1553" s="10" t="s">
        <v>7715</v>
      </c>
      <c r="B1553" s="17" t="s">
        <v>183</v>
      </c>
      <c r="C1553" s="18" t="s">
        <v>184</v>
      </c>
      <c r="D1553" s="17" t="s">
        <v>20</v>
      </c>
      <c r="E1553" s="17" t="s">
        <v>75</v>
      </c>
      <c r="F1553" s="17" t="s">
        <v>7502</v>
      </c>
      <c r="G1553" s="17" t="s">
        <v>185</v>
      </c>
      <c r="H1553" s="17" t="s">
        <v>36</v>
      </c>
      <c r="I1553" s="17" t="s">
        <v>283</v>
      </c>
      <c r="J1553" s="17" t="s">
        <v>7575</v>
      </c>
      <c r="K1553" s="19"/>
      <c r="L1553" s="19"/>
      <c r="M1553" s="19"/>
      <c r="N1553" s="19"/>
      <c r="O1553" s="17" t="n">
        <v>1</v>
      </c>
      <c r="P1553" s="18" t="s">
        <v>358</v>
      </c>
      <c r="Q1553" s="18" t="s">
        <v>7694</v>
      </c>
      <c r="R1553" s="18" t="s">
        <v>7716</v>
      </c>
      <c r="S1553" s="17" t="s">
        <v>7693</v>
      </c>
      <c r="T1553" s="18" t="s">
        <v>7717</v>
      </c>
      <c r="U1553" s="19"/>
      <c r="V1553" s="18" t="s">
        <v>7560</v>
      </c>
      <c r="W1553" s="17" t="s">
        <v>240</v>
      </c>
      <c r="X1553" s="17" t="s">
        <v>7698</v>
      </c>
      <c r="Y1553" s="17" t="s">
        <v>242</v>
      </c>
      <c r="Z1553" s="19"/>
      <c r="AA1553" s="19"/>
      <c r="AB1553" s="17"/>
      <c r="AC1553" s="19"/>
    </row>
    <row r="1554" customFormat="false" ht="22.35" hidden="false" customHeight="false" outlineLevel="0" collapsed="false">
      <c r="A1554" s="10" t="s">
        <v>7718</v>
      </c>
      <c r="B1554" s="17" t="s">
        <v>183</v>
      </c>
      <c r="C1554" s="18" t="s">
        <v>184</v>
      </c>
      <c r="D1554" s="17" t="s">
        <v>20</v>
      </c>
      <c r="E1554" s="17" t="s">
        <v>75</v>
      </c>
      <c r="F1554" s="17" t="s">
        <v>7502</v>
      </c>
      <c r="G1554" s="17" t="s">
        <v>185</v>
      </c>
      <c r="H1554" s="17" t="s">
        <v>36</v>
      </c>
      <c r="I1554" s="17" t="s">
        <v>277</v>
      </c>
      <c r="J1554" s="17" t="s">
        <v>7525</v>
      </c>
      <c r="K1554" s="19"/>
      <c r="L1554" s="19"/>
      <c r="M1554" s="19"/>
      <c r="N1554" s="19"/>
      <c r="O1554" s="17" t="n">
        <v>1</v>
      </c>
      <c r="P1554" s="18" t="s">
        <v>7719</v>
      </c>
      <c r="Q1554" s="18" t="s">
        <v>7720</v>
      </c>
      <c r="R1554" s="18" t="s">
        <v>7721</v>
      </c>
      <c r="S1554" s="17" t="s">
        <v>237</v>
      </c>
      <c r="T1554" s="18" t="s">
        <v>7722</v>
      </c>
      <c r="U1554" s="19"/>
      <c r="V1554" s="18" t="s">
        <v>7723</v>
      </c>
      <c r="W1554" s="17" t="s">
        <v>240</v>
      </c>
      <c r="X1554" s="17" t="s">
        <v>7724</v>
      </c>
      <c r="Y1554" s="17" t="s">
        <v>242</v>
      </c>
      <c r="Z1554" s="19"/>
      <c r="AA1554" s="19"/>
      <c r="AB1554" s="17"/>
      <c r="AC1554" s="19"/>
    </row>
    <row r="1555" customFormat="false" ht="22.35" hidden="false" customHeight="false" outlineLevel="0" collapsed="false">
      <c r="A1555" s="10" t="s">
        <v>7725</v>
      </c>
      <c r="B1555" s="17" t="s">
        <v>183</v>
      </c>
      <c r="C1555" s="18" t="s">
        <v>184</v>
      </c>
      <c r="D1555" s="17" t="s">
        <v>20</v>
      </c>
      <c r="E1555" s="17" t="s">
        <v>75</v>
      </c>
      <c r="F1555" s="17" t="s">
        <v>7502</v>
      </c>
      <c r="G1555" s="17" t="s">
        <v>185</v>
      </c>
      <c r="H1555" s="17" t="s">
        <v>36</v>
      </c>
      <c r="I1555" s="17" t="s">
        <v>289</v>
      </c>
      <c r="J1555" s="17" t="s">
        <v>7575</v>
      </c>
      <c r="K1555" s="19"/>
      <c r="L1555" s="19"/>
      <c r="M1555" s="19"/>
      <c r="N1555" s="19"/>
      <c r="O1555" s="17" t="n">
        <v>1</v>
      </c>
      <c r="P1555" s="18" t="s">
        <v>7719</v>
      </c>
      <c r="Q1555" s="18" t="s">
        <v>7720</v>
      </c>
      <c r="R1555" s="18" t="s">
        <v>7726</v>
      </c>
      <c r="S1555" s="17" t="s">
        <v>237</v>
      </c>
      <c r="T1555" s="18" t="s">
        <v>7727</v>
      </c>
      <c r="U1555" s="19"/>
      <c r="V1555" s="18" t="s">
        <v>7728</v>
      </c>
      <c r="W1555" s="17" t="s">
        <v>240</v>
      </c>
      <c r="X1555" s="17" t="s">
        <v>7724</v>
      </c>
      <c r="Y1555" s="17" t="s">
        <v>242</v>
      </c>
      <c r="Z1555" s="19"/>
      <c r="AA1555" s="19"/>
      <c r="AB1555" s="17"/>
      <c r="AC1555" s="19"/>
    </row>
    <row r="1556" customFormat="false" ht="22.35" hidden="false" customHeight="false" outlineLevel="0" collapsed="false">
      <c r="A1556" s="10" t="s">
        <v>7729</v>
      </c>
      <c r="B1556" s="17" t="s">
        <v>183</v>
      </c>
      <c r="C1556" s="18" t="s">
        <v>184</v>
      </c>
      <c r="D1556" s="17" t="s">
        <v>20</v>
      </c>
      <c r="E1556" s="17" t="s">
        <v>75</v>
      </c>
      <c r="F1556" s="17" t="s">
        <v>7502</v>
      </c>
      <c r="G1556" s="17" t="s">
        <v>185</v>
      </c>
      <c r="H1556" s="17" t="s">
        <v>36</v>
      </c>
      <c r="I1556" s="17" t="s">
        <v>289</v>
      </c>
      <c r="J1556" s="17" t="s">
        <v>7575</v>
      </c>
      <c r="K1556" s="19"/>
      <c r="L1556" s="19"/>
      <c r="M1556" s="19"/>
      <c r="N1556" s="19"/>
      <c r="O1556" s="17" t="n">
        <v>1</v>
      </c>
      <c r="P1556" s="18" t="s">
        <v>7719</v>
      </c>
      <c r="Q1556" s="18" t="s">
        <v>7720</v>
      </c>
      <c r="R1556" s="18" t="s">
        <v>7730</v>
      </c>
      <c r="S1556" s="17" t="s">
        <v>7597</v>
      </c>
      <c r="T1556" s="18" t="s">
        <v>1257</v>
      </c>
      <c r="U1556" s="19"/>
      <c r="V1556" s="18" t="s">
        <v>7731</v>
      </c>
      <c r="W1556" s="17" t="s">
        <v>240</v>
      </c>
      <c r="X1556" s="17" t="s">
        <v>7724</v>
      </c>
      <c r="Y1556" s="17" t="s">
        <v>242</v>
      </c>
      <c r="Z1556" s="19"/>
      <c r="AA1556" s="19"/>
      <c r="AB1556" s="17"/>
      <c r="AC1556" s="19"/>
    </row>
    <row r="1557" customFormat="false" ht="22.35" hidden="false" customHeight="false" outlineLevel="0" collapsed="false">
      <c r="A1557" s="10" t="s">
        <v>7732</v>
      </c>
      <c r="B1557" s="17" t="s">
        <v>183</v>
      </c>
      <c r="C1557" s="18" t="s">
        <v>184</v>
      </c>
      <c r="D1557" s="17" t="s">
        <v>20</v>
      </c>
      <c r="E1557" s="17" t="s">
        <v>75</v>
      </c>
      <c r="F1557" s="17" t="s">
        <v>7502</v>
      </c>
      <c r="G1557" s="17" t="s">
        <v>185</v>
      </c>
      <c r="H1557" s="17" t="s">
        <v>36</v>
      </c>
      <c r="I1557" s="17" t="s">
        <v>289</v>
      </c>
      <c r="J1557" s="17" t="s">
        <v>7575</v>
      </c>
      <c r="K1557" s="19"/>
      <c r="L1557" s="19"/>
      <c r="M1557" s="19"/>
      <c r="N1557" s="19"/>
      <c r="O1557" s="17" t="n">
        <v>1</v>
      </c>
      <c r="P1557" s="18" t="s">
        <v>7719</v>
      </c>
      <c r="Q1557" s="18" t="s">
        <v>7720</v>
      </c>
      <c r="R1557" s="18" t="s">
        <v>7733</v>
      </c>
      <c r="S1557" s="17" t="s">
        <v>237</v>
      </c>
      <c r="T1557" s="18" t="s">
        <v>7734</v>
      </c>
      <c r="U1557" s="19"/>
      <c r="V1557" s="18" t="s">
        <v>7735</v>
      </c>
      <c r="W1557" s="17" t="s">
        <v>240</v>
      </c>
      <c r="X1557" s="17" t="s">
        <v>7724</v>
      </c>
      <c r="Y1557" s="17" t="s">
        <v>242</v>
      </c>
      <c r="Z1557" s="19"/>
      <c r="AA1557" s="19"/>
      <c r="AB1557" s="17"/>
      <c r="AC1557" s="19"/>
    </row>
    <row r="1558" customFormat="false" ht="15" hidden="false" customHeight="false" outlineLevel="0" collapsed="false">
      <c r="A1558" s="10" t="s">
        <v>7736</v>
      </c>
      <c r="B1558" s="17" t="s">
        <v>183</v>
      </c>
      <c r="C1558" s="18" t="s">
        <v>184</v>
      </c>
      <c r="D1558" s="17" t="s">
        <v>20</v>
      </c>
      <c r="E1558" s="17" t="s">
        <v>75</v>
      </c>
      <c r="F1558" s="17" t="s">
        <v>7502</v>
      </c>
      <c r="G1558" s="17" t="s">
        <v>185</v>
      </c>
      <c r="H1558" s="17" t="s">
        <v>36</v>
      </c>
      <c r="I1558" s="17" t="s">
        <v>283</v>
      </c>
      <c r="J1558" s="17" t="s">
        <v>7575</v>
      </c>
      <c r="K1558" s="19"/>
      <c r="L1558" s="19"/>
      <c r="M1558" s="19"/>
      <c r="N1558" s="19"/>
      <c r="O1558" s="17" t="n">
        <v>1</v>
      </c>
      <c r="P1558" s="18" t="s">
        <v>7719</v>
      </c>
      <c r="Q1558" s="18" t="s">
        <v>7720</v>
      </c>
      <c r="R1558" s="18" t="s">
        <v>7737</v>
      </c>
      <c r="S1558" s="17" t="s">
        <v>7718</v>
      </c>
      <c r="T1558" s="18" t="s">
        <v>7738</v>
      </c>
      <c r="U1558" s="19"/>
      <c r="V1558" s="18" t="s">
        <v>7560</v>
      </c>
      <c r="W1558" s="17" t="s">
        <v>240</v>
      </c>
      <c r="X1558" s="17" t="s">
        <v>7724</v>
      </c>
      <c r="Y1558" s="17" t="s">
        <v>242</v>
      </c>
      <c r="Z1558" s="19"/>
      <c r="AA1558" s="19"/>
      <c r="AB1558" s="17"/>
      <c r="AC1558" s="19"/>
    </row>
    <row r="1559" customFormat="false" ht="22.35" hidden="false" customHeight="false" outlineLevel="0" collapsed="false">
      <c r="A1559" s="10" t="s">
        <v>7739</v>
      </c>
      <c r="B1559" s="17" t="s">
        <v>183</v>
      </c>
      <c r="C1559" s="18" t="s">
        <v>184</v>
      </c>
      <c r="D1559" s="17" t="s">
        <v>20</v>
      </c>
      <c r="E1559" s="17" t="s">
        <v>75</v>
      </c>
      <c r="F1559" s="17" t="s">
        <v>7502</v>
      </c>
      <c r="G1559" s="17" t="s">
        <v>185</v>
      </c>
      <c r="H1559" s="17" t="s">
        <v>36</v>
      </c>
      <c r="I1559" s="17" t="s">
        <v>289</v>
      </c>
      <c r="J1559" s="17" t="s">
        <v>7503</v>
      </c>
      <c r="K1559" s="19"/>
      <c r="L1559" s="19"/>
      <c r="M1559" s="19"/>
      <c r="N1559" s="19"/>
      <c r="O1559" s="17" t="n">
        <v>1</v>
      </c>
      <c r="P1559" s="18" t="s">
        <v>7740</v>
      </c>
      <c r="Q1559" s="18" t="s">
        <v>7741</v>
      </c>
      <c r="R1559" s="18" t="s">
        <v>7742</v>
      </c>
      <c r="S1559" s="17" t="s">
        <v>237</v>
      </c>
      <c r="T1559" s="18" t="s">
        <v>7743</v>
      </c>
      <c r="U1559" s="19"/>
      <c r="V1559" s="18" t="s">
        <v>7744</v>
      </c>
      <c r="W1559" s="17" t="s">
        <v>383</v>
      </c>
      <c r="X1559" s="17" t="s">
        <v>7745</v>
      </c>
      <c r="Y1559" s="17" t="s">
        <v>242</v>
      </c>
      <c r="Z1559" s="19"/>
      <c r="AA1559" s="19"/>
      <c r="AB1559" s="17"/>
      <c r="AC1559" s="19"/>
    </row>
    <row r="1560" customFormat="false" ht="22.35" hidden="false" customHeight="false" outlineLevel="0" collapsed="false">
      <c r="A1560" s="10" t="s">
        <v>7746</v>
      </c>
      <c r="B1560" s="17" t="s">
        <v>183</v>
      </c>
      <c r="C1560" s="18" t="s">
        <v>184</v>
      </c>
      <c r="D1560" s="17" t="s">
        <v>20</v>
      </c>
      <c r="E1560" s="17" t="s">
        <v>75</v>
      </c>
      <c r="F1560" s="17" t="s">
        <v>7502</v>
      </c>
      <c r="G1560" s="17" t="s">
        <v>185</v>
      </c>
      <c r="H1560" s="17" t="s">
        <v>36</v>
      </c>
      <c r="I1560" s="17" t="s">
        <v>289</v>
      </c>
      <c r="J1560" s="17" t="s">
        <v>7503</v>
      </c>
      <c r="K1560" s="19"/>
      <c r="L1560" s="19"/>
      <c r="M1560" s="19"/>
      <c r="N1560" s="19"/>
      <c r="O1560" s="17" t="n">
        <v>1</v>
      </c>
      <c r="P1560" s="18" t="s">
        <v>7740</v>
      </c>
      <c r="Q1560" s="18" t="s">
        <v>7741</v>
      </c>
      <c r="R1560" s="18" t="s">
        <v>7747</v>
      </c>
      <c r="S1560" s="17" t="s">
        <v>7739</v>
      </c>
      <c r="T1560" s="18" t="s">
        <v>7748</v>
      </c>
      <c r="U1560" s="19"/>
      <c r="V1560" s="18" t="s">
        <v>7749</v>
      </c>
      <c r="W1560" s="17" t="s">
        <v>240</v>
      </c>
      <c r="X1560" s="17" t="s">
        <v>7745</v>
      </c>
      <c r="Y1560" s="17" t="s">
        <v>242</v>
      </c>
      <c r="Z1560" s="19"/>
      <c r="AA1560" s="19"/>
      <c r="AB1560" s="17"/>
      <c r="AC1560" s="19"/>
    </row>
    <row r="1561" customFormat="false" ht="22.35" hidden="false" customHeight="false" outlineLevel="0" collapsed="false">
      <c r="A1561" s="10" t="s">
        <v>7750</v>
      </c>
      <c r="B1561" s="17" t="s">
        <v>183</v>
      </c>
      <c r="C1561" s="18" t="s">
        <v>184</v>
      </c>
      <c r="D1561" s="17" t="s">
        <v>20</v>
      </c>
      <c r="E1561" s="17" t="s">
        <v>75</v>
      </c>
      <c r="F1561" s="17" t="s">
        <v>7502</v>
      </c>
      <c r="G1561" s="17" t="s">
        <v>185</v>
      </c>
      <c r="H1561" s="17" t="s">
        <v>36</v>
      </c>
      <c r="I1561" s="17" t="s">
        <v>277</v>
      </c>
      <c r="J1561" s="17" t="s">
        <v>7503</v>
      </c>
      <c r="K1561" s="19"/>
      <c r="L1561" s="19"/>
      <c r="M1561" s="19"/>
      <c r="N1561" s="19"/>
      <c r="O1561" s="17" t="n">
        <v>1</v>
      </c>
      <c r="P1561" s="18" t="s">
        <v>7740</v>
      </c>
      <c r="Q1561" s="18" t="s">
        <v>7741</v>
      </c>
      <c r="R1561" s="18" t="s">
        <v>7751</v>
      </c>
      <c r="S1561" s="17" t="s">
        <v>237</v>
      </c>
      <c r="T1561" s="18" t="s">
        <v>7752</v>
      </c>
      <c r="U1561" s="19"/>
      <c r="V1561" s="18" t="s">
        <v>7753</v>
      </c>
      <c r="W1561" s="17" t="s">
        <v>240</v>
      </c>
      <c r="X1561" s="17" t="s">
        <v>7745</v>
      </c>
      <c r="Y1561" s="17" t="s">
        <v>242</v>
      </c>
      <c r="Z1561" s="19"/>
      <c r="AA1561" s="19"/>
      <c r="AB1561" s="17"/>
      <c r="AC1561" s="19"/>
    </row>
    <row r="1562" customFormat="false" ht="22.35" hidden="false" customHeight="false" outlineLevel="0" collapsed="false">
      <c r="A1562" s="10" t="s">
        <v>7754</v>
      </c>
      <c r="B1562" s="17" t="s">
        <v>183</v>
      </c>
      <c r="C1562" s="18" t="s">
        <v>184</v>
      </c>
      <c r="D1562" s="17" t="s">
        <v>20</v>
      </c>
      <c r="E1562" s="17" t="s">
        <v>229</v>
      </c>
      <c r="F1562" s="17" t="s">
        <v>7502</v>
      </c>
      <c r="G1562" s="17" t="s">
        <v>185</v>
      </c>
      <c r="H1562" s="17" t="s">
        <v>36</v>
      </c>
      <c r="I1562" s="17" t="s">
        <v>289</v>
      </c>
      <c r="J1562" s="17" t="s">
        <v>7580</v>
      </c>
      <c r="K1562" s="19"/>
      <c r="L1562" s="19"/>
      <c r="M1562" s="19"/>
      <c r="N1562" s="19"/>
      <c r="O1562" s="17" t="n">
        <v>1</v>
      </c>
      <c r="P1562" s="18" t="s">
        <v>7740</v>
      </c>
      <c r="Q1562" s="18" t="s">
        <v>7741</v>
      </c>
      <c r="R1562" s="18" t="s">
        <v>7755</v>
      </c>
      <c r="S1562" s="17" t="s">
        <v>7739</v>
      </c>
      <c r="T1562" s="18" t="s">
        <v>7756</v>
      </c>
      <c r="U1562" s="19"/>
      <c r="V1562" s="18" t="s">
        <v>7757</v>
      </c>
      <c r="W1562" s="17" t="s">
        <v>383</v>
      </c>
      <c r="X1562" s="17" t="s">
        <v>7758</v>
      </c>
      <c r="Y1562" s="17" t="s">
        <v>242</v>
      </c>
      <c r="Z1562" s="19"/>
      <c r="AA1562" s="19"/>
      <c r="AB1562" s="17"/>
      <c r="AC1562" s="19"/>
    </row>
    <row r="1563" customFormat="false" ht="15" hidden="false" customHeight="false" outlineLevel="0" collapsed="false">
      <c r="A1563" s="10" t="s">
        <v>7759</v>
      </c>
      <c r="B1563" s="17" t="s">
        <v>183</v>
      </c>
      <c r="C1563" s="18" t="s">
        <v>184</v>
      </c>
      <c r="D1563" s="17" t="s">
        <v>20</v>
      </c>
      <c r="E1563" s="17" t="s">
        <v>75</v>
      </c>
      <c r="F1563" s="17" t="s">
        <v>7502</v>
      </c>
      <c r="G1563" s="17" t="s">
        <v>185</v>
      </c>
      <c r="H1563" s="17" t="s">
        <v>36</v>
      </c>
      <c r="I1563" s="17" t="s">
        <v>283</v>
      </c>
      <c r="J1563" s="17" t="s">
        <v>7503</v>
      </c>
      <c r="K1563" s="19"/>
      <c r="L1563" s="19"/>
      <c r="M1563" s="19"/>
      <c r="N1563" s="19"/>
      <c r="O1563" s="17" t="n">
        <v>1</v>
      </c>
      <c r="P1563" s="18" t="s">
        <v>7740</v>
      </c>
      <c r="Q1563" s="18" t="s">
        <v>7741</v>
      </c>
      <c r="R1563" s="18" t="s">
        <v>7760</v>
      </c>
      <c r="S1563" s="17" t="s">
        <v>7739</v>
      </c>
      <c r="T1563" s="18" t="s">
        <v>7761</v>
      </c>
      <c r="U1563" s="19"/>
      <c r="V1563" s="18" t="s">
        <v>7560</v>
      </c>
      <c r="W1563" s="17" t="s">
        <v>240</v>
      </c>
      <c r="X1563" s="17" t="s">
        <v>7745</v>
      </c>
      <c r="Y1563" s="17" t="s">
        <v>242</v>
      </c>
      <c r="Z1563" s="19"/>
      <c r="AA1563" s="19"/>
      <c r="AB1563" s="17"/>
      <c r="AC1563" s="19"/>
    </row>
    <row r="1564" customFormat="false" ht="22.35" hidden="false" customHeight="false" outlineLevel="0" collapsed="false">
      <c r="A1564" s="10" t="s">
        <v>7762</v>
      </c>
      <c r="B1564" s="17" t="s">
        <v>183</v>
      </c>
      <c r="C1564" s="18" t="s">
        <v>184</v>
      </c>
      <c r="D1564" s="17" t="s">
        <v>20</v>
      </c>
      <c r="E1564" s="17" t="s">
        <v>75</v>
      </c>
      <c r="F1564" s="17" t="s">
        <v>7502</v>
      </c>
      <c r="G1564" s="17" t="s">
        <v>185</v>
      </c>
      <c r="H1564" s="17" t="s">
        <v>36</v>
      </c>
      <c r="I1564" s="17" t="s">
        <v>1413</v>
      </c>
      <c r="J1564" s="17" t="s">
        <v>7763</v>
      </c>
      <c r="K1564" s="19"/>
      <c r="L1564" s="19"/>
      <c r="M1564" s="19"/>
      <c r="N1564" s="19"/>
      <c r="O1564" s="17" t="n">
        <v>1</v>
      </c>
      <c r="P1564" s="18" t="s">
        <v>7764</v>
      </c>
      <c r="Q1564" s="18" t="s">
        <v>7765</v>
      </c>
      <c r="R1564" s="18" t="s">
        <v>7766</v>
      </c>
      <c r="S1564" s="17" t="s">
        <v>6682</v>
      </c>
      <c r="T1564" s="18" t="s">
        <v>7767</v>
      </c>
      <c r="U1564" s="19"/>
      <c r="V1564" s="18" t="s">
        <v>7768</v>
      </c>
      <c r="W1564" s="17" t="s">
        <v>240</v>
      </c>
      <c r="X1564" s="17" t="s">
        <v>7769</v>
      </c>
      <c r="Y1564" s="17" t="s">
        <v>242</v>
      </c>
      <c r="Z1564" s="19"/>
      <c r="AA1564" s="19"/>
      <c r="AB1564" s="17"/>
      <c r="AC1564" s="19"/>
    </row>
    <row r="1565" customFormat="false" ht="22.35" hidden="false" customHeight="false" outlineLevel="0" collapsed="false">
      <c r="A1565" s="10" t="s">
        <v>7770</v>
      </c>
      <c r="B1565" s="17" t="s">
        <v>183</v>
      </c>
      <c r="C1565" s="18" t="s">
        <v>184</v>
      </c>
      <c r="D1565" s="17" t="s">
        <v>20</v>
      </c>
      <c r="E1565" s="17" t="s">
        <v>75</v>
      </c>
      <c r="F1565" s="17" t="s">
        <v>7502</v>
      </c>
      <c r="G1565" s="17" t="s">
        <v>185</v>
      </c>
      <c r="H1565" s="17" t="s">
        <v>36</v>
      </c>
      <c r="I1565" s="17" t="s">
        <v>1413</v>
      </c>
      <c r="J1565" s="17" t="s">
        <v>7763</v>
      </c>
      <c r="K1565" s="19"/>
      <c r="L1565" s="19"/>
      <c r="M1565" s="19"/>
      <c r="N1565" s="19"/>
      <c r="O1565" s="17" t="n">
        <v>1</v>
      </c>
      <c r="P1565" s="18" t="s">
        <v>7764</v>
      </c>
      <c r="Q1565" s="18" t="s">
        <v>7765</v>
      </c>
      <c r="R1565" s="18" t="s">
        <v>7771</v>
      </c>
      <c r="S1565" s="17" t="s">
        <v>7762</v>
      </c>
      <c r="T1565" s="18" t="s">
        <v>7772</v>
      </c>
      <c r="U1565" s="19"/>
      <c r="V1565" s="18" t="s">
        <v>7773</v>
      </c>
      <c r="W1565" s="17" t="s">
        <v>240</v>
      </c>
      <c r="X1565" s="17" t="s">
        <v>7769</v>
      </c>
      <c r="Y1565" s="17" t="s">
        <v>242</v>
      </c>
      <c r="Z1565" s="19"/>
      <c r="AA1565" s="19"/>
      <c r="AB1565" s="17"/>
      <c r="AC1565" s="19"/>
    </row>
    <row r="1566" customFormat="false" ht="22.35" hidden="false" customHeight="false" outlineLevel="0" collapsed="false">
      <c r="A1566" s="10" t="s">
        <v>7774</v>
      </c>
      <c r="B1566" s="17" t="s">
        <v>183</v>
      </c>
      <c r="C1566" s="18" t="s">
        <v>184</v>
      </c>
      <c r="D1566" s="17" t="s">
        <v>20</v>
      </c>
      <c r="E1566" s="17" t="s">
        <v>75</v>
      </c>
      <c r="F1566" s="17" t="s">
        <v>7502</v>
      </c>
      <c r="G1566" s="17" t="s">
        <v>185</v>
      </c>
      <c r="H1566" s="17" t="s">
        <v>36</v>
      </c>
      <c r="I1566" s="17" t="s">
        <v>1413</v>
      </c>
      <c r="J1566" s="17" t="s">
        <v>7763</v>
      </c>
      <c r="K1566" s="19"/>
      <c r="L1566" s="19"/>
      <c r="M1566" s="19"/>
      <c r="N1566" s="19"/>
      <c r="O1566" s="17" t="n">
        <v>1</v>
      </c>
      <c r="P1566" s="18" t="s">
        <v>7764</v>
      </c>
      <c r="Q1566" s="18" t="s">
        <v>7765</v>
      </c>
      <c r="R1566" s="18" t="s">
        <v>7775</v>
      </c>
      <c r="S1566" s="17" t="s">
        <v>7762</v>
      </c>
      <c r="T1566" s="18" t="s">
        <v>7776</v>
      </c>
      <c r="U1566" s="19"/>
      <c r="V1566" s="18" t="s">
        <v>7777</v>
      </c>
      <c r="W1566" s="17" t="s">
        <v>240</v>
      </c>
      <c r="X1566" s="17" t="s">
        <v>7769</v>
      </c>
      <c r="Y1566" s="17" t="s">
        <v>242</v>
      </c>
      <c r="Z1566" s="19"/>
      <c r="AA1566" s="19"/>
      <c r="AB1566" s="17"/>
      <c r="AC1566" s="19"/>
    </row>
    <row r="1567" customFormat="false" ht="22.35" hidden="false" customHeight="false" outlineLevel="0" collapsed="false">
      <c r="A1567" s="10" t="s">
        <v>7778</v>
      </c>
      <c r="B1567" s="17" t="s">
        <v>183</v>
      </c>
      <c r="C1567" s="18" t="s">
        <v>184</v>
      </c>
      <c r="D1567" s="17" t="s">
        <v>20</v>
      </c>
      <c r="E1567" s="17" t="s">
        <v>229</v>
      </c>
      <c r="F1567" s="17" t="s">
        <v>7502</v>
      </c>
      <c r="G1567" s="17" t="s">
        <v>185</v>
      </c>
      <c r="H1567" s="17" t="s">
        <v>36</v>
      </c>
      <c r="I1567" s="17" t="s">
        <v>1413</v>
      </c>
      <c r="J1567" s="17" t="s">
        <v>7569</v>
      </c>
      <c r="K1567" s="19"/>
      <c r="L1567" s="19"/>
      <c r="M1567" s="19"/>
      <c r="N1567" s="19"/>
      <c r="O1567" s="17" t="n">
        <v>1</v>
      </c>
      <c r="P1567" s="18" t="s">
        <v>7764</v>
      </c>
      <c r="Q1567" s="18" t="s">
        <v>7765</v>
      </c>
      <c r="R1567" s="18" t="s">
        <v>7779</v>
      </c>
      <c r="S1567" s="17" t="s">
        <v>7762</v>
      </c>
      <c r="T1567" s="18" t="s">
        <v>7780</v>
      </c>
      <c r="U1567" s="19"/>
      <c r="V1567" s="18" t="s">
        <v>7781</v>
      </c>
      <c r="W1567" s="17" t="s">
        <v>240</v>
      </c>
      <c r="X1567" s="17" t="s">
        <v>2494</v>
      </c>
      <c r="Y1567" s="17" t="s">
        <v>242</v>
      </c>
      <c r="Z1567" s="19"/>
      <c r="AA1567" s="19"/>
      <c r="AB1567" s="17"/>
      <c r="AC1567" s="19"/>
    </row>
    <row r="1568" customFormat="false" ht="22.35" hidden="false" customHeight="false" outlineLevel="0" collapsed="false">
      <c r="A1568" s="10" t="s">
        <v>7782</v>
      </c>
      <c r="B1568" s="17" t="s">
        <v>183</v>
      </c>
      <c r="C1568" s="18" t="s">
        <v>184</v>
      </c>
      <c r="D1568" s="17" t="s">
        <v>20</v>
      </c>
      <c r="E1568" s="17" t="s">
        <v>229</v>
      </c>
      <c r="F1568" s="17" t="s">
        <v>7502</v>
      </c>
      <c r="G1568" s="17" t="s">
        <v>185</v>
      </c>
      <c r="H1568" s="17" t="s">
        <v>36</v>
      </c>
      <c r="I1568" s="17" t="s">
        <v>1413</v>
      </c>
      <c r="J1568" s="17" t="s">
        <v>7763</v>
      </c>
      <c r="K1568" s="19"/>
      <c r="L1568" s="19"/>
      <c r="M1568" s="19"/>
      <c r="N1568" s="19"/>
      <c r="O1568" s="17" t="n">
        <v>1</v>
      </c>
      <c r="P1568" s="18" t="s">
        <v>7764</v>
      </c>
      <c r="Q1568" s="18" t="s">
        <v>7765</v>
      </c>
      <c r="R1568" s="18" t="s">
        <v>7783</v>
      </c>
      <c r="S1568" s="17" t="s">
        <v>7762</v>
      </c>
      <c r="T1568" s="18" t="s">
        <v>7784</v>
      </c>
      <c r="U1568" s="19"/>
      <c r="V1568" s="18" t="s">
        <v>7785</v>
      </c>
      <c r="W1568" s="17" t="s">
        <v>240</v>
      </c>
      <c r="X1568" s="17" t="s">
        <v>7786</v>
      </c>
      <c r="Y1568" s="17" t="s">
        <v>242</v>
      </c>
      <c r="Z1568" s="19"/>
      <c r="AA1568" s="19"/>
      <c r="AB1568" s="17"/>
      <c r="AC1568" s="19"/>
    </row>
    <row r="1569" customFormat="false" ht="22.35" hidden="false" customHeight="false" outlineLevel="0" collapsed="false">
      <c r="A1569" s="10" t="s">
        <v>7787</v>
      </c>
      <c r="B1569" s="17" t="s">
        <v>183</v>
      </c>
      <c r="C1569" s="18" t="s">
        <v>184</v>
      </c>
      <c r="D1569" s="17" t="s">
        <v>20</v>
      </c>
      <c r="E1569" s="17" t="s">
        <v>75</v>
      </c>
      <c r="F1569" s="17" t="s">
        <v>7502</v>
      </c>
      <c r="G1569" s="17" t="s">
        <v>185</v>
      </c>
      <c r="H1569" s="17" t="s">
        <v>36</v>
      </c>
      <c r="I1569" s="17" t="s">
        <v>1413</v>
      </c>
      <c r="J1569" s="17" t="s">
        <v>7503</v>
      </c>
      <c r="K1569" s="19"/>
      <c r="L1569" s="19"/>
      <c r="M1569" s="19"/>
      <c r="N1569" s="19"/>
      <c r="O1569" s="17" t="n">
        <v>1</v>
      </c>
      <c r="P1569" s="18" t="s">
        <v>7764</v>
      </c>
      <c r="Q1569" s="18" t="s">
        <v>7765</v>
      </c>
      <c r="R1569" s="18" t="s">
        <v>7788</v>
      </c>
      <c r="S1569" s="17" t="s">
        <v>7762</v>
      </c>
      <c r="T1569" s="18" t="s">
        <v>7789</v>
      </c>
      <c r="U1569" s="19"/>
      <c r="V1569" s="18" t="s">
        <v>7790</v>
      </c>
      <c r="W1569" s="17" t="s">
        <v>240</v>
      </c>
      <c r="X1569" s="17" t="s">
        <v>7769</v>
      </c>
      <c r="Y1569" s="17" t="s">
        <v>242</v>
      </c>
      <c r="Z1569" s="19"/>
      <c r="AA1569" s="19"/>
      <c r="AB1569" s="17"/>
      <c r="AC1569" s="19"/>
    </row>
    <row r="1570" customFormat="false" ht="22.35" hidden="false" customHeight="false" outlineLevel="0" collapsed="false">
      <c r="A1570" s="10" t="s">
        <v>7791</v>
      </c>
      <c r="B1570" s="17" t="s">
        <v>183</v>
      </c>
      <c r="C1570" s="18" t="s">
        <v>184</v>
      </c>
      <c r="D1570" s="17" t="s">
        <v>20</v>
      </c>
      <c r="E1570" s="17" t="s">
        <v>75</v>
      </c>
      <c r="F1570" s="17" t="s">
        <v>7502</v>
      </c>
      <c r="G1570" s="17" t="s">
        <v>185</v>
      </c>
      <c r="H1570" s="17" t="s">
        <v>36</v>
      </c>
      <c r="I1570" s="17" t="s">
        <v>283</v>
      </c>
      <c r="J1570" s="17" t="s">
        <v>7503</v>
      </c>
      <c r="K1570" s="19"/>
      <c r="L1570" s="19"/>
      <c r="M1570" s="19"/>
      <c r="N1570" s="19"/>
      <c r="O1570" s="17" t="n">
        <v>1</v>
      </c>
      <c r="P1570" s="18" t="s">
        <v>7764</v>
      </c>
      <c r="Q1570" s="18" t="s">
        <v>7765</v>
      </c>
      <c r="R1570" s="18" t="s">
        <v>7792</v>
      </c>
      <c r="S1570" s="17" t="s">
        <v>7762</v>
      </c>
      <c r="T1570" s="18" t="s">
        <v>7793</v>
      </c>
      <c r="U1570" s="19"/>
      <c r="V1570" s="18" t="s">
        <v>7794</v>
      </c>
      <c r="W1570" s="17" t="s">
        <v>240</v>
      </c>
      <c r="X1570" s="17" t="s">
        <v>7769</v>
      </c>
      <c r="Y1570" s="17" t="s">
        <v>242</v>
      </c>
      <c r="Z1570" s="19"/>
      <c r="AA1570" s="19"/>
      <c r="AB1570" s="17"/>
      <c r="AC1570" s="19"/>
    </row>
    <row r="1571" customFormat="false" ht="15" hidden="false" customHeight="false" outlineLevel="0" collapsed="false">
      <c r="A1571" s="10" t="s">
        <v>7795</v>
      </c>
      <c r="B1571" s="17" t="s">
        <v>183</v>
      </c>
      <c r="C1571" s="18" t="s">
        <v>184</v>
      </c>
      <c r="D1571" s="17" t="s">
        <v>20</v>
      </c>
      <c r="E1571" s="17" t="s">
        <v>75</v>
      </c>
      <c r="F1571" s="17" t="s">
        <v>7502</v>
      </c>
      <c r="G1571" s="17" t="s">
        <v>185</v>
      </c>
      <c r="H1571" s="17" t="s">
        <v>36</v>
      </c>
      <c r="I1571" s="17" t="s">
        <v>369</v>
      </c>
      <c r="J1571" s="17" t="s">
        <v>7503</v>
      </c>
      <c r="K1571" s="19"/>
      <c r="L1571" s="19"/>
      <c r="M1571" s="19"/>
      <c r="N1571" s="19"/>
      <c r="O1571" s="17" t="n">
        <v>1</v>
      </c>
      <c r="P1571" s="18" t="s">
        <v>7796</v>
      </c>
      <c r="Q1571" s="18" t="s">
        <v>7797</v>
      </c>
      <c r="R1571" s="18" t="s">
        <v>7798</v>
      </c>
      <c r="S1571" s="17" t="s">
        <v>237</v>
      </c>
      <c r="T1571" s="18" t="s">
        <v>7799</v>
      </c>
      <c r="U1571" s="19"/>
      <c r="V1571" s="18" t="s">
        <v>7800</v>
      </c>
      <c r="W1571" s="17" t="s">
        <v>240</v>
      </c>
      <c r="X1571" s="17" t="s">
        <v>7801</v>
      </c>
      <c r="Y1571" s="17" t="s">
        <v>242</v>
      </c>
      <c r="Z1571" s="19"/>
      <c r="AA1571" s="19"/>
      <c r="AB1571" s="17"/>
      <c r="AC1571" s="19"/>
    </row>
    <row r="1572" customFormat="false" ht="22.35" hidden="false" customHeight="false" outlineLevel="0" collapsed="false">
      <c r="A1572" s="10" t="s">
        <v>7802</v>
      </c>
      <c r="B1572" s="17" t="s">
        <v>183</v>
      </c>
      <c r="C1572" s="18" t="s">
        <v>184</v>
      </c>
      <c r="D1572" s="17" t="s">
        <v>20</v>
      </c>
      <c r="E1572" s="17" t="s">
        <v>75</v>
      </c>
      <c r="F1572" s="17" t="s">
        <v>7502</v>
      </c>
      <c r="G1572" s="17" t="s">
        <v>185</v>
      </c>
      <c r="H1572" s="17" t="s">
        <v>36</v>
      </c>
      <c r="I1572" s="17" t="s">
        <v>369</v>
      </c>
      <c r="J1572" s="17" t="s">
        <v>7575</v>
      </c>
      <c r="K1572" s="19"/>
      <c r="L1572" s="19"/>
      <c r="M1572" s="19"/>
      <c r="N1572" s="19"/>
      <c r="O1572" s="17" t="n">
        <v>1</v>
      </c>
      <c r="P1572" s="18" t="s">
        <v>7796</v>
      </c>
      <c r="Q1572" s="18" t="s">
        <v>7797</v>
      </c>
      <c r="R1572" s="18" t="s">
        <v>7803</v>
      </c>
      <c r="S1572" s="17" t="s">
        <v>7703</v>
      </c>
      <c r="T1572" s="18" t="s">
        <v>7799</v>
      </c>
      <c r="U1572" s="19"/>
      <c r="V1572" s="18" t="s">
        <v>7804</v>
      </c>
      <c r="W1572" s="17" t="s">
        <v>240</v>
      </c>
      <c r="X1572" s="17" t="s">
        <v>7801</v>
      </c>
      <c r="Y1572" s="17" t="s">
        <v>242</v>
      </c>
      <c r="Z1572" s="19"/>
      <c r="AA1572" s="19"/>
      <c r="AB1572" s="17"/>
      <c r="AC1572" s="19"/>
    </row>
    <row r="1573" customFormat="false" ht="22.35" hidden="false" customHeight="false" outlineLevel="0" collapsed="false">
      <c r="A1573" s="10" t="s">
        <v>7805</v>
      </c>
      <c r="B1573" s="17" t="s">
        <v>183</v>
      </c>
      <c r="C1573" s="18" t="s">
        <v>184</v>
      </c>
      <c r="D1573" s="17" t="s">
        <v>20</v>
      </c>
      <c r="E1573" s="17" t="s">
        <v>75</v>
      </c>
      <c r="F1573" s="17" t="s">
        <v>7502</v>
      </c>
      <c r="G1573" s="17" t="s">
        <v>185</v>
      </c>
      <c r="H1573" s="17" t="s">
        <v>36</v>
      </c>
      <c r="I1573" s="17" t="s">
        <v>369</v>
      </c>
      <c r="J1573" s="17" t="s">
        <v>7530</v>
      </c>
      <c r="K1573" s="19"/>
      <c r="L1573" s="19"/>
      <c r="M1573" s="19"/>
      <c r="N1573" s="19"/>
      <c r="O1573" s="17" t="n">
        <v>1</v>
      </c>
      <c r="P1573" s="18" t="s">
        <v>7796</v>
      </c>
      <c r="Q1573" s="18" t="s">
        <v>7797</v>
      </c>
      <c r="R1573" s="18" t="s">
        <v>7806</v>
      </c>
      <c r="S1573" s="17" t="s">
        <v>7538</v>
      </c>
      <c r="T1573" s="18" t="s">
        <v>7807</v>
      </c>
      <c r="U1573" s="19"/>
      <c r="V1573" s="18" t="s">
        <v>7808</v>
      </c>
      <c r="W1573" s="17" t="s">
        <v>240</v>
      </c>
      <c r="X1573" s="17" t="s">
        <v>7801</v>
      </c>
      <c r="Y1573" s="17" t="s">
        <v>242</v>
      </c>
      <c r="Z1573" s="19"/>
      <c r="AA1573" s="19"/>
      <c r="AB1573" s="17"/>
      <c r="AC1573" s="19"/>
    </row>
    <row r="1574" customFormat="false" ht="15" hidden="false" customHeight="false" outlineLevel="0" collapsed="false">
      <c r="A1574" s="10" t="s">
        <v>7809</v>
      </c>
      <c r="B1574" s="17" t="s">
        <v>183</v>
      </c>
      <c r="C1574" s="18" t="s">
        <v>184</v>
      </c>
      <c r="D1574" s="17" t="s">
        <v>20</v>
      </c>
      <c r="E1574" s="17" t="s">
        <v>75</v>
      </c>
      <c r="F1574" s="17" t="s">
        <v>7502</v>
      </c>
      <c r="G1574" s="17" t="s">
        <v>185</v>
      </c>
      <c r="H1574" s="17" t="s">
        <v>36</v>
      </c>
      <c r="I1574" s="17" t="s">
        <v>283</v>
      </c>
      <c r="J1574" s="17" t="s">
        <v>7515</v>
      </c>
      <c r="K1574" s="19"/>
      <c r="L1574" s="19"/>
      <c r="M1574" s="19"/>
      <c r="N1574" s="19"/>
      <c r="O1574" s="17" t="n">
        <v>1</v>
      </c>
      <c r="P1574" s="18" t="s">
        <v>7796</v>
      </c>
      <c r="Q1574" s="18" t="s">
        <v>7810</v>
      </c>
      <c r="R1574" s="18" t="s">
        <v>7811</v>
      </c>
      <c r="S1574" s="17" t="s">
        <v>7534</v>
      </c>
      <c r="T1574" s="18" t="s">
        <v>7812</v>
      </c>
      <c r="U1574" s="19"/>
      <c r="V1574" s="18" t="s">
        <v>7813</v>
      </c>
      <c r="W1574" s="17" t="s">
        <v>240</v>
      </c>
      <c r="X1574" s="17" t="s">
        <v>7801</v>
      </c>
      <c r="Y1574" s="17" t="s">
        <v>242</v>
      </c>
      <c r="Z1574" s="19"/>
      <c r="AA1574" s="19"/>
      <c r="AB1574" s="17"/>
      <c r="AC1574" s="19"/>
    </row>
    <row r="1575" customFormat="false" ht="15" hidden="false" customHeight="false" outlineLevel="0" collapsed="false">
      <c r="A1575" s="10" t="s">
        <v>7814</v>
      </c>
      <c r="B1575" s="17" t="s">
        <v>183</v>
      </c>
      <c r="C1575" s="18" t="s">
        <v>184</v>
      </c>
      <c r="D1575" s="17" t="s">
        <v>20</v>
      </c>
      <c r="E1575" s="17" t="s">
        <v>75</v>
      </c>
      <c r="F1575" s="17" t="s">
        <v>7502</v>
      </c>
      <c r="G1575" s="17" t="s">
        <v>185</v>
      </c>
      <c r="H1575" s="17" t="s">
        <v>36</v>
      </c>
      <c r="I1575" s="17" t="s">
        <v>333</v>
      </c>
      <c r="J1575" s="17" t="s">
        <v>7515</v>
      </c>
      <c r="K1575" s="19"/>
      <c r="L1575" s="19"/>
      <c r="M1575" s="19"/>
      <c r="N1575" s="19"/>
      <c r="O1575" s="17" t="n">
        <v>1</v>
      </c>
      <c r="P1575" s="18" t="s">
        <v>7796</v>
      </c>
      <c r="Q1575" s="18" t="s">
        <v>7810</v>
      </c>
      <c r="R1575" s="18" t="s">
        <v>7815</v>
      </c>
      <c r="S1575" s="17" t="s">
        <v>7644</v>
      </c>
      <c r="T1575" s="18" t="s">
        <v>7812</v>
      </c>
      <c r="U1575" s="19"/>
      <c r="V1575" s="18" t="s">
        <v>7816</v>
      </c>
      <c r="W1575" s="17" t="s">
        <v>240</v>
      </c>
      <c r="X1575" s="17" t="s">
        <v>7801</v>
      </c>
      <c r="Y1575" s="17" t="s">
        <v>242</v>
      </c>
      <c r="Z1575" s="19"/>
      <c r="AA1575" s="19"/>
      <c r="AB1575" s="17"/>
      <c r="AC1575" s="19"/>
    </row>
    <row r="1576" customFormat="false" ht="15" hidden="false" customHeight="false" outlineLevel="0" collapsed="false">
      <c r="A1576" s="10" t="s">
        <v>7817</v>
      </c>
      <c r="B1576" s="17" t="s">
        <v>183</v>
      </c>
      <c r="C1576" s="18" t="s">
        <v>184</v>
      </c>
      <c r="D1576" s="17" t="s">
        <v>20</v>
      </c>
      <c r="E1576" s="17" t="s">
        <v>75</v>
      </c>
      <c r="F1576" s="17" t="s">
        <v>7502</v>
      </c>
      <c r="G1576" s="17" t="s">
        <v>185</v>
      </c>
      <c r="H1576" s="17" t="s">
        <v>36</v>
      </c>
      <c r="I1576" s="17" t="s">
        <v>1346</v>
      </c>
      <c r="J1576" s="17" t="s">
        <v>7670</v>
      </c>
      <c r="K1576" s="19"/>
      <c r="L1576" s="19"/>
      <c r="M1576" s="19"/>
      <c r="N1576" s="19"/>
      <c r="O1576" s="17" t="n">
        <v>1</v>
      </c>
      <c r="P1576" s="18" t="s">
        <v>7796</v>
      </c>
      <c r="Q1576" s="18" t="s">
        <v>7810</v>
      </c>
      <c r="R1576" s="18" t="s">
        <v>7818</v>
      </c>
      <c r="S1576" s="17" t="s">
        <v>7689</v>
      </c>
      <c r="T1576" s="18" t="s">
        <v>7812</v>
      </c>
      <c r="U1576" s="19"/>
      <c r="V1576" s="18" t="s">
        <v>7819</v>
      </c>
      <c r="W1576" s="17" t="s">
        <v>240</v>
      </c>
      <c r="X1576" s="17" t="s">
        <v>7801</v>
      </c>
      <c r="Y1576" s="17" t="s">
        <v>242</v>
      </c>
      <c r="Z1576" s="19"/>
      <c r="AA1576" s="19"/>
      <c r="AB1576" s="17"/>
      <c r="AC1576" s="19"/>
    </row>
    <row r="1577" customFormat="false" ht="15" hidden="false" customHeight="false" outlineLevel="0" collapsed="false">
      <c r="A1577" s="10" t="s">
        <v>7820</v>
      </c>
      <c r="B1577" s="17" t="s">
        <v>183</v>
      </c>
      <c r="C1577" s="18" t="s">
        <v>184</v>
      </c>
      <c r="D1577" s="17" t="s">
        <v>20</v>
      </c>
      <c r="E1577" s="17" t="s">
        <v>75</v>
      </c>
      <c r="F1577" s="17" t="s">
        <v>7502</v>
      </c>
      <c r="G1577" s="17" t="s">
        <v>185</v>
      </c>
      <c r="H1577" s="17" t="s">
        <v>36</v>
      </c>
      <c r="I1577" s="17" t="s">
        <v>928</v>
      </c>
      <c r="J1577" s="17" t="s">
        <v>7515</v>
      </c>
      <c r="K1577" s="19"/>
      <c r="L1577" s="19"/>
      <c r="M1577" s="19"/>
      <c r="N1577" s="19"/>
      <c r="O1577" s="17" t="n">
        <v>1</v>
      </c>
      <c r="P1577" s="18" t="s">
        <v>7796</v>
      </c>
      <c r="Q1577" s="18" t="s">
        <v>7810</v>
      </c>
      <c r="R1577" s="18" t="s">
        <v>7821</v>
      </c>
      <c r="S1577" s="17" t="s">
        <v>7822</v>
      </c>
      <c r="T1577" s="18" t="s">
        <v>7812</v>
      </c>
      <c r="U1577" s="19"/>
      <c r="V1577" s="18" t="s">
        <v>7823</v>
      </c>
      <c r="W1577" s="17" t="s">
        <v>240</v>
      </c>
      <c r="X1577" s="17" t="s">
        <v>7801</v>
      </c>
      <c r="Y1577" s="17" t="s">
        <v>242</v>
      </c>
      <c r="Z1577" s="19"/>
      <c r="AA1577" s="19"/>
      <c r="AB1577" s="17"/>
      <c r="AC1577" s="19"/>
    </row>
    <row r="1578" customFormat="false" ht="15" hidden="false" customHeight="false" outlineLevel="0" collapsed="false">
      <c r="A1578" s="10" t="s">
        <v>7824</v>
      </c>
      <c r="B1578" s="17" t="s">
        <v>183</v>
      </c>
      <c r="C1578" s="18" t="s">
        <v>184</v>
      </c>
      <c r="D1578" s="17" t="s">
        <v>20</v>
      </c>
      <c r="E1578" s="17" t="s">
        <v>75</v>
      </c>
      <c r="F1578" s="17" t="s">
        <v>7502</v>
      </c>
      <c r="G1578" s="17" t="s">
        <v>185</v>
      </c>
      <c r="H1578" s="17" t="s">
        <v>36</v>
      </c>
      <c r="I1578" s="17" t="s">
        <v>289</v>
      </c>
      <c r="J1578" s="17" t="s">
        <v>7515</v>
      </c>
      <c r="K1578" s="19"/>
      <c r="L1578" s="19"/>
      <c r="M1578" s="19"/>
      <c r="N1578" s="19"/>
      <c r="O1578" s="17" t="n">
        <v>1</v>
      </c>
      <c r="P1578" s="18" t="s">
        <v>7796</v>
      </c>
      <c r="Q1578" s="18" t="s">
        <v>7810</v>
      </c>
      <c r="R1578" s="18" t="s">
        <v>7825</v>
      </c>
      <c r="S1578" s="17" t="s">
        <v>7736</v>
      </c>
      <c r="T1578" s="18" t="s">
        <v>7812</v>
      </c>
      <c r="U1578" s="19"/>
      <c r="V1578" s="18" t="s">
        <v>7826</v>
      </c>
      <c r="W1578" s="17" t="s">
        <v>240</v>
      </c>
      <c r="X1578" s="17" t="s">
        <v>7801</v>
      </c>
      <c r="Y1578" s="17" t="s">
        <v>242</v>
      </c>
      <c r="Z1578" s="19"/>
      <c r="AA1578" s="19"/>
      <c r="AB1578" s="17"/>
      <c r="AC1578" s="19"/>
    </row>
    <row r="1579" customFormat="false" ht="22.35" hidden="false" customHeight="false" outlineLevel="0" collapsed="false">
      <c r="A1579" s="10" t="s">
        <v>7827</v>
      </c>
      <c r="B1579" s="17" t="s">
        <v>183</v>
      </c>
      <c r="C1579" s="18" t="s">
        <v>184</v>
      </c>
      <c r="D1579" s="17" t="s">
        <v>20</v>
      </c>
      <c r="E1579" s="17" t="s">
        <v>75</v>
      </c>
      <c r="F1579" s="17" t="s">
        <v>7502</v>
      </c>
      <c r="G1579" s="17" t="s">
        <v>185</v>
      </c>
      <c r="H1579" s="17" t="s">
        <v>36</v>
      </c>
      <c r="I1579" s="17" t="s">
        <v>283</v>
      </c>
      <c r="J1579" s="17" t="s">
        <v>7515</v>
      </c>
      <c r="K1579" s="19"/>
      <c r="L1579" s="19"/>
      <c r="M1579" s="19"/>
      <c r="N1579" s="19"/>
      <c r="O1579" s="17" t="n">
        <v>1</v>
      </c>
      <c r="P1579" s="18" t="s">
        <v>7796</v>
      </c>
      <c r="Q1579" s="18" t="s">
        <v>7810</v>
      </c>
      <c r="R1579" s="18" t="s">
        <v>7828</v>
      </c>
      <c r="S1579" s="17" t="s">
        <v>7829</v>
      </c>
      <c r="T1579" s="18" t="s">
        <v>7830</v>
      </c>
      <c r="U1579" s="19"/>
      <c r="V1579" s="18" t="s">
        <v>7831</v>
      </c>
      <c r="W1579" s="17" t="s">
        <v>240</v>
      </c>
      <c r="X1579" s="17" t="s">
        <v>7801</v>
      </c>
      <c r="Y1579" s="17" t="s">
        <v>242</v>
      </c>
      <c r="Z1579" s="19"/>
      <c r="AA1579" s="19"/>
      <c r="AB1579" s="17"/>
      <c r="AC1579" s="19"/>
    </row>
    <row r="1580" customFormat="false" ht="22.35" hidden="false" customHeight="false" outlineLevel="0" collapsed="false">
      <c r="A1580" s="10" t="s">
        <v>7832</v>
      </c>
      <c r="B1580" s="17" t="s">
        <v>183</v>
      </c>
      <c r="C1580" s="18" t="s">
        <v>184</v>
      </c>
      <c r="D1580" s="17" t="s">
        <v>20</v>
      </c>
      <c r="E1580" s="17" t="s">
        <v>75</v>
      </c>
      <c r="F1580" s="17" t="s">
        <v>7502</v>
      </c>
      <c r="G1580" s="17" t="s">
        <v>185</v>
      </c>
      <c r="H1580" s="17" t="s">
        <v>36</v>
      </c>
      <c r="I1580" s="17" t="s">
        <v>283</v>
      </c>
      <c r="J1580" s="17" t="s">
        <v>7515</v>
      </c>
      <c r="K1580" s="19"/>
      <c r="L1580" s="19"/>
      <c r="M1580" s="19"/>
      <c r="N1580" s="19"/>
      <c r="O1580" s="17" t="n">
        <v>1</v>
      </c>
      <c r="P1580" s="18" t="s">
        <v>7515</v>
      </c>
      <c r="Q1580" s="18" t="s">
        <v>7833</v>
      </c>
      <c r="R1580" s="18" t="s">
        <v>7834</v>
      </c>
      <c r="S1580" s="17" t="s">
        <v>7534</v>
      </c>
      <c r="T1580" s="18" t="s">
        <v>7835</v>
      </c>
      <c r="U1580" s="19"/>
      <c r="V1580" s="18" t="s">
        <v>7836</v>
      </c>
      <c r="W1580" s="17" t="s">
        <v>240</v>
      </c>
      <c r="X1580" s="17" t="s">
        <v>7837</v>
      </c>
      <c r="Y1580" s="17" t="s">
        <v>242</v>
      </c>
      <c r="Z1580" s="19"/>
      <c r="AA1580" s="19"/>
      <c r="AB1580" s="17"/>
      <c r="AC1580" s="19"/>
    </row>
    <row r="1581" customFormat="false" ht="22.35" hidden="false" customHeight="false" outlineLevel="0" collapsed="false">
      <c r="A1581" s="10" t="s">
        <v>7838</v>
      </c>
      <c r="B1581" s="17" t="s">
        <v>183</v>
      </c>
      <c r="C1581" s="18" t="s">
        <v>184</v>
      </c>
      <c r="D1581" s="17" t="s">
        <v>20</v>
      </c>
      <c r="E1581" s="17" t="s">
        <v>75</v>
      </c>
      <c r="F1581" s="17" t="s">
        <v>7502</v>
      </c>
      <c r="G1581" s="17" t="s">
        <v>185</v>
      </c>
      <c r="H1581" s="17" t="s">
        <v>36</v>
      </c>
      <c r="I1581" s="17" t="s">
        <v>283</v>
      </c>
      <c r="J1581" s="17" t="s">
        <v>7515</v>
      </c>
      <c r="K1581" s="19"/>
      <c r="L1581" s="19"/>
      <c r="M1581" s="19"/>
      <c r="N1581" s="19"/>
      <c r="O1581" s="17" t="n">
        <v>1</v>
      </c>
      <c r="P1581" s="18" t="s">
        <v>7515</v>
      </c>
      <c r="Q1581" s="18" t="s">
        <v>7833</v>
      </c>
      <c r="R1581" s="18" t="s">
        <v>7839</v>
      </c>
      <c r="S1581" s="17" t="s">
        <v>7832</v>
      </c>
      <c r="T1581" s="18" t="s">
        <v>7840</v>
      </c>
      <c r="U1581" s="19"/>
      <c r="V1581" s="18" t="s">
        <v>7841</v>
      </c>
      <c r="W1581" s="17" t="s">
        <v>240</v>
      </c>
      <c r="X1581" s="17" t="s">
        <v>7837</v>
      </c>
      <c r="Y1581" s="17" t="s">
        <v>242</v>
      </c>
      <c r="Z1581" s="19"/>
      <c r="AA1581" s="19"/>
      <c r="AB1581" s="17"/>
      <c r="AC1581" s="19"/>
    </row>
    <row r="1582" customFormat="false" ht="15" hidden="false" customHeight="false" outlineLevel="0" collapsed="false">
      <c r="A1582" s="10" t="s">
        <v>7842</v>
      </c>
      <c r="B1582" s="17" t="s">
        <v>183</v>
      </c>
      <c r="C1582" s="18" t="s">
        <v>184</v>
      </c>
      <c r="D1582" s="17" t="s">
        <v>20</v>
      </c>
      <c r="E1582" s="17" t="s">
        <v>75</v>
      </c>
      <c r="F1582" s="17" t="s">
        <v>7502</v>
      </c>
      <c r="G1582" s="17" t="s">
        <v>185</v>
      </c>
      <c r="H1582" s="17" t="s">
        <v>36</v>
      </c>
      <c r="I1582" s="17" t="s">
        <v>283</v>
      </c>
      <c r="J1582" s="17" t="s">
        <v>7515</v>
      </c>
      <c r="K1582" s="19"/>
      <c r="L1582" s="19"/>
      <c r="M1582" s="19"/>
      <c r="N1582" s="19"/>
      <c r="O1582" s="17" t="n">
        <v>1</v>
      </c>
      <c r="P1582" s="18" t="s">
        <v>7515</v>
      </c>
      <c r="Q1582" s="18" t="s">
        <v>7833</v>
      </c>
      <c r="R1582" s="18" t="s">
        <v>7843</v>
      </c>
      <c r="S1582" s="17" t="s">
        <v>7838</v>
      </c>
      <c r="T1582" s="18" t="s">
        <v>7844</v>
      </c>
      <c r="U1582" s="19"/>
      <c r="V1582" s="18" t="s">
        <v>7845</v>
      </c>
      <c r="W1582" s="17" t="s">
        <v>240</v>
      </c>
      <c r="X1582" s="17" t="s">
        <v>7837</v>
      </c>
      <c r="Y1582" s="17" t="s">
        <v>242</v>
      </c>
      <c r="Z1582" s="19"/>
      <c r="AA1582" s="19"/>
      <c r="AB1582" s="17"/>
      <c r="AC1582" s="19"/>
    </row>
    <row r="1583" customFormat="false" ht="15" hidden="false" customHeight="false" outlineLevel="0" collapsed="false">
      <c r="A1583" s="10" t="s">
        <v>7822</v>
      </c>
      <c r="B1583" s="17" t="s">
        <v>183</v>
      </c>
      <c r="C1583" s="18" t="s">
        <v>184</v>
      </c>
      <c r="D1583" s="17" t="s">
        <v>20</v>
      </c>
      <c r="E1583" s="17" t="s">
        <v>75</v>
      </c>
      <c r="F1583" s="17" t="s">
        <v>7502</v>
      </c>
      <c r="G1583" s="17" t="s">
        <v>185</v>
      </c>
      <c r="H1583" s="17" t="s">
        <v>36</v>
      </c>
      <c r="I1583" s="17" t="s">
        <v>928</v>
      </c>
      <c r="J1583" s="17" t="s">
        <v>7515</v>
      </c>
      <c r="K1583" s="19"/>
      <c r="L1583" s="19"/>
      <c r="M1583" s="19"/>
      <c r="N1583" s="19"/>
      <c r="O1583" s="17" t="n">
        <v>1</v>
      </c>
      <c r="P1583" s="18" t="s">
        <v>7515</v>
      </c>
      <c r="Q1583" s="18" t="s">
        <v>7833</v>
      </c>
      <c r="R1583" s="18" t="s">
        <v>7846</v>
      </c>
      <c r="S1583" s="17" t="s">
        <v>7842</v>
      </c>
      <c r="T1583" s="18" t="s">
        <v>7847</v>
      </c>
      <c r="U1583" s="19"/>
      <c r="V1583" s="18" t="s">
        <v>7848</v>
      </c>
      <c r="W1583" s="17" t="s">
        <v>240</v>
      </c>
      <c r="X1583" s="17" t="s">
        <v>7837</v>
      </c>
      <c r="Y1583" s="17" t="s">
        <v>242</v>
      </c>
      <c r="Z1583" s="19"/>
      <c r="AA1583" s="19"/>
      <c r="AB1583" s="17"/>
      <c r="AC1583" s="19"/>
    </row>
    <row r="1584" customFormat="false" ht="15" hidden="false" customHeight="false" outlineLevel="0" collapsed="false">
      <c r="A1584" s="10" t="s">
        <v>7849</v>
      </c>
      <c r="B1584" s="17" t="s">
        <v>183</v>
      </c>
      <c r="C1584" s="18" t="s">
        <v>184</v>
      </c>
      <c r="D1584" s="17" t="s">
        <v>20</v>
      </c>
      <c r="E1584" s="17" t="s">
        <v>75</v>
      </c>
      <c r="F1584" s="17" t="s">
        <v>7502</v>
      </c>
      <c r="G1584" s="17" t="s">
        <v>185</v>
      </c>
      <c r="H1584" s="17" t="s">
        <v>36</v>
      </c>
      <c r="I1584" s="17" t="s">
        <v>283</v>
      </c>
      <c r="J1584" s="17" t="s">
        <v>7515</v>
      </c>
      <c r="K1584" s="19"/>
      <c r="L1584" s="19"/>
      <c r="M1584" s="19"/>
      <c r="N1584" s="19"/>
      <c r="O1584" s="17" t="n">
        <v>1</v>
      </c>
      <c r="P1584" s="18" t="s">
        <v>7515</v>
      </c>
      <c r="Q1584" s="18" t="s">
        <v>7833</v>
      </c>
      <c r="R1584" s="18" t="s">
        <v>7850</v>
      </c>
      <c r="S1584" s="17" t="s">
        <v>7832</v>
      </c>
      <c r="T1584" s="18" t="s">
        <v>7851</v>
      </c>
      <c r="U1584" s="19"/>
      <c r="V1584" s="18" t="s">
        <v>7560</v>
      </c>
      <c r="W1584" s="17" t="s">
        <v>240</v>
      </c>
      <c r="X1584" s="17" t="s">
        <v>7837</v>
      </c>
      <c r="Y1584" s="17" t="s">
        <v>242</v>
      </c>
      <c r="Z1584" s="19"/>
      <c r="AA1584" s="19"/>
      <c r="AB1584" s="17"/>
      <c r="AC1584" s="19"/>
    </row>
    <row r="1585" customFormat="false" ht="15" hidden="false" customHeight="false" outlineLevel="0" collapsed="false">
      <c r="A1585" s="10" t="s">
        <v>7852</v>
      </c>
      <c r="B1585" s="17" t="s">
        <v>165</v>
      </c>
      <c r="C1585" s="18" t="s">
        <v>166</v>
      </c>
      <c r="D1585" s="17" t="s">
        <v>20</v>
      </c>
      <c r="E1585" s="17" t="s">
        <v>75</v>
      </c>
      <c r="F1585" s="17" t="s">
        <v>7502</v>
      </c>
      <c r="G1585" s="17" t="s">
        <v>231</v>
      </c>
      <c r="H1585" s="17" t="s">
        <v>28</v>
      </c>
      <c r="I1585" s="17" t="s">
        <v>283</v>
      </c>
      <c r="J1585" s="17" t="s">
        <v>7503</v>
      </c>
      <c r="K1585" s="19"/>
      <c r="L1585" s="19"/>
      <c r="M1585" s="19"/>
      <c r="N1585" s="19"/>
      <c r="O1585" s="17" t="n">
        <v>1</v>
      </c>
      <c r="P1585" s="18" t="s">
        <v>7853</v>
      </c>
      <c r="Q1585" s="18" t="s">
        <v>7854</v>
      </c>
      <c r="R1585" s="18" t="s">
        <v>7855</v>
      </c>
      <c r="S1585" s="17" t="s">
        <v>7849</v>
      </c>
      <c r="T1585" s="18" t="s">
        <v>7856</v>
      </c>
      <c r="U1585" s="19"/>
      <c r="V1585" s="18" t="s">
        <v>7857</v>
      </c>
      <c r="W1585" s="17" t="s">
        <v>240</v>
      </c>
      <c r="X1585" s="17" t="s">
        <v>7858</v>
      </c>
      <c r="Y1585" s="17" t="s">
        <v>242</v>
      </c>
      <c r="Z1585" s="19"/>
      <c r="AA1585" s="19"/>
      <c r="AB1585" s="17"/>
      <c r="AC1585" s="19"/>
    </row>
    <row r="1586" customFormat="false" ht="32.8" hidden="false" customHeight="false" outlineLevel="0" collapsed="false">
      <c r="A1586" s="10" t="s">
        <v>7859</v>
      </c>
      <c r="B1586" s="17" t="s">
        <v>165</v>
      </c>
      <c r="C1586" s="18" t="s">
        <v>166</v>
      </c>
      <c r="D1586" s="17" t="s">
        <v>20</v>
      </c>
      <c r="E1586" s="17" t="s">
        <v>229</v>
      </c>
      <c r="F1586" s="17" t="s">
        <v>7502</v>
      </c>
      <c r="G1586" s="17" t="s">
        <v>231</v>
      </c>
      <c r="H1586" s="17" t="s">
        <v>28</v>
      </c>
      <c r="I1586" s="17" t="s">
        <v>277</v>
      </c>
      <c r="J1586" s="17" t="s">
        <v>7575</v>
      </c>
      <c r="K1586" s="19"/>
      <c r="L1586" s="19"/>
      <c r="M1586" s="19"/>
      <c r="N1586" s="19"/>
      <c r="O1586" s="17" t="n">
        <v>1</v>
      </c>
      <c r="P1586" s="18" t="s">
        <v>7853</v>
      </c>
      <c r="Q1586" s="18" t="s">
        <v>7860</v>
      </c>
      <c r="R1586" s="18" t="s">
        <v>7861</v>
      </c>
      <c r="S1586" s="17" t="s">
        <v>7852</v>
      </c>
      <c r="T1586" s="18" t="s">
        <v>7862</v>
      </c>
      <c r="U1586" s="19"/>
      <c r="V1586" s="18" t="s">
        <v>7863</v>
      </c>
      <c r="W1586" s="17" t="s">
        <v>240</v>
      </c>
      <c r="X1586" s="17" t="s">
        <v>331</v>
      </c>
      <c r="Y1586" s="17" t="s">
        <v>242</v>
      </c>
      <c r="Z1586" s="19"/>
      <c r="AA1586" s="19"/>
      <c r="AB1586" s="17"/>
      <c r="AC1586" s="19"/>
    </row>
    <row r="1587" customFormat="false" ht="22.35" hidden="false" customHeight="false" outlineLevel="0" collapsed="false">
      <c r="A1587" s="10" t="s">
        <v>7864</v>
      </c>
      <c r="B1587" s="17" t="s">
        <v>165</v>
      </c>
      <c r="C1587" s="18" t="s">
        <v>166</v>
      </c>
      <c r="D1587" s="17" t="s">
        <v>20</v>
      </c>
      <c r="E1587" s="17" t="s">
        <v>75</v>
      </c>
      <c r="F1587" s="17" t="s">
        <v>7502</v>
      </c>
      <c r="G1587" s="17" t="s">
        <v>231</v>
      </c>
      <c r="H1587" s="17" t="s">
        <v>28</v>
      </c>
      <c r="I1587" s="17" t="s">
        <v>333</v>
      </c>
      <c r="J1587" s="17" t="s">
        <v>7503</v>
      </c>
      <c r="K1587" s="19"/>
      <c r="L1587" s="19"/>
      <c r="M1587" s="19"/>
      <c r="N1587" s="19"/>
      <c r="O1587" s="17" t="n">
        <v>1</v>
      </c>
      <c r="P1587" s="18" t="s">
        <v>7853</v>
      </c>
      <c r="Q1587" s="18" t="s">
        <v>7860</v>
      </c>
      <c r="R1587" s="18" t="s">
        <v>7865</v>
      </c>
      <c r="S1587" s="17" t="s">
        <v>7852</v>
      </c>
      <c r="T1587" s="18" t="s">
        <v>7866</v>
      </c>
      <c r="U1587" s="19"/>
      <c r="V1587" s="18" t="s">
        <v>7867</v>
      </c>
      <c r="W1587" s="17" t="s">
        <v>240</v>
      </c>
      <c r="X1587" s="17" t="s">
        <v>7868</v>
      </c>
      <c r="Y1587" s="17" t="s">
        <v>242</v>
      </c>
      <c r="Z1587" s="19"/>
      <c r="AA1587" s="19"/>
      <c r="AB1587" s="17"/>
      <c r="AC1587" s="19"/>
    </row>
    <row r="1588" customFormat="false" ht="22.35" hidden="false" customHeight="false" outlineLevel="0" collapsed="false">
      <c r="A1588" s="10" t="s">
        <v>7869</v>
      </c>
      <c r="B1588" s="17" t="s">
        <v>165</v>
      </c>
      <c r="C1588" s="18" t="s">
        <v>166</v>
      </c>
      <c r="D1588" s="17" t="s">
        <v>20</v>
      </c>
      <c r="E1588" s="17" t="s">
        <v>75</v>
      </c>
      <c r="F1588" s="17" t="s">
        <v>7502</v>
      </c>
      <c r="G1588" s="17" t="s">
        <v>231</v>
      </c>
      <c r="H1588" s="17" t="s">
        <v>28</v>
      </c>
      <c r="I1588" s="17" t="s">
        <v>333</v>
      </c>
      <c r="J1588" s="17" t="s">
        <v>7503</v>
      </c>
      <c r="K1588" s="19"/>
      <c r="L1588" s="19"/>
      <c r="M1588" s="19"/>
      <c r="N1588" s="19"/>
      <c r="O1588" s="17" t="n">
        <v>1</v>
      </c>
      <c r="P1588" s="18" t="s">
        <v>7853</v>
      </c>
      <c r="Q1588" s="18" t="s">
        <v>7860</v>
      </c>
      <c r="R1588" s="18" t="s">
        <v>7870</v>
      </c>
      <c r="S1588" s="17" t="s">
        <v>7852</v>
      </c>
      <c r="T1588" s="18" t="s">
        <v>7871</v>
      </c>
      <c r="U1588" s="19"/>
      <c r="V1588" s="18" t="s">
        <v>7872</v>
      </c>
      <c r="W1588" s="17" t="s">
        <v>240</v>
      </c>
      <c r="X1588" s="17" t="s">
        <v>7873</v>
      </c>
      <c r="Y1588" s="17" t="s">
        <v>242</v>
      </c>
      <c r="Z1588" s="19"/>
      <c r="AA1588" s="19"/>
      <c r="AB1588" s="17"/>
      <c r="AC1588" s="19"/>
    </row>
    <row r="1589" customFormat="false" ht="22.35" hidden="false" customHeight="false" outlineLevel="0" collapsed="false">
      <c r="A1589" s="10" t="s">
        <v>7874</v>
      </c>
      <c r="B1589" s="17" t="s">
        <v>165</v>
      </c>
      <c r="C1589" s="18" t="s">
        <v>166</v>
      </c>
      <c r="D1589" s="17" t="s">
        <v>20</v>
      </c>
      <c r="E1589" s="17" t="s">
        <v>229</v>
      </c>
      <c r="F1589" s="17" t="s">
        <v>7502</v>
      </c>
      <c r="G1589" s="17" t="s">
        <v>231</v>
      </c>
      <c r="H1589" s="17" t="s">
        <v>28</v>
      </c>
      <c r="I1589" s="17" t="s">
        <v>333</v>
      </c>
      <c r="J1589" s="17" t="s">
        <v>7525</v>
      </c>
      <c r="K1589" s="19"/>
      <c r="L1589" s="19"/>
      <c r="M1589" s="19"/>
      <c r="N1589" s="19"/>
      <c r="O1589" s="17" t="n">
        <v>1</v>
      </c>
      <c r="P1589" s="18" t="s">
        <v>7853</v>
      </c>
      <c r="Q1589" s="18" t="s">
        <v>7860</v>
      </c>
      <c r="R1589" s="18" t="s">
        <v>7875</v>
      </c>
      <c r="S1589" s="17" t="s">
        <v>7852</v>
      </c>
      <c r="T1589" s="18" t="s">
        <v>7876</v>
      </c>
      <c r="U1589" s="19"/>
      <c r="V1589" s="18" t="s">
        <v>7877</v>
      </c>
      <c r="W1589" s="17" t="s">
        <v>240</v>
      </c>
      <c r="X1589" s="17" t="s">
        <v>331</v>
      </c>
      <c r="Y1589" s="17" t="s">
        <v>242</v>
      </c>
      <c r="Z1589" s="19"/>
      <c r="AA1589" s="19"/>
      <c r="AB1589" s="17"/>
      <c r="AC1589" s="19"/>
    </row>
    <row r="1590" customFormat="false" ht="22.35" hidden="false" customHeight="false" outlineLevel="0" collapsed="false">
      <c r="A1590" s="10" t="s">
        <v>7878</v>
      </c>
      <c r="B1590" s="17" t="s">
        <v>165</v>
      </c>
      <c r="C1590" s="18" t="s">
        <v>166</v>
      </c>
      <c r="D1590" s="17" t="s">
        <v>20</v>
      </c>
      <c r="E1590" s="17" t="s">
        <v>229</v>
      </c>
      <c r="F1590" s="17" t="s">
        <v>7502</v>
      </c>
      <c r="G1590" s="17" t="s">
        <v>231</v>
      </c>
      <c r="H1590" s="17" t="s">
        <v>28</v>
      </c>
      <c r="I1590" s="17" t="s">
        <v>289</v>
      </c>
      <c r="J1590" s="17" t="s">
        <v>7525</v>
      </c>
      <c r="K1590" s="19"/>
      <c r="L1590" s="19"/>
      <c r="M1590" s="19"/>
      <c r="N1590" s="19"/>
      <c r="O1590" s="17" t="n">
        <v>1</v>
      </c>
      <c r="P1590" s="18" t="s">
        <v>7853</v>
      </c>
      <c r="Q1590" s="18" t="s">
        <v>7860</v>
      </c>
      <c r="R1590" s="18" t="s">
        <v>7879</v>
      </c>
      <c r="S1590" s="17" t="s">
        <v>7852</v>
      </c>
      <c r="T1590" s="18" t="s">
        <v>7880</v>
      </c>
      <c r="U1590" s="19"/>
      <c r="V1590" s="18" t="s">
        <v>7881</v>
      </c>
      <c r="W1590" s="17" t="s">
        <v>240</v>
      </c>
      <c r="X1590" s="17" t="s">
        <v>331</v>
      </c>
      <c r="Y1590" s="17" t="s">
        <v>242</v>
      </c>
      <c r="Z1590" s="19"/>
      <c r="AA1590" s="19"/>
      <c r="AB1590" s="17"/>
      <c r="AC1590" s="19"/>
    </row>
    <row r="1591" customFormat="false" ht="22.35" hidden="false" customHeight="false" outlineLevel="0" collapsed="false">
      <c r="A1591" s="10" t="s">
        <v>7882</v>
      </c>
      <c r="B1591" s="17" t="s">
        <v>165</v>
      </c>
      <c r="C1591" s="18" t="s">
        <v>166</v>
      </c>
      <c r="D1591" s="17" t="s">
        <v>20</v>
      </c>
      <c r="E1591" s="17" t="s">
        <v>75</v>
      </c>
      <c r="F1591" s="17" t="s">
        <v>7502</v>
      </c>
      <c r="G1591" s="17" t="s">
        <v>231</v>
      </c>
      <c r="H1591" s="17" t="s">
        <v>28</v>
      </c>
      <c r="I1591" s="17" t="s">
        <v>283</v>
      </c>
      <c r="J1591" s="17" t="s">
        <v>7503</v>
      </c>
      <c r="K1591" s="19"/>
      <c r="L1591" s="19"/>
      <c r="M1591" s="19"/>
      <c r="N1591" s="19"/>
      <c r="O1591" s="17" t="n">
        <v>1</v>
      </c>
      <c r="P1591" s="18" t="s">
        <v>7853</v>
      </c>
      <c r="Q1591" s="18" t="s">
        <v>4948</v>
      </c>
      <c r="R1591" s="18" t="s">
        <v>7883</v>
      </c>
      <c r="S1591" s="17" t="s">
        <v>7884</v>
      </c>
      <c r="T1591" s="18" t="s">
        <v>7885</v>
      </c>
      <c r="U1591" s="19"/>
      <c r="V1591" s="18" t="s">
        <v>7886</v>
      </c>
      <c r="W1591" s="17" t="s">
        <v>240</v>
      </c>
      <c r="X1591" s="17" t="s">
        <v>7887</v>
      </c>
      <c r="Y1591" s="17" t="s">
        <v>242</v>
      </c>
      <c r="Z1591" s="19"/>
      <c r="AA1591" s="19"/>
      <c r="AB1591" s="17"/>
      <c r="AC1591" s="19"/>
    </row>
    <row r="1592" customFormat="false" ht="22.35" hidden="false" customHeight="false" outlineLevel="0" collapsed="false">
      <c r="A1592" s="10" t="s">
        <v>7888</v>
      </c>
      <c r="B1592" s="17" t="s">
        <v>169</v>
      </c>
      <c r="C1592" s="18" t="s">
        <v>170</v>
      </c>
      <c r="D1592" s="17" t="s">
        <v>20</v>
      </c>
      <c r="E1592" s="17" t="s">
        <v>75</v>
      </c>
      <c r="F1592" s="17" t="s">
        <v>7502</v>
      </c>
      <c r="G1592" s="17" t="s">
        <v>397</v>
      </c>
      <c r="H1592" s="17" t="s">
        <v>28</v>
      </c>
      <c r="I1592" s="17" t="s">
        <v>283</v>
      </c>
      <c r="J1592" s="17" t="s">
        <v>7503</v>
      </c>
      <c r="K1592" s="19"/>
      <c r="L1592" s="19"/>
      <c r="M1592" s="19"/>
      <c r="N1592" s="19"/>
      <c r="O1592" s="17" t="n">
        <v>1</v>
      </c>
      <c r="P1592" s="18" t="s">
        <v>7889</v>
      </c>
      <c r="Q1592" s="18" t="s">
        <v>7854</v>
      </c>
      <c r="R1592" s="18" t="s">
        <v>7855</v>
      </c>
      <c r="S1592" s="17" t="s">
        <v>7849</v>
      </c>
      <c r="T1592" s="18" t="s">
        <v>7856</v>
      </c>
      <c r="U1592" s="19"/>
      <c r="V1592" s="18" t="s">
        <v>7857</v>
      </c>
      <c r="W1592" s="17" t="s">
        <v>240</v>
      </c>
      <c r="X1592" s="17" t="s">
        <v>7858</v>
      </c>
      <c r="Y1592" s="17" t="s">
        <v>242</v>
      </c>
      <c r="Z1592" s="19"/>
      <c r="AA1592" s="19"/>
      <c r="AB1592" s="17"/>
      <c r="AC1592" s="19"/>
    </row>
    <row r="1593" customFormat="false" ht="32.8" hidden="false" customHeight="false" outlineLevel="0" collapsed="false">
      <c r="A1593" s="10" t="s">
        <v>7890</v>
      </c>
      <c r="B1593" s="17" t="s">
        <v>169</v>
      </c>
      <c r="C1593" s="18" t="s">
        <v>170</v>
      </c>
      <c r="D1593" s="17" t="s">
        <v>20</v>
      </c>
      <c r="E1593" s="17" t="s">
        <v>229</v>
      </c>
      <c r="F1593" s="17" t="s">
        <v>7502</v>
      </c>
      <c r="G1593" s="17" t="s">
        <v>397</v>
      </c>
      <c r="H1593" s="17" t="s">
        <v>28</v>
      </c>
      <c r="I1593" s="17" t="s">
        <v>289</v>
      </c>
      <c r="J1593" s="17" t="s">
        <v>7580</v>
      </c>
      <c r="K1593" s="19"/>
      <c r="L1593" s="19"/>
      <c r="M1593" s="19"/>
      <c r="N1593" s="19"/>
      <c r="O1593" s="17" t="n">
        <v>1</v>
      </c>
      <c r="P1593" s="18" t="s">
        <v>7889</v>
      </c>
      <c r="Q1593" s="18" t="s">
        <v>7860</v>
      </c>
      <c r="R1593" s="18" t="s">
        <v>7891</v>
      </c>
      <c r="S1593" s="17" t="s">
        <v>7888</v>
      </c>
      <c r="T1593" s="18" t="s">
        <v>7892</v>
      </c>
      <c r="U1593" s="19"/>
      <c r="V1593" s="18" t="s">
        <v>7893</v>
      </c>
      <c r="W1593" s="17" t="s">
        <v>383</v>
      </c>
      <c r="X1593" s="17" t="s">
        <v>7758</v>
      </c>
      <c r="Y1593" s="17" t="s">
        <v>242</v>
      </c>
      <c r="Z1593" s="19"/>
      <c r="AA1593" s="19"/>
      <c r="AB1593" s="17"/>
      <c r="AC1593" s="19"/>
    </row>
    <row r="1594" customFormat="false" ht="32.8" hidden="false" customHeight="false" outlineLevel="0" collapsed="false">
      <c r="A1594" s="10" t="s">
        <v>7894</v>
      </c>
      <c r="B1594" s="17" t="s">
        <v>169</v>
      </c>
      <c r="C1594" s="18" t="s">
        <v>170</v>
      </c>
      <c r="D1594" s="17" t="s">
        <v>20</v>
      </c>
      <c r="E1594" s="17" t="s">
        <v>75</v>
      </c>
      <c r="F1594" s="17" t="s">
        <v>7502</v>
      </c>
      <c r="G1594" s="17" t="s">
        <v>397</v>
      </c>
      <c r="H1594" s="17" t="s">
        <v>28</v>
      </c>
      <c r="I1594" s="17" t="s">
        <v>450</v>
      </c>
      <c r="J1594" s="17" t="s">
        <v>7580</v>
      </c>
      <c r="K1594" s="19"/>
      <c r="L1594" s="19"/>
      <c r="M1594" s="19"/>
      <c r="N1594" s="19"/>
      <c r="O1594" s="17" t="n">
        <v>1</v>
      </c>
      <c r="P1594" s="18" t="s">
        <v>7889</v>
      </c>
      <c r="Q1594" s="18" t="s">
        <v>7860</v>
      </c>
      <c r="R1594" s="18" t="s">
        <v>7895</v>
      </c>
      <c r="S1594" s="17" t="s">
        <v>7888</v>
      </c>
      <c r="T1594" s="18" t="s">
        <v>7896</v>
      </c>
      <c r="U1594" s="19"/>
      <c r="V1594" s="18" t="s">
        <v>7897</v>
      </c>
      <c r="W1594" s="17" t="s">
        <v>240</v>
      </c>
      <c r="X1594" s="17" t="s">
        <v>7898</v>
      </c>
      <c r="Y1594" s="17" t="s">
        <v>242</v>
      </c>
      <c r="Z1594" s="19"/>
      <c r="AA1594" s="19"/>
      <c r="AB1594" s="17"/>
      <c r="AC1594" s="19"/>
    </row>
    <row r="1595" customFormat="false" ht="22.35" hidden="false" customHeight="false" outlineLevel="0" collapsed="false">
      <c r="A1595" s="10" t="s">
        <v>7899</v>
      </c>
      <c r="B1595" s="17" t="s">
        <v>169</v>
      </c>
      <c r="C1595" s="18" t="s">
        <v>170</v>
      </c>
      <c r="D1595" s="17" t="s">
        <v>20</v>
      </c>
      <c r="E1595" s="17" t="s">
        <v>229</v>
      </c>
      <c r="F1595" s="17" t="s">
        <v>7502</v>
      </c>
      <c r="G1595" s="17" t="s">
        <v>397</v>
      </c>
      <c r="H1595" s="17" t="s">
        <v>28</v>
      </c>
      <c r="I1595" s="17" t="s">
        <v>450</v>
      </c>
      <c r="J1595" s="17" t="s">
        <v>7503</v>
      </c>
      <c r="K1595" s="19"/>
      <c r="L1595" s="19"/>
      <c r="M1595" s="19"/>
      <c r="N1595" s="19"/>
      <c r="O1595" s="17" t="n">
        <v>1</v>
      </c>
      <c r="P1595" s="18" t="s">
        <v>7889</v>
      </c>
      <c r="Q1595" s="18" t="s">
        <v>7860</v>
      </c>
      <c r="R1595" s="18" t="s">
        <v>7900</v>
      </c>
      <c r="S1595" s="17" t="s">
        <v>7888</v>
      </c>
      <c r="T1595" s="18" t="s">
        <v>7901</v>
      </c>
      <c r="U1595" s="19"/>
      <c r="V1595" s="18" t="s">
        <v>7902</v>
      </c>
      <c r="W1595" s="17" t="s">
        <v>240</v>
      </c>
      <c r="X1595" s="17" t="s">
        <v>7786</v>
      </c>
      <c r="Y1595" s="17" t="s">
        <v>242</v>
      </c>
      <c r="Z1595" s="19"/>
      <c r="AA1595" s="19"/>
      <c r="AB1595" s="17"/>
      <c r="AC1595" s="19"/>
    </row>
    <row r="1596" customFormat="false" ht="22.35" hidden="false" customHeight="false" outlineLevel="0" collapsed="false">
      <c r="A1596" s="10" t="s">
        <v>7903</v>
      </c>
      <c r="B1596" s="17" t="s">
        <v>169</v>
      </c>
      <c r="C1596" s="18" t="s">
        <v>170</v>
      </c>
      <c r="D1596" s="17" t="s">
        <v>20</v>
      </c>
      <c r="E1596" s="17" t="s">
        <v>75</v>
      </c>
      <c r="F1596" s="17" t="s">
        <v>7502</v>
      </c>
      <c r="G1596" s="17" t="s">
        <v>397</v>
      </c>
      <c r="H1596" s="17" t="s">
        <v>28</v>
      </c>
      <c r="I1596" s="17" t="s">
        <v>450</v>
      </c>
      <c r="J1596" s="17" t="s">
        <v>7525</v>
      </c>
      <c r="K1596" s="19"/>
      <c r="L1596" s="19"/>
      <c r="M1596" s="19"/>
      <c r="N1596" s="19"/>
      <c r="O1596" s="17" t="n">
        <v>1</v>
      </c>
      <c r="P1596" s="18" t="s">
        <v>7889</v>
      </c>
      <c r="Q1596" s="18" t="s">
        <v>7860</v>
      </c>
      <c r="R1596" s="18" t="s">
        <v>7904</v>
      </c>
      <c r="S1596" s="17" t="s">
        <v>7888</v>
      </c>
      <c r="T1596" s="18" t="s">
        <v>7905</v>
      </c>
      <c r="U1596" s="19"/>
      <c r="V1596" s="18" t="s">
        <v>7906</v>
      </c>
      <c r="W1596" s="17" t="s">
        <v>240</v>
      </c>
      <c r="X1596" s="17" t="s">
        <v>7907</v>
      </c>
      <c r="Y1596" s="17" t="s">
        <v>242</v>
      </c>
      <c r="Z1596" s="19"/>
      <c r="AA1596" s="19"/>
      <c r="AB1596" s="17"/>
      <c r="AC1596" s="19"/>
    </row>
    <row r="1597" customFormat="false" ht="22.35" hidden="false" customHeight="false" outlineLevel="0" collapsed="false">
      <c r="A1597" s="10" t="s">
        <v>7908</v>
      </c>
      <c r="B1597" s="17" t="s">
        <v>169</v>
      </c>
      <c r="C1597" s="18" t="s">
        <v>170</v>
      </c>
      <c r="D1597" s="17" t="s">
        <v>20</v>
      </c>
      <c r="E1597" s="17" t="s">
        <v>75</v>
      </c>
      <c r="F1597" s="17" t="s">
        <v>7502</v>
      </c>
      <c r="G1597" s="17" t="s">
        <v>397</v>
      </c>
      <c r="H1597" s="17" t="s">
        <v>28</v>
      </c>
      <c r="I1597" s="17" t="s">
        <v>450</v>
      </c>
      <c r="J1597" s="17" t="s">
        <v>7575</v>
      </c>
      <c r="K1597" s="19"/>
      <c r="L1597" s="19"/>
      <c r="M1597" s="19"/>
      <c r="N1597" s="19"/>
      <c r="O1597" s="17" t="n">
        <v>1</v>
      </c>
      <c r="P1597" s="18" t="s">
        <v>7889</v>
      </c>
      <c r="Q1597" s="18" t="s">
        <v>7860</v>
      </c>
      <c r="R1597" s="18" t="s">
        <v>7909</v>
      </c>
      <c r="S1597" s="17" t="s">
        <v>7888</v>
      </c>
      <c r="T1597" s="18" t="s">
        <v>7605</v>
      </c>
      <c r="U1597" s="19"/>
      <c r="V1597" s="18" t="s">
        <v>7910</v>
      </c>
      <c r="W1597" s="17" t="s">
        <v>240</v>
      </c>
      <c r="X1597" s="17" t="s">
        <v>7911</v>
      </c>
      <c r="Y1597" s="17" t="s">
        <v>242</v>
      </c>
      <c r="Z1597" s="19"/>
      <c r="AA1597" s="19"/>
      <c r="AB1597" s="17"/>
      <c r="AC1597" s="19"/>
    </row>
    <row r="1598" customFormat="false" ht="22.35" hidden="false" customHeight="false" outlineLevel="0" collapsed="false">
      <c r="A1598" s="10" t="s">
        <v>7912</v>
      </c>
      <c r="B1598" s="17" t="s">
        <v>169</v>
      </c>
      <c r="C1598" s="18" t="s">
        <v>170</v>
      </c>
      <c r="D1598" s="17" t="s">
        <v>20</v>
      </c>
      <c r="E1598" s="17" t="s">
        <v>75</v>
      </c>
      <c r="F1598" s="17" t="s">
        <v>7502</v>
      </c>
      <c r="G1598" s="17" t="s">
        <v>397</v>
      </c>
      <c r="H1598" s="17" t="s">
        <v>28</v>
      </c>
      <c r="I1598" s="17" t="s">
        <v>283</v>
      </c>
      <c r="J1598" s="17" t="s">
        <v>7503</v>
      </c>
      <c r="K1598" s="19"/>
      <c r="L1598" s="19"/>
      <c r="M1598" s="19"/>
      <c r="N1598" s="19"/>
      <c r="O1598" s="17" t="n">
        <v>1</v>
      </c>
      <c r="P1598" s="18" t="s">
        <v>7889</v>
      </c>
      <c r="Q1598" s="18" t="s">
        <v>4948</v>
      </c>
      <c r="R1598" s="18" t="s">
        <v>7913</v>
      </c>
      <c r="S1598" s="17" t="s">
        <v>7914</v>
      </c>
      <c r="T1598" s="18" t="s">
        <v>7915</v>
      </c>
      <c r="U1598" s="19"/>
      <c r="V1598" s="18" t="s">
        <v>7560</v>
      </c>
      <c r="W1598" s="17" t="s">
        <v>240</v>
      </c>
      <c r="X1598" s="17" t="s">
        <v>7887</v>
      </c>
      <c r="Y1598" s="17" t="s">
        <v>242</v>
      </c>
      <c r="Z1598" s="19"/>
      <c r="AA1598" s="19"/>
      <c r="AB1598" s="17"/>
      <c r="AC1598" s="19"/>
    </row>
    <row r="1599" customFormat="false" ht="22.35" hidden="false" customHeight="false" outlineLevel="0" collapsed="false">
      <c r="A1599" s="10" t="s">
        <v>7916</v>
      </c>
      <c r="B1599" s="17" t="s">
        <v>169</v>
      </c>
      <c r="C1599" s="18" t="s">
        <v>170</v>
      </c>
      <c r="D1599" s="17" t="s">
        <v>20</v>
      </c>
      <c r="E1599" s="17" t="s">
        <v>75</v>
      </c>
      <c r="F1599" s="17" t="s">
        <v>7502</v>
      </c>
      <c r="G1599" s="17" t="s">
        <v>548</v>
      </c>
      <c r="H1599" s="17" t="s">
        <v>28</v>
      </c>
      <c r="I1599" s="17" t="s">
        <v>283</v>
      </c>
      <c r="J1599" s="17" t="s">
        <v>7503</v>
      </c>
      <c r="K1599" s="19"/>
      <c r="L1599" s="19"/>
      <c r="M1599" s="19"/>
      <c r="N1599" s="19"/>
      <c r="O1599" s="17" t="n">
        <v>1</v>
      </c>
      <c r="P1599" s="18" t="s">
        <v>7917</v>
      </c>
      <c r="Q1599" s="18" t="s">
        <v>7854</v>
      </c>
      <c r="R1599" s="18" t="s">
        <v>7855</v>
      </c>
      <c r="S1599" s="17" t="s">
        <v>7849</v>
      </c>
      <c r="T1599" s="18" t="s">
        <v>7856</v>
      </c>
      <c r="U1599" s="19"/>
      <c r="V1599" s="18" t="s">
        <v>7857</v>
      </c>
      <c r="W1599" s="17" t="s">
        <v>240</v>
      </c>
      <c r="X1599" s="17" t="s">
        <v>7858</v>
      </c>
      <c r="Y1599" s="17" t="s">
        <v>242</v>
      </c>
      <c r="Z1599" s="19"/>
      <c r="AA1599" s="19"/>
      <c r="AB1599" s="17"/>
      <c r="AC1599" s="19"/>
    </row>
    <row r="1600" customFormat="false" ht="22.35" hidden="false" customHeight="false" outlineLevel="0" collapsed="false">
      <c r="A1600" s="10" t="s">
        <v>7918</v>
      </c>
      <c r="B1600" s="17" t="s">
        <v>169</v>
      </c>
      <c r="C1600" s="18" t="s">
        <v>170</v>
      </c>
      <c r="D1600" s="17" t="s">
        <v>20</v>
      </c>
      <c r="E1600" s="17" t="s">
        <v>229</v>
      </c>
      <c r="F1600" s="17" t="s">
        <v>7502</v>
      </c>
      <c r="G1600" s="17" t="s">
        <v>548</v>
      </c>
      <c r="H1600" s="17" t="s">
        <v>28</v>
      </c>
      <c r="I1600" s="17" t="s">
        <v>277</v>
      </c>
      <c r="J1600" s="17" t="s">
        <v>7580</v>
      </c>
      <c r="K1600" s="19"/>
      <c r="L1600" s="19"/>
      <c r="M1600" s="19"/>
      <c r="N1600" s="19"/>
      <c r="O1600" s="17" t="n">
        <v>1</v>
      </c>
      <c r="P1600" s="18" t="s">
        <v>7917</v>
      </c>
      <c r="Q1600" s="18" t="s">
        <v>7860</v>
      </c>
      <c r="R1600" s="18" t="s">
        <v>7919</v>
      </c>
      <c r="S1600" s="17" t="s">
        <v>7916</v>
      </c>
      <c r="T1600" s="18" t="s">
        <v>7920</v>
      </c>
      <c r="U1600" s="19"/>
      <c r="V1600" s="18" t="s">
        <v>7921</v>
      </c>
      <c r="W1600" s="17" t="s">
        <v>240</v>
      </c>
      <c r="X1600" s="17" t="s">
        <v>7922</v>
      </c>
      <c r="Y1600" s="17" t="s">
        <v>242</v>
      </c>
      <c r="Z1600" s="19"/>
      <c r="AA1600" s="19"/>
      <c r="AB1600" s="17"/>
      <c r="AC1600" s="19"/>
    </row>
    <row r="1601" customFormat="false" ht="22.35" hidden="false" customHeight="false" outlineLevel="0" collapsed="false">
      <c r="A1601" s="10" t="s">
        <v>7923</v>
      </c>
      <c r="B1601" s="17" t="s">
        <v>169</v>
      </c>
      <c r="C1601" s="18" t="s">
        <v>170</v>
      </c>
      <c r="D1601" s="17" t="s">
        <v>20</v>
      </c>
      <c r="E1601" s="17" t="s">
        <v>229</v>
      </c>
      <c r="F1601" s="17" t="s">
        <v>7502</v>
      </c>
      <c r="G1601" s="17" t="s">
        <v>548</v>
      </c>
      <c r="H1601" s="17" t="s">
        <v>28</v>
      </c>
      <c r="I1601" s="17" t="s">
        <v>277</v>
      </c>
      <c r="J1601" s="17" t="s">
        <v>7580</v>
      </c>
      <c r="K1601" s="19"/>
      <c r="L1601" s="19"/>
      <c r="M1601" s="19"/>
      <c r="N1601" s="19"/>
      <c r="O1601" s="17" t="n">
        <v>1</v>
      </c>
      <c r="P1601" s="18" t="s">
        <v>7917</v>
      </c>
      <c r="Q1601" s="18" t="s">
        <v>7860</v>
      </c>
      <c r="R1601" s="18" t="s">
        <v>7924</v>
      </c>
      <c r="S1601" s="17" t="s">
        <v>7916</v>
      </c>
      <c r="T1601" s="18" t="s">
        <v>7925</v>
      </c>
      <c r="U1601" s="19"/>
      <c r="V1601" s="18" t="s">
        <v>7926</v>
      </c>
      <c r="W1601" s="17" t="s">
        <v>240</v>
      </c>
      <c r="X1601" s="17" t="s">
        <v>2673</v>
      </c>
      <c r="Y1601" s="17" t="s">
        <v>242</v>
      </c>
      <c r="Z1601" s="19"/>
      <c r="AA1601" s="19"/>
      <c r="AB1601" s="17"/>
      <c r="AC1601" s="19"/>
    </row>
    <row r="1602" customFormat="false" ht="22.35" hidden="false" customHeight="false" outlineLevel="0" collapsed="false">
      <c r="A1602" s="10" t="s">
        <v>7927</v>
      </c>
      <c r="B1602" s="17" t="s">
        <v>169</v>
      </c>
      <c r="C1602" s="18" t="s">
        <v>170</v>
      </c>
      <c r="D1602" s="17" t="s">
        <v>20</v>
      </c>
      <c r="E1602" s="17" t="s">
        <v>229</v>
      </c>
      <c r="F1602" s="17" t="s">
        <v>7502</v>
      </c>
      <c r="G1602" s="17" t="s">
        <v>548</v>
      </c>
      <c r="H1602" s="17" t="s">
        <v>28</v>
      </c>
      <c r="I1602" s="17" t="s">
        <v>316</v>
      </c>
      <c r="J1602" s="17" t="s">
        <v>7575</v>
      </c>
      <c r="K1602" s="19"/>
      <c r="L1602" s="19"/>
      <c r="M1602" s="19"/>
      <c r="N1602" s="19"/>
      <c r="O1602" s="17" t="n">
        <v>1</v>
      </c>
      <c r="P1602" s="18" t="s">
        <v>7917</v>
      </c>
      <c r="Q1602" s="18" t="s">
        <v>7860</v>
      </c>
      <c r="R1602" s="18" t="s">
        <v>7928</v>
      </c>
      <c r="S1602" s="17" t="s">
        <v>7916</v>
      </c>
      <c r="T1602" s="18" t="s">
        <v>7929</v>
      </c>
      <c r="U1602" s="19"/>
      <c r="V1602" s="18" t="s">
        <v>7930</v>
      </c>
      <c r="W1602" s="17" t="s">
        <v>240</v>
      </c>
      <c r="X1602" s="17" t="s">
        <v>7922</v>
      </c>
      <c r="Y1602" s="17" t="s">
        <v>242</v>
      </c>
      <c r="Z1602" s="19"/>
      <c r="AA1602" s="19"/>
      <c r="AB1602" s="17"/>
      <c r="AC1602" s="19"/>
    </row>
    <row r="1603" customFormat="false" ht="32.8" hidden="false" customHeight="false" outlineLevel="0" collapsed="false">
      <c r="A1603" s="10" t="s">
        <v>7931</v>
      </c>
      <c r="B1603" s="17" t="s">
        <v>169</v>
      </c>
      <c r="C1603" s="18" t="s">
        <v>170</v>
      </c>
      <c r="D1603" s="17" t="s">
        <v>20</v>
      </c>
      <c r="E1603" s="17" t="s">
        <v>229</v>
      </c>
      <c r="F1603" s="17" t="s">
        <v>7502</v>
      </c>
      <c r="G1603" s="17" t="s">
        <v>548</v>
      </c>
      <c r="H1603" s="17" t="s">
        <v>28</v>
      </c>
      <c r="I1603" s="17" t="s">
        <v>277</v>
      </c>
      <c r="J1603" s="17" t="s">
        <v>7525</v>
      </c>
      <c r="K1603" s="19"/>
      <c r="L1603" s="19"/>
      <c r="M1603" s="19"/>
      <c r="N1603" s="19"/>
      <c r="O1603" s="17" t="n">
        <v>1</v>
      </c>
      <c r="P1603" s="18" t="s">
        <v>7917</v>
      </c>
      <c r="Q1603" s="18" t="s">
        <v>7860</v>
      </c>
      <c r="R1603" s="18" t="s">
        <v>7932</v>
      </c>
      <c r="S1603" s="17" t="s">
        <v>7916</v>
      </c>
      <c r="T1603" s="18" t="s">
        <v>7660</v>
      </c>
      <c r="U1603" s="19"/>
      <c r="V1603" s="18" t="s">
        <v>7933</v>
      </c>
      <c r="W1603" s="17" t="s">
        <v>240</v>
      </c>
      <c r="X1603" s="17" t="s">
        <v>7922</v>
      </c>
      <c r="Y1603" s="17" t="s">
        <v>242</v>
      </c>
      <c r="Z1603" s="19"/>
      <c r="AA1603" s="19"/>
      <c r="AB1603" s="17"/>
      <c r="AC1603" s="19"/>
    </row>
    <row r="1604" customFormat="false" ht="22.35" hidden="false" customHeight="false" outlineLevel="0" collapsed="false">
      <c r="A1604" s="10" t="s">
        <v>7934</v>
      </c>
      <c r="B1604" s="17" t="s">
        <v>169</v>
      </c>
      <c r="C1604" s="18" t="s">
        <v>170</v>
      </c>
      <c r="D1604" s="17" t="s">
        <v>20</v>
      </c>
      <c r="E1604" s="17" t="s">
        <v>75</v>
      </c>
      <c r="F1604" s="17" t="s">
        <v>7502</v>
      </c>
      <c r="G1604" s="17" t="s">
        <v>548</v>
      </c>
      <c r="H1604" s="17" t="s">
        <v>28</v>
      </c>
      <c r="I1604" s="17" t="s">
        <v>277</v>
      </c>
      <c r="J1604" s="17" t="s">
        <v>7530</v>
      </c>
      <c r="K1604" s="19"/>
      <c r="L1604" s="19"/>
      <c r="M1604" s="19"/>
      <c r="N1604" s="19"/>
      <c r="O1604" s="17" t="n">
        <v>1</v>
      </c>
      <c r="P1604" s="18" t="s">
        <v>7917</v>
      </c>
      <c r="Q1604" s="18" t="s">
        <v>7860</v>
      </c>
      <c r="R1604" s="18" t="s">
        <v>7935</v>
      </c>
      <c r="S1604" s="17" t="s">
        <v>7916</v>
      </c>
      <c r="T1604" s="18" t="s">
        <v>7936</v>
      </c>
      <c r="U1604" s="19"/>
      <c r="V1604" s="18" t="s">
        <v>7937</v>
      </c>
      <c r="W1604" s="17" t="s">
        <v>240</v>
      </c>
      <c r="X1604" s="17" t="s">
        <v>7938</v>
      </c>
      <c r="Y1604" s="17" t="s">
        <v>242</v>
      </c>
      <c r="Z1604" s="19"/>
      <c r="AA1604" s="19"/>
      <c r="AB1604" s="17"/>
      <c r="AC1604" s="19"/>
    </row>
    <row r="1605" customFormat="false" ht="22.35" hidden="false" customHeight="false" outlineLevel="0" collapsed="false">
      <c r="A1605" s="10" t="s">
        <v>7939</v>
      </c>
      <c r="B1605" s="17" t="s">
        <v>169</v>
      </c>
      <c r="C1605" s="18" t="s">
        <v>170</v>
      </c>
      <c r="D1605" s="17" t="s">
        <v>20</v>
      </c>
      <c r="E1605" s="17" t="s">
        <v>75</v>
      </c>
      <c r="F1605" s="17" t="s">
        <v>7502</v>
      </c>
      <c r="G1605" s="17" t="s">
        <v>548</v>
      </c>
      <c r="H1605" s="17" t="s">
        <v>28</v>
      </c>
      <c r="I1605" s="17" t="s">
        <v>283</v>
      </c>
      <c r="J1605" s="17" t="s">
        <v>7503</v>
      </c>
      <c r="K1605" s="19"/>
      <c r="L1605" s="19"/>
      <c r="M1605" s="19"/>
      <c r="N1605" s="19"/>
      <c r="O1605" s="17" t="n">
        <v>1</v>
      </c>
      <c r="P1605" s="18" t="s">
        <v>7917</v>
      </c>
      <c r="Q1605" s="18" t="s">
        <v>4948</v>
      </c>
      <c r="R1605" s="18" t="s">
        <v>7940</v>
      </c>
      <c r="S1605" s="17" t="s">
        <v>7941</v>
      </c>
      <c r="T1605" s="18" t="s">
        <v>7942</v>
      </c>
      <c r="U1605" s="19"/>
      <c r="V1605" s="18" t="s">
        <v>7560</v>
      </c>
      <c r="W1605" s="17" t="s">
        <v>240</v>
      </c>
      <c r="X1605" s="17" t="s">
        <v>7887</v>
      </c>
      <c r="Y1605" s="17" t="s">
        <v>242</v>
      </c>
      <c r="Z1605" s="19"/>
      <c r="AA1605" s="19"/>
      <c r="AB1605" s="17"/>
      <c r="AC1605" s="19"/>
    </row>
    <row r="1606" customFormat="false" ht="15" hidden="false" customHeight="false" outlineLevel="0" collapsed="false">
      <c r="A1606" s="10" t="s">
        <v>7943</v>
      </c>
      <c r="B1606" s="17" t="s">
        <v>165</v>
      </c>
      <c r="C1606" s="18" t="s">
        <v>166</v>
      </c>
      <c r="D1606" s="17" t="s">
        <v>20</v>
      </c>
      <c r="E1606" s="17" t="s">
        <v>75</v>
      </c>
      <c r="F1606" s="17" t="s">
        <v>7502</v>
      </c>
      <c r="G1606" s="17" t="s">
        <v>734</v>
      </c>
      <c r="H1606" s="17" t="s">
        <v>28</v>
      </c>
      <c r="I1606" s="17" t="s">
        <v>283</v>
      </c>
      <c r="J1606" s="17" t="s">
        <v>7503</v>
      </c>
      <c r="K1606" s="19"/>
      <c r="L1606" s="19"/>
      <c r="M1606" s="19"/>
      <c r="N1606" s="19"/>
      <c r="O1606" s="17" t="n">
        <v>1</v>
      </c>
      <c r="P1606" s="18" t="s">
        <v>7944</v>
      </c>
      <c r="Q1606" s="18" t="s">
        <v>7854</v>
      </c>
      <c r="R1606" s="18" t="s">
        <v>7855</v>
      </c>
      <c r="S1606" s="17" t="s">
        <v>7849</v>
      </c>
      <c r="T1606" s="18" t="s">
        <v>7856</v>
      </c>
      <c r="U1606" s="19"/>
      <c r="V1606" s="18" t="s">
        <v>7857</v>
      </c>
      <c r="W1606" s="17" t="s">
        <v>240</v>
      </c>
      <c r="X1606" s="17" t="s">
        <v>7858</v>
      </c>
      <c r="Y1606" s="17" t="s">
        <v>242</v>
      </c>
      <c r="Z1606" s="19"/>
      <c r="AA1606" s="19"/>
      <c r="AB1606" s="17"/>
      <c r="AC1606" s="19"/>
    </row>
    <row r="1607" customFormat="false" ht="22.35" hidden="false" customHeight="false" outlineLevel="0" collapsed="false">
      <c r="A1607" s="10" t="s">
        <v>7945</v>
      </c>
      <c r="B1607" s="17" t="s">
        <v>165</v>
      </c>
      <c r="C1607" s="18" t="s">
        <v>166</v>
      </c>
      <c r="D1607" s="17" t="s">
        <v>20</v>
      </c>
      <c r="E1607" s="17" t="s">
        <v>75</v>
      </c>
      <c r="F1607" s="17" t="s">
        <v>7502</v>
      </c>
      <c r="G1607" s="17" t="s">
        <v>734</v>
      </c>
      <c r="H1607" s="17" t="s">
        <v>28</v>
      </c>
      <c r="I1607" s="17" t="s">
        <v>277</v>
      </c>
      <c r="J1607" s="17" t="s">
        <v>7569</v>
      </c>
      <c r="K1607" s="19"/>
      <c r="L1607" s="19"/>
      <c r="M1607" s="19"/>
      <c r="N1607" s="19"/>
      <c r="O1607" s="17" t="n">
        <v>1</v>
      </c>
      <c r="P1607" s="18" t="s">
        <v>7944</v>
      </c>
      <c r="Q1607" s="18" t="s">
        <v>7860</v>
      </c>
      <c r="R1607" s="18" t="s">
        <v>7946</v>
      </c>
      <c r="S1607" s="17" t="s">
        <v>7943</v>
      </c>
      <c r="T1607" s="18" t="s">
        <v>7947</v>
      </c>
      <c r="U1607" s="19"/>
      <c r="V1607" s="18" t="s">
        <v>7948</v>
      </c>
      <c r="W1607" s="17" t="s">
        <v>240</v>
      </c>
      <c r="X1607" s="17" t="s">
        <v>7949</v>
      </c>
      <c r="Y1607" s="17" t="s">
        <v>242</v>
      </c>
      <c r="Z1607" s="19"/>
      <c r="AA1607" s="19"/>
      <c r="AB1607" s="17"/>
      <c r="AC1607" s="19"/>
    </row>
    <row r="1608" customFormat="false" ht="22.35" hidden="false" customHeight="false" outlineLevel="0" collapsed="false">
      <c r="A1608" s="10" t="s">
        <v>7950</v>
      </c>
      <c r="B1608" s="17" t="s">
        <v>165</v>
      </c>
      <c r="C1608" s="18" t="s">
        <v>166</v>
      </c>
      <c r="D1608" s="17" t="s">
        <v>20</v>
      </c>
      <c r="E1608" s="17" t="s">
        <v>75</v>
      </c>
      <c r="F1608" s="17" t="s">
        <v>7502</v>
      </c>
      <c r="G1608" s="17" t="s">
        <v>734</v>
      </c>
      <c r="H1608" s="17" t="s">
        <v>28</v>
      </c>
      <c r="I1608" s="17" t="s">
        <v>289</v>
      </c>
      <c r="J1608" s="17" t="s">
        <v>7575</v>
      </c>
      <c r="K1608" s="19"/>
      <c r="L1608" s="19"/>
      <c r="M1608" s="19"/>
      <c r="N1608" s="19"/>
      <c r="O1608" s="17" t="n">
        <v>1</v>
      </c>
      <c r="P1608" s="18" t="s">
        <v>7944</v>
      </c>
      <c r="Q1608" s="18" t="s">
        <v>7860</v>
      </c>
      <c r="R1608" s="18" t="s">
        <v>7951</v>
      </c>
      <c r="S1608" s="17" t="s">
        <v>7943</v>
      </c>
      <c r="T1608" s="18" t="s">
        <v>2961</v>
      </c>
      <c r="U1608" s="19"/>
      <c r="V1608" s="18" t="s">
        <v>7952</v>
      </c>
      <c r="W1608" s="17" t="s">
        <v>240</v>
      </c>
      <c r="X1608" s="17" t="s">
        <v>7953</v>
      </c>
      <c r="Y1608" s="17" t="s">
        <v>242</v>
      </c>
      <c r="Z1608" s="19"/>
      <c r="AA1608" s="19"/>
      <c r="AB1608" s="17"/>
      <c r="AC1608" s="19"/>
    </row>
    <row r="1609" customFormat="false" ht="22.35" hidden="false" customHeight="false" outlineLevel="0" collapsed="false">
      <c r="A1609" s="10" t="s">
        <v>7954</v>
      </c>
      <c r="B1609" s="17" t="s">
        <v>165</v>
      </c>
      <c r="C1609" s="18" t="s">
        <v>166</v>
      </c>
      <c r="D1609" s="17" t="s">
        <v>20</v>
      </c>
      <c r="E1609" s="17" t="s">
        <v>75</v>
      </c>
      <c r="F1609" s="17" t="s">
        <v>7502</v>
      </c>
      <c r="G1609" s="17" t="s">
        <v>734</v>
      </c>
      <c r="H1609" s="17" t="s">
        <v>28</v>
      </c>
      <c r="I1609" s="17" t="s">
        <v>289</v>
      </c>
      <c r="J1609" s="17" t="s">
        <v>7525</v>
      </c>
      <c r="K1609" s="19"/>
      <c r="L1609" s="19"/>
      <c r="M1609" s="19"/>
      <c r="N1609" s="19"/>
      <c r="O1609" s="17" t="n">
        <v>1</v>
      </c>
      <c r="P1609" s="18" t="s">
        <v>7944</v>
      </c>
      <c r="Q1609" s="18" t="s">
        <v>7860</v>
      </c>
      <c r="R1609" s="18" t="s">
        <v>7955</v>
      </c>
      <c r="S1609" s="17" t="s">
        <v>7943</v>
      </c>
      <c r="T1609" s="18" t="s">
        <v>753</v>
      </c>
      <c r="U1609" s="19"/>
      <c r="V1609" s="18" t="s">
        <v>7956</v>
      </c>
      <c r="W1609" s="17" t="s">
        <v>240</v>
      </c>
      <c r="X1609" s="17" t="s">
        <v>7953</v>
      </c>
      <c r="Y1609" s="17" t="s">
        <v>242</v>
      </c>
      <c r="Z1609" s="19"/>
      <c r="AA1609" s="19"/>
      <c r="AB1609" s="17"/>
      <c r="AC1609" s="19"/>
    </row>
    <row r="1610" customFormat="false" ht="32.8" hidden="false" customHeight="false" outlineLevel="0" collapsed="false">
      <c r="A1610" s="10" t="s">
        <v>7957</v>
      </c>
      <c r="B1610" s="17" t="s">
        <v>165</v>
      </c>
      <c r="C1610" s="18" t="s">
        <v>166</v>
      </c>
      <c r="D1610" s="17" t="s">
        <v>20</v>
      </c>
      <c r="E1610" s="17" t="s">
        <v>229</v>
      </c>
      <c r="F1610" s="17" t="s">
        <v>7502</v>
      </c>
      <c r="G1610" s="17" t="s">
        <v>734</v>
      </c>
      <c r="H1610" s="17" t="s">
        <v>28</v>
      </c>
      <c r="I1610" s="17" t="s">
        <v>277</v>
      </c>
      <c r="J1610" s="17" t="s">
        <v>7580</v>
      </c>
      <c r="K1610" s="19"/>
      <c r="L1610" s="19"/>
      <c r="M1610" s="19"/>
      <c r="N1610" s="19"/>
      <c r="O1610" s="17" t="n">
        <v>1</v>
      </c>
      <c r="P1610" s="18" t="s">
        <v>7944</v>
      </c>
      <c r="Q1610" s="18" t="s">
        <v>7860</v>
      </c>
      <c r="R1610" s="18" t="s">
        <v>7958</v>
      </c>
      <c r="S1610" s="17" t="s">
        <v>7943</v>
      </c>
      <c r="T1610" s="18" t="s">
        <v>7959</v>
      </c>
      <c r="U1610" s="19"/>
      <c r="V1610" s="18" t="s">
        <v>7960</v>
      </c>
      <c r="W1610" s="17" t="s">
        <v>240</v>
      </c>
      <c r="X1610" s="17" t="s">
        <v>7961</v>
      </c>
      <c r="Y1610" s="17" t="s">
        <v>242</v>
      </c>
      <c r="Z1610" s="19"/>
      <c r="AA1610" s="19"/>
      <c r="AB1610" s="17"/>
      <c r="AC1610" s="19"/>
    </row>
    <row r="1611" customFormat="false" ht="15" hidden="false" customHeight="false" outlineLevel="0" collapsed="false">
      <c r="A1611" s="10" t="s">
        <v>7962</v>
      </c>
      <c r="B1611" s="17" t="s">
        <v>165</v>
      </c>
      <c r="C1611" s="18" t="s">
        <v>166</v>
      </c>
      <c r="D1611" s="17" t="s">
        <v>20</v>
      </c>
      <c r="E1611" s="17" t="s">
        <v>75</v>
      </c>
      <c r="F1611" s="17" t="s">
        <v>7502</v>
      </c>
      <c r="G1611" s="17" t="s">
        <v>734</v>
      </c>
      <c r="H1611" s="17" t="s">
        <v>28</v>
      </c>
      <c r="I1611" s="17" t="s">
        <v>283</v>
      </c>
      <c r="J1611" s="17" t="s">
        <v>7503</v>
      </c>
      <c r="K1611" s="19"/>
      <c r="L1611" s="19"/>
      <c r="M1611" s="19"/>
      <c r="N1611" s="19"/>
      <c r="O1611" s="17" t="n">
        <v>1</v>
      </c>
      <c r="P1611" s="18" t="s">
        <v>7944</v>
      </c>
      <c r="Q1611" s="18" t="s">
        <v>4948</v>
      </c>
      <c r="R1611" s="18" t="s">
        <v>7963</v>
      </c>
      <c r="S1611" s="17" t="s">
        <v>7964</v>
      </c>
      <c r="T1611" s="18" t="s">
        <v>7965</v>
      </c>
      <c r="U1611" s="19"/>
      <c r="V1611" s="18" t="s">
        <v>7560</v>
      </c>
      <c r="W1611" s="17" t="s">
        <v>240</v>
      </c>
      <c r="X1611" s="17" t="s">
        <v>7887</v>
      </c>
      <c r="Y1611" s="17" t="s">
        <v>242</v>
      </c>
      <c r="Z1611" s="19"/>
      <c r="AA1611" s="19"/>
      <c r="AB1611" s="17"/>
      <c r="AC1611" s="19"/>
    </row>
    <row r="1612" customFormat="false" ht="15" hidden="false" customHeight="false" outlineLevel="0" collapsed="false">
      <c r="A1612" s="10" t="s">
        <v>7966</v>
      </c>
      <c r="B1612" s="17" t="s">
        <v>172</v>
      </c>
      <c r="C1612" s="18" t="s">
        <v>173</v>
      </c>
      <c r="D1612" s="17" t="s">
        <v>20</v>
      </c>
      <c r="E1612" s="17" t="s">
        <v>75</v>
      </c>
      <c r="F1612" s="17" t="s">
        <v>7502</v>
      </c>
      <c r="G1612" s="17" t="s">
        <v>876</v>
      </c>
      <c r="H1612" s="17" t="s">
        <v>29</v>
      </c>
      <c r="I1612" s="17" t="s">
        <v>283</v>
      </c>
      <c r="J1612" s="17" t="s">
        <v>7503</v>
      </c>
      <c r="K1612" s="19"/>
      <c r="L1612" s="19"/>
      <c r="M1612" s="19"/>
      <c r="N1612" s="19"/>
      <c r="O1612" s="17" t="n">
        <v>1</v>
      </c>
      <c r="P1612" s="18" t="s">
        <v>7967</v>
      </c>
      <c r="Q1612" s="18" t="s">
        <v>7854</v>
      </c>
      <c r="R1612" s="18" t="s">
        <v>7855</v>
      </c>
      <c r="S1612" s="17" t="s">
        <v>7849</v>
      </c>
      <c r="T1612" s="18" t="s">
        <v>7856</v>
      </c>
      <c r="U1612" s="19"/>
      <c r="V1612" s="18" t="s">
        <v>7857</v>
      </c>
      <c r="W1612" s="17" t="s">
        <v>240</v>
      </c>
      <c r="X1612" s="17" t="s">
        <v>7858</v>
      </c>
      <c r="Y1612" s="17" t="s">
        <v>242</v>
      </c>
      <c r="Z1612" s="19"/>
      <c r="AA1612" s="19"/>
      <c r="AB1612" s="17"/>
      <c r="AC1612" s="19"/>
    </row>
    <row r="1613" customFormat="false" ht="22.35" hidden="false" customHeight="false" outlineLevel="0" collapsed="false">
      <c r="A1613" s="10" t="s">
        <v>7968</v>
      </c>
      <c r="B1613" s="17" t="s">
        <v>172</v>
      </c>
      <c r="C1613" s="18" t="s">
        <v>173</v>
      </c>
      <c r="D1613" s="17" t="s">
        <v>20</v>
      </c>
      <c r="E1613" s="17" t="s">
        <v>75</v>
      </c>
      <c r="F1613" s="17" t="s">
        <v>7502</v>
      </c>
      <c r="G1613" s="17" t="s">
        <v>876</v>
      </c>
      <c r="H1613" s="17" t="s">
        <v>29</v>
      </c>
      <c r="I1613" s="17" t="s">
        <v>277</v>
      </c>
      <c r="J1613" s="17" t="s">
        <v>7530</v>
      </c>
      <c r="K1613" s="19"/>
      <c r="L1613" s="19"/>
      <c r="M1613" s="19"/>
      <c r="N1613" s="19"/>
      <c r="O1613" s="17" t="n">
        <v>1</v>
      </c>
      <c r="P1613" s="18" t="s">
        <v>7967</v>
      </c>
      <c r="Q1613" s="18" t="s">
        <v>7860</v>
      </c>
      <c r="R1613" s="18" t="s">
        <v>7969</v>
      </c>
      <c r="S1613" s="17" t="s">
        <v>7966</v>
      </c>
      <c r="T1613" s="18" t="s">
        <v>7970</v>
      </c>
      <c r="U1613" s="19"/>
      <c r="V1613" s="18" t="s">
        <v>7971</v>
      </c>
      <c r="W1613" s="17" t="s">
        <v>240</v>
      </c>
      <c r="X1613" s="17" t="s">
        <v>7972</v>
      </c>
      <c r="Y1613" s="17" t="s">
        <v>242</v>
      </c>
      <c r="Z1613" s="19"/>
      <c r="AA1613" s="19"/>
      <c r="AB1613" s="17"/>
      <c r="AC1613" s="19"/>
    </row>
    <row r="1614" customFormat="false" ht="22.35" hidden="false" customHeight="false" outlineLevel="0" collapsed="false">
      <c r="A1614" s="10" t="s">
        <v>7973</v>
      </c>
      <c r="B1614" s="17" t="s">
        <v>172</v>
      </c>
      <c r="C1614" s="18" t="s">
        <v>173</v>
      </c>
      <c r="D1614" s="17" t="s">
        <v>20</v>
      </c>
      <c r="E1614" s="17" t="s">
        <v>75</v>
      </c>
      <c r="F1614" s="17" t="s">
        <v>7502</v>
      </c>
      <c r="G1614" s="17" t="s">
        <v>876</v>
      </c>
      <c r="H1614" s="17" t="s">
        <v>29</v>
      </c>
      <c r="I1614" s="17" t="s">
        <v>277</v>
      </c>
      <c r="J1614" s="17" t="s">
        <v>7503</v>
      </c>
      <c r="K1614" s="19"/>
      <c r="L1614" s="19"/>
      <c r="M1614" s="19"/>
      <c r="N1614" s="19"/>
      <c r="O1614" s="17" t="n">
        <v>1</v>
      </c>
      <c r="P1614" s="18" t="s">
        <v>7967</v>
      </c>
      <c r="Q1614" s="18" t="s">
        <v>7860</v>
      </c>
      <c r="R1614" s="18" t="s">
        <v>7974</v>
      </c>
      <c r="S1614" s="17" t="s">
        <v>7966</v>
      </c>
      <c r="T1614" s="18" t="s">
        <v>912</v>
      </c>
      <c r="U1614" s="19"/>
      <c r="V1614" s="18" t="s">
        <v>7975</v>
      </c>
      <c r="W1614" s="17" t="s">
        <v>240</v>
      </c>
      <c r="X1614" s="17" t="s">
        <v>7976</v>
      </c>
      <c r="Y1614" s="17" t="s">
        <v>242</v>
      </c>
      <c r="Z1614" s="19"/>
      <c r="AA1614" s="19"/>
      <c r="AB1614" s="17"/>
      <c r="AC1614" s="19"/>
    </row>
    <row r="1615" customFormat="false" ht="22.35" hidden="false" customHeight="false" outlineLevel="0" collapsed="false">
      <c r="A1615" s="10" t="s">
        <v>7977</v>
      </c>
      <c r="B1615" s="17" t="s">
        <v>172</v>
      </c>
      <c r="C1615" s="18" t="s">
        <v>173</v>
      </c>
      <c r="D1615" s="17" t="s">
        <v>20</v>
      </c>
      <c r="E1615" s="17" t="s">
        <v>229</v>
      </c>
      <c r="F1615" s="17" t="s">
        <v>7502</v>
      </c>
      <c r="G1615" s="17" t="s">
        <v>876</v>
      </c>
      <c r="H1615" s="17" t="s">
        <v>29</v>
      </c>
      <c r="I1615" s="17" t="s">
        <v>277</v>
      </c>
      <c r="J1615" s="17" t="s">
        <v>7569</v>
      </c>
      <c r="K1615" s="19"/>
      <c r="L1615" s="19"/>
      <c r="M1615" s="19"/>
      <c r="N1615" s="19"/>
      <c r="O1615" s="17" t="n">
        <v>1</v>
      </c>
      <c r="P1615" s="18" t="s">
        <v>7967</v>
      </c>
      <c r="Q1615" s="18" t="s">
        <v>7860</v>
      </c>
      <c r="R1615" s="18" t="s">
        <v>7978</v>
      </c>
      <c r="S1615" s="17" t="s">
        <v>7966</v>
      </c>
      <c r="T1615" s="18" t="s">
        <v>917</v>
      </c>
      <c r="U1615" s="19"/>
      <c r="V1615" s="18" t="s">
        <v>7979</v>
      </c>
      <c r="W1615" s="17" t="s">
        <v>240</v>
      </c>
      <c r="X1615" s="17" t="s">
        <v>5087</v>
      </c>
      <c r="Y1615" s="17" t="s">
        <v>242</v>
      </c>
      <c r="Z1615" s="19"/>
      <c r="AA1615" s="19"/>
      <c r="AB1615" s="17"/>
      <c r="AC1615" s="19"/>
    </row>
    <row r="1616" customFormat="false" ht="22.35" hidden="false" customHeight="false" outlineLevel="0" collapsed="false">
      <c r="A1616" s="10" t="s">
        <v>7980</v>
      </c>
      <c r="B1616" s="17" t="s">
        <v>172</v>
      </c>
      <c r="C1616" s="18" t="s">
        <v>173</v>
      </c>
      <c r="D1616" s="17" t="s">
        <v>20</v>
      </c>
      <c r="E1616" s="17" t="s">
        <v>75</v>
      </c>
      <c r="F1616" s="17" t="s">
        <v>7502</v>
      </c>
      <c r="G1616" s="17" t="s">
        <v>876</v>
      </c>
      <c r="H1616" s="17" t="s">
        <v>29</v>
      </c>
      <c r="I1616" s="17" t="s">
        <v>289</v>
      </c>
      <c r="J1616" s="17" t="s">
        <v>7575</v>
      </c>
      <c r="K1616" s="19"/>
      <c r="L1616" s="19"/>
      <c r="M1616" s="19"/>
      <c r="N1616" s="19"/>
      <c r="O1616" s="17" t="n">
        <v>1</v>
      </c>
      <c r="P1616" s="18" t="s">
        <v>7967</v>
      </c>
      <c r="Q1616" s="18" t="s">
        <v>7860</v>
      </c>
      <c r="R1616" s="18" t="s">
        <v>7981</v>
      </c>
      <c r="S1616" s="17" t="s">
        <v>7966</v>
      </c>
      <c r="T1616" s="18" t="s">
        <v>7727</v>
      </c>
      <c r="U1616" s="19"/>
      <c r="V1616" s="18" t="s">
        <v>7982</v>
      </c>
      <c r="W1616" s="17" t="s">
        <v>240</v>
      </c>
      <c r="X1616" s="17" t="s">
        <v>7724</v>
      </c>
      <c r="Y1616" s="17" t="s">
        <v>242</v>
      </c>
      <c r="Z1616" s="19"/>
      <c r="AA1616" s="19"/>
      <c r="AB1616" s="17"/>
      <c r="AC1616" s="19"/>
    </row>
    <row r="1617" customFormat="false" ht="15" hidden="false" customHeight="false" outlineLevel="0" collapsed="false">
      <c r="A1617" s="10" t="s">
        <v>7983</v>
      </c>
      <c r="B1617" s="17" t="s">
        <v>172</v>
      </c>
      <c r="C1617" s="18" t="s">
        <v>173</v>
      </c>
      <c r="D1617" s="17" t="s">
        <v>20</v>
      </c>
      <c r="E1617" s="17" t="s">
        <v>75</v>
      </c>
      <c r="F1617" s="17" t="s">
        <v>7502</v>
      </c>
      <c r="G1617" s="17" t="s">
        <v>876</v>
      </c>
      <c r="H1617" s="17" t="s">
        <v>29</v>
      </c>
      <c r="I1617" s="17" t="s">
        <v>283</v>
      </c>
      <c r="J1617" s="17" t="s">
        <v>7503</v>
      </c>
      <c r="K1617" s="19"/>
      <c r="L1617" s="19"/>
      <c r="M1617" s="19"/>
      <c r="N1617" s="19"/>
      <c r="O1617" s="17" t="n">
        <v>1</v>
      </c>
      <c r="P1617" s="18" t="s">
        <v>7967</v>
      </c>
      <c r="Q1617" s="18" t="s">
        <v>4948</v>
      </c>
      <c r="R1617" s="18" t="s">
        <v>7984</v>
      </c>
      <c r="S1617" s="17" t="s">
        <v>7985</v>
      </c>
      <c r="T1617" s="18" t="s">
        <v>7986</v>
      </c>
      <c r="U1617" s="19"/>
      <c r="V1617" s="18" t="s">
        <v>7560</v>
      </c>
      <c r="W1617" s="17" t="s">
        <v>240</v>
      </c>
      <c r="X1617" s="17" t="s">
        <v>7887</v>
      </c>
      <c r="Y1617" s="17" t="s">
        <v>242</v>
      </c>
      <c r="Z1617" s="19"/>
      <c r="AA1617" s="19"/>
      <c r="AB1617" s="17"/>
      <c r="AC1617" s="19"/>
    </row>
    <row r="1618" customFormat="false" ht="15" hidden="false" customHeight="false" outlineLevel="0" collapsed="false">
      <c r="A1618" s="10" t="s">
        <v>7987</v>
      </c>
      <c r="B1618" s="17" t="s">
        <v>121</v>
      </c>
      <c r="C1618" s="18" t="s">
        <v>122</v>
      </c>
      <c r="D1618" s="17" t="s">
        <v>20</v>
      </c>
      <c r="E1618" s="17" t="s">
        <v>75</v>
      </c>
      <c r="F1618" s="17" t="s">
        <v>7502</v>
      </c>
      <c r="G1618" s="17" t="s">
        <v>973</v>
      </c>
      <c r="H1618" s="17" t="s">
        <v>30</v>
      </c>
      <c r="I1618" s="17" t="s">
        <v>283</v>
      </c>
      <c r="J1618" s="17" t="s">
        <v>7503</v>
      </c>
      <c r="K1618" s="19"/>
      <c r="L1618" s="19"/>
      <c r="M1618" s="19"/>
      <c r="N1618" s="19"/>
      <c r="O1618" s="17" t="n">
        <v>1</v>
      </c>
      <c r="P1618" s="18" t="s">
        <v>7988</v>
      </c>
      <c r="Q1618" s="18" t="s">
        <v>7854</v>
      </c>
      <c r="R1618" s="18" t="s">
        <v>7855</v>
      </c>
      <c r="S1618" s="17" t="s">
        <v>7849</v>
      </c>
      <c r="T1618" s="18" t="s">
        <v>7856</v>
      </c>
      <c r="U1618" s="19"/>
      <c r="V1618" s="18" t="s">
        <v>7857</v>
      </c>
      <c r="W1618" s="17" t="s">
        <v>240</v>
      </c>
      <c r="X1618" s="17" t="s">
        <v>7858</v>
      </c>
      <c r="Y1618" s="17" t="s">
        <v>242</v>
      </c>
      <c r="Z1618" s="19"/>
      <c r="AA1618" s="19"/>
      <c r="AB1618" s="17"/>
      <c r="AC1618" s="19"/>
    </row>
    <row r="1619" customFormat="false" ht="22.35" hidden="false" customHeight="false" outlineLevel="0" collapsed="false">
      <c r="A1619" s="10" t="s">
        <v>7989</v>
      </c>
      <c r="B1619" s="17" t="s">
        <v>121</v>
      </c>
      <c r="C1619" s="18" t="s">
        <v>122</v>
      </c>
      <c r="D1619" s="17" t="s">
        <v>20</v>
      </c>
      <c r="E1619" s="17" t="s">
        <v>75</v>
      </c>
      <c r="F1619" s="17" t="s">
        <v>7502</v>
      </c>
      <c r="G1619" s="17" t="s">
        <v>973</v>
      </c>
      <c r="H1619" s="17" t="s">
        <v>30</v>
      </c>
      <c r="I1619" s="17" t="s">
        <v>333</v>
      </c>
      <c r="J1619" s="17" t="s">
        <v>7503</v>
      </c>
      <c r="K1619" s="19"/>
      <c r="L1619" s="19"/>
      <c r="M1619" s="19"/>
      <c r="N1619" s="19"/>
      <c r="O1619" s="17" t="n">
        <v>1</v>
      </c>
      <c r="P1619" s="18" t="s">
        <v>7988</v>
      </c>
      <c r="Q1619" s="18" t="s">
        <v>7860</v>
      </c>
      <c r="R1619" s="18" t="s">
        <v>7990</v>
      </c>
      <c r="S1619" s="17" t="s">
        <v>7987</v>
      </c>
      <c r="T1619" s="18" t="s">
        <v>7991</v>
      </c>
      <c r="U1619" s="19"/>
      <c r="V1619" s="18" t="s">
        <v>7992</v>
      </c>
      <c r="W1619" s="17" t="s">
        <v>240</v>
      </c>
      <c r="X1619" s="17" t="s">
        <v>7993</v>
      </c>
      <c r="Y1619" s="17" t="s">
        <v>242</v>
      </c>
      <c r="Z1619" s="19"/>
      <c r="AA1619" s="19"/>
      <c r="AB1619" s="17"/>
      <c r="AC1619" s="19"/>
    </row>
    <row r="1620" customFormat="false" ht="22.35" hidden="false" customHeight="false" outlineLevel="0" collapsed="false">
      <c r="A1620" s="10" t="s">
        <v>7994</v>
      </c>
      <c r="B1620" s="17" t="s">
        <v>121</v>
      </c>
      <c r="C1620" s="18" t="s">
        <v>122</v>
      </c>
      <c r="D1620" s="17" t="s">
        <v>20</v>
      </c>
      <c r="E1620" s="17" t="s">
        <v>229</v>
      </c>
      <c r="F1620" s="17" t="s">
        <v>7502</v>
      </c>
      <c r="G1620" s="17" t="s">
        <v>973</v>
      </c>
      <c r="H1620" s="17" t="s">
        <v>30</v>
      </c>
      <c r="I1620" s="17" t="s">
        <v>333</v>
      </c>
      <c r="J1620" s="17" t="s">
        <v>7569</v>
      </c>
      <c r="K1620" s="19"/>
      <c r="L1620" s="19"/>
      <c r="M1620" s="19"/>
      <c r="N1620" s="19"/>
      <c r="O1620" s="17" t="n">
        <v>1</v>
      </c>
      <c r="P1620" s="18" t="s">
        <v>7988</v>
      </c>
      <c r="Q1620" s="18" t="s">
        <v>7860</v>
      </c>
      <c r="R1620" s="18" t="s">
        <v>7995</v>
      </c>
      <c r="S1620" s="17" t="s">
        <v>7996</v>
      </c>
      <c r="T1620" s="18" t="s">
        <v>7626</v>
      </c>
      <c r="U1620" s="19"/>
      <c r="V1620" s="18" t="s">
        <v>7997</v>
      </c>
      <c r="W1620" s="17" t="s">
        <v>240</v>
      </c>
      <c r="X1620" s="17" t="s">
        <v>5087</v>
      </c>
      <c r="Y1620" s="17" t="s">
        <v>242</v>
      </c>
      <c r="Z1620" s="19"/>
      <c r="AA1620" s="19"/>
      <c r="AB1620" s="17"/>
      <c r="AC1620" s="19"/>
    </row>
    <row r="1621" customFormat="false" ht="22.35" hidden="false" customHeight="false" outlineLevel="0" collapsed="false">
      <c r="A1621" s="10" t="s">
        <v>7998</v>
      </c>
      <c r="B1621" s="17" t="s">
        <v>121</v>
      </c>
      <c r="C1621" s="18" t="s">
        <v>122</v>
      </c>
      <c r="D1621" s="17" t="s">
        <v>20</v>
      </c>
      <c r="E1621" s="17" t="s">
        <v>75</v>
      </c>
      <c r="F1621" s="17" t="s">
        <v>7502</v>
      </c>
      <c r="G1621" s="17" t="s">
        <v>973</v>
      </c>
      <c r="H1621" s="17" t="s">
        <v>30</v>
      </c>
      <c r="I1621" s="17" t="s">
        <v>450</v>
      </c>
      <c r="J1621" s="17" t="s">
        <v>7530</v>
      </c>
      <c r="K1621" s="19"/>
      <c r="L1621" s="19"/>
      <c r="M1621" s="19"/>
      <c r="N1621" s="19"/>
      <c r="O1621" s="17" t="n">
        <v>1</v>
      </c>
      <c r="P1621" s="18" t="s">
        <v>7988</v>
      </c>
      <c r="Q1621" s="18" t="s">
        <v>7860</v>
      </c>
      <c r="R1621" s="18" t="s">
        <v>7999</v>
      </c>
      <c r="S1621" s="17" t="s">
        <v>7987</v>
      </c>
      <c r="T1621" s="18" t="s">
        <v>8000</v>
      </c>
      <c r="U1621" s="19"/>
      <c r="V1621" s="18" t="s">
        <v>8001</v>
      </c>
      <c r="W1621" s="17" t="s">
        <v>240</v>
      </c>
      <c r="X1621" s="17" t="s">
        <v>7907</v>
      </c>
      <c r="Y1621" s="17" t="s">
        <v>242</v>
      </c>
      <c r="Z1621" s="19"/>
      <c r="AA1621" s="19"/>
      <c r="AB1621" s="17"/>
      <c r="AC1621" s="19"/>
    </row>
    <row r="1622" customFormat="false" ht="22.35" hidden="false" customHeight="false" outlineLevel="0" collapsed="false">
      <c r="A1622" s="10" t="s">
        <v>8002</v>
      </c>
      <c r="B1622" s="17" t="s">
        <v>121</v>
      </c>
      <c r="C1622" s="18" t="s">
        <v>122</v>
      </c>
      <c r="D1622" s="17" t="s">
        <v>20</v>
      </c>
      <c r="E1622" s="17" t="s">
        <v>75</v>
      </c>
      <c r="F1622" s="17" t="s">
        <v>7502</v>
      </c>
      <c r="G1622" s="17" t="s">
        <v>973</v>
      </c>
      <c r="H1622" s="17" t="s">
        <v>30</v>
      </c>
      <c r="I1622" s="17" t="s">
        <v>974</v>
      </c>
      <c r="J1622" s="17" t="s">
        <v>7580</v>
      </c>
      <c r="K1622" s="19"/>
      <c r="L1622" s="19"/>
      <c r="M1622" s="19"/>
      <c r="N1622" s="19"/>
      <c r="O1622" s="17" t="n">
        <v>1</v>
      </c>
      <c r="P1622" s="18" t="s">
        <v>7988</v>
      </c>
      <c r="Q1622" s="18" t="s">
        <v>7860</v>
      </c>
      <c r="R1622" s="18" t="s">
        <v>8003</v>
      </c>
      <c r="S1622" s="17" t="s">
        <v>7987</v>
      </c>
      <c r="T1622" s="18" t="s">
        <v>5245</v>
      </c>
      <c r="U1622" s="19"/>
      <c r="V1622" s="18" t="s">
        <v>8004</v>
      </c>
      <c r="W1622" s="17" t="s">
        <v>240</v>
      </c>
      <c r="X1622" s="17" t="s">
        <v>8005</v>
      </c>
      <c r="Y1622" s="17" t="s">
        <v>242</v>
      </c>
      <c r="Z1622" s="19"/>
      <c r="AA1622" s="19"/>
      <c r="AB1622" s="17"/>
      <c r="AC1622" s="19"/>
    </row>
    <row r="1623" customFormat="false" ht="15" hidden="false" customHeight="false" outlineLevel="0" collapsed="false">
      <c r="A1623" s="10" t="s">
        <v>8006</v>
      </c>
      <c r="B1623" s="17" t="s">
        <v>121</v>
      </c>
      <c r="C1623" s="18" t="s">
        <v>122</v>
      </c>
      <c r="D1623" s="17" t="s">
        <v>20</v>
      </c>
      <c r="E1623" s="17" t="s">
        <v>75</v>
      </c>
      <c r="F1623" s="17" t="s">
        <v>7502</v>
      </c>
      <c r="G1623" s="17" t="s">
        <v>973</v>
      </c>
      <c r="H1623" s="17" t="s">
        <v>30</v>
      </c>
      <c r="I1623" s="17" t="s">
        <v>283</v>
      </c>
      <c r="J1623" s="17" t="s">
        <v>7503</v>
      </c>
      <c r="K1623" s="19"/>
      <c r="L1623" s="19"/>
      <c r="M1623" s="19"/>
      <c r="N1623" s="19"/>
      <c r="O1623" s="17" t="n">
        <v>1</v>
      </c>
      <c r="P1623" s="18" t="s">
        <v>7988</v>
      </c>
      <c r="Q1623" s="18" t="s">
        <v>4948</v>
      </c>
      <c r="R1623" s="18" t="s">
        <v>8007</v>
      </c>
      <c r="S1623" s="17" t="s">
        <v>8008</v>
      </c>
      <c r="T1623" s="18" t="s">
        <v>8009</v>
      </c>
      <c r="U1623" s="19"/>
      <c r="V1623" s="18" t="s">
        <v>7560</v>
      </c>
      <c r="W1623" s="17" t="s">
        <v>240</v>
      </c>
      <c r="X1623" s="17" t="s">
        <v>7887</v>
      </c>
      <c r="Y1623" s="17" t="s">
        <v>242</v>
      </c>
      <c r="Z1623" s="19"/>
      <c r="AA1623" s="19"/>
      <c r="AB1623" s="17"/>
      <c r="AC1623" s="19"/>
    </row>
    <row r="1624" customFormat="false" ht="15" hidden="false" customHeight="false" outlineLevel="0" collapsed="false">
      <c r="A1624" s="10" t="s">
        <v>8010</v>
      </c>
      <c r="B1624" s="17" t="s">
        <v>172</v>
      </c>
      <c r="C1624" s="18" t="s">
        <v>173</v>
      </c>
      <c r="D1624" s="17" t="s">
        <v>20</v>
      </c>
      <c r="E1624" s="17" t="s">
        <v>75</v>
      </c>
      <c r="F1624" s="17" t="s">
        <v>7502</v>
      </c>
      <c r="G1624" s="17" t="s">
        <v>1037</v>
      </c>
      <c r="H1624" s="17" t="s">
        <v>29</v>
      </c>
      <c r="I1624" s="17" t="s">
        <v>283</v>
      </c>
      <c r="J1624" s="17" t="s">
        <v>7503</v>
      </c>
      <c r="K1624" s="19"/>
      <c r="L1624" s="19"/>
      <c r="M1624" s="19"/>
      <c r="N1624" s="19"/>
      <c r="O1624" s="17" t="n">
        <v>1</v>
      </c>
      <c r="P1624" s="18" t="s">
        <v>8011</v>
      </c>
      <c r="Q1624" s="18" t="s">
        <v>7854</v>
      </c>
      <c r="R1624" s="18" t="s">
        <v>7855</v>
      </c>
      <c r="S1624" s="17" t="s">
        <v>7849</v>
      </c>
      <c r="T1624" s="18" t="s">
        <v>7856</v>
      </c>
      <c r="U1624" s="19"/>
      <c r="V1624" s="18" t="s">
        <v>7857</v>
      </c>
      <c r="W1624" s="17" t="s">
        <v>240</v>
      </c>
      <c r="X1624" s="17" t="s">
        <v>7858</v>
      </c>
      <c r="Y1624" s="17" t="s">
        <v>242</v>
      </c>
      <c r="Z1624" s="19"/>
      <c r="AA1624" s="19"/>
      <c r="AB1624" s="17"/>
      <c r="AC1624" s="19"/>
    </row>
    <row r="1625" customFormat="false" ht="22.35" hidden="false" customHeight="false" outlineLevel="0" collapsed="false">
      <c r="A1625" s="10" t="s">
        <v>8012</v>
      </c>
      <c r="B1625" s="17" t="s">
        <v>172</v>
      </c>
      <c r="C1625" s="18" t="s">
        <v>173</v>
      </c>
      <c r="D1625" s="17" t="s">
        <v>20</v>
      </c>
      <c r="E1625" s="17" t="s">
        <v>75</v>
      </c>
      <c r="F1625" s="17" t="s">
        <v>7502</v>
      </c>
      <c r="G1625" s="17" t="s">
        <v>1037</v>
      </c>
      <c r="H1625" s="17" t="s">
        <v>29</v>
      </c>
      <c r="I1625" s="17" t="s">
        <v>277</v>
      </c>
      <c r="J1625" s="17" t="s">
        <v>7530</v>
      </c>
      <c r="K1625" s="19"/>
      <c r="L1625" s="19"/>
      <c r="M1625" s="19"/>
      <c r="N1625" s="19"/>
      <c r="O1625" s="17" t="n">
        <v>1</v>
      </c>
      <c r="P1625" s="18" t="s">
        <v>8011</v>
      </c>
      <c r="Q1625" s="18" t="s">
        <v>7860</v>
      </c>
      <c r="R1625" s="18" t="s">
        <v>8013</v>
      </c>
      <c r="S1625" s="17" t="s">
        <v>8010</v>
      </c>
      <c r="T1625" s="18" t="s">
        <v>8014</v>
      </c>
      <c r="U1625" s="19"/>
      <c r="V1625" s="18" t="s">
        <v>8015</v>
      </c>
      <c r="W1625" s="17" t="s">
        <v>240</v>
      </c>
      <c r="X1625" s="17" t="s">
        <v>8016</v>
      </c>
      <c r="Y1625" s="17" t="s">
        <v>242</v>
      </c>
      <c r="Z1625" s="19"/>
      <c r="AA1625" s="19"/>
      <c r="AB1625" s="17"/>
      <c r="AC1625" s="19"/>
    </row>
    <row r="1626" customFormat="false" ht="22.35" hidden="false" customHeight="false" outlineLevel="0" collapsed="false">
      <c r="A1626" s="10" t="s">
        <v>8017</v>
      </c>
      <c r="B1626" s="17" t="s">
        <v>172</v>
      </c>
      <c r="C1626" s="18" t="s">
        <v>173</v>
      </c>
      <c r="D1626" s="17" t="s">
        <v>20</v>
      </c>
      <c r="E1626" s="17" t="s">
        <v>75</v>
      </c>
      <c r="F1626" s="17" t="s">
        <v>7502</v>
      </c>
      <c r="G1626" s="17" t="s">
        <v>1037</v>
      </c>
      <c r="H1626" s="17" t="s">
        <v>29</v>
      </c>
      <c r="I1626" s="17" t="s">
        <v>333</v>
      </c>
      <c r="J1626" s="17" t="s">
        <v>7569</v>
      </c>
      <c r="K1626" s="19"/>
      <c r="L1626" s="19"/>
      <c r="M1626" s="19"/>
      <c r="N1626" s="19"/>
      <c r="O1626" s="17" t="n">
        <v>1</v>
      </c>
      <c r="P1626" s="18" t="s">
        <v>8011</v>
      </c>
      <c r="Q1626" s="18" t="s">
        <v>7860</v>
      </c>
      <c r="R1626" s="18" t="s">
        <v>8018</v>
      </c>
      <c r="S1626" s="17" t="s">
        <v>8010</v>
      </c>
      <c r="T1626" s="18" t="s">
        <v>8019</v>
      </c>
      <c r="U1626" s="19"/>
      <c r="V1626" s="18" t="s">
        <v>8020</v>
      </c>
      <c r="W1626" s="17" t="s">
        <v>240</v>
      </c>
      <c r="X1626" s="17" t="s">
        <v>8021</v>
      </c>
      <c r="Y1626" s="17" t="s">
        <v>242</v>
      </c>
      <c r="Z1626" s="19"/>
      <c r="AA1626" s="19"/>
      <c r="AB1626" s="17"/>
      <c r="AC1626" s="19"/>
    </row>
    <row r="1627" customFormat="false" ht="32.8" hidden="false" customHeight="false" outlineLevel="0" collapsed="false">
      <c r="A1627" s="10" t="s">
        <v>8022</v>
      </c>
      <c r="B1627" s="17" t="s">
        <v>172</v>
      </c>
      <c r="C1627" s="18" t="s">
        <v>173</v>
      </c>
      <c r="D1627" s="17" t="s">
        <v>20</v>
      </c>
      <c r="E1627" s="17" t="s">
        <v>229</v>
      </c>
      <c r="F1627" s="17" t="s">
        <v>7502</v>
      </c>
      <c r="G1627" s="17" t="s">
        <v>1037</v>
      </c>
      <c r="H1627" s="17" t="s">
        <v>29</v>
      </c>
      <c r="I1627" s="17" t="s">
        <v>277</v>
      </c>
      <c r="J1627" s="17" t="s">
        <v>7580</v>
      </c>
      <c r="K1627" s="19"/>
      <c r="L1627" s="19"/>
      <c r="M1627" s="19"/>
      <c r="N1627" s="19"/>
      <c r="O1627" s="17" t="n">
        <v>1</v>
      </c>
      <c r="P1627" s="18" t="s">
        <v>8011</v>
      </c>
      <c r="Q1627" s="18" t="s">
        <v>7860</v>
      </c>
      <c r="R1627" s="18" t="s">
        <v>8023</v>
      </c>
      <c r="S1627" s="17" t="s">
        <v>8010</v>
      </c>
      <c r="T1627" s="18" t="s">
        <v>8024</v>
      </c>
      <c r="U1627" s="19"/>
      <c r="V1627" s="18" t="s">
        <v>8025</v>
      </c>
      <c r="W1627" s="17" t="s">
        <v>240</v>
      </c>
      <c r="X1627" s="17" t="s">
        <v>8026</v>
      </c>
      <c r="Y1627" s="17" t="s">
        <v>242</v>
      </c>
      <c r="Z1627" s="19"/>
      <c r="AA1627" s="19"/>
      <c r="AB1627" s="17"/>
      <c r="AC1627" s="19"/>
    </row>
    <row r="1628" customFormat="false" ht="22.35" hidden="false" customHeight="false" outlineLevel="0" collapsed="false">
      <c r="A1628" s="10" t="s">
        <v>8027</v>
      </c>
      <c r="B1628" s="17" t="s">
        <v>172</v>
      </c>
      <c r="C1628" s="18" t="s">
        <v>173</v>
      </c>
      <c r="D1628" s="17" t="s">
        <v>20</v>
      </c>
      <c r="E1628" s="17" t="s">
        <v>229</v>
      </c>
      <c r="F1628" s="17" t="s">
        <v>7502</v>
      </c>
      <c r="G1628" s="17" t="s">
        <v>1037</v>
      </c>
      <c r="H1628" s="17" t="s">
        <v>29</v>
      </c>
      <c r="I1628" s="17" t="s">
        <v>277</v>
      </c>
      <c r="J1628" s="17" t="s">
        <v>7580</v>
      </c>
      <c r="K1628" s="19"/>
      <c r="L1628" s="19"/>
      <c r="M1628" s="19"/>
      <c r="N1628" s="19"/>
      <c r="O1628" s="17" t="n">
        <v>1</v>
      </c>
      <c r="P1628" s="18" t="s">
        <v>8011</v>
      </c>
      <c r="Q1628" s="18" t="s">
        <v>7860</v>
      </c>
      <c r="R1628" s="18" t="s">
        <v>8028</v>
      </c>
      <c r="S1628" s="17" t="s">
        <v>8010</v>
      </c>
      <c r="T1628" s="18" t="s">
        <v>2695</v>
      </c>
      <c r="U1628" s="19"/>
      <c r="V1628" s="18" t="s">
        <v>8029</v>
      </c>
      <c r="W1628" s="17" t="s">
        <v>240</v>
      </c>
      <c r="X1628" s="17" t="s">
        <v>7922</v>
      </c>
      <c r="Y1628" s="17" t="s">
        <v>242</v>
      </c>
      <c r="Z1628" s="19"/>
      <c r="AA1628" s="19"/>
      <c r="AB1628" s="17"/>
      <c r="AC1628" s="19"/>
    </row>
    <row r="1629" customFormat="false" ht="22.35" hidden="false" customHeight="false" outlineLevel="0" collapsed="false">
      <c r="A1629" s="10" t="s">
        <v>8030</v>
      </c>
      <c r="B1629" s="17" t="s">
        <v>172</v>
      </c>
      <c r="C1629" s="18" t="s">
        <v>173</v>
      </c>
      <c r="D1629" s="17" t="s">
        <v>20</v>
      </c>
      <c r="E1629" s="17" t="s">
        <v>75</v>
      </c>
      <c r="F1629" s="17" t="s">
        <v>7502</v>
      </c>
      <c r="G1629" s="17" t="s">
        <v>1037</v>
      </c>
      <c r="H1629" s="17" t="s">
        <v>29</v>
      </c>
      <c r="I1629" s="17" t="s">
        <v>277</v>
      </c>
      <c r="J1629" s="17" t="s">
        <v>7503</v>
      </c>
      <c r="K1629" s="19"/>
      <c r="L1629" s="19"/>
      <c r="M1629" s="19"/>
      <c r="N1629" s="19"/>
      <c r="O1629" s="17" t="n">
        <v>1</v>
      </c>
      <c r="P1629" s="18" t="s">
        <v>8011</v>
      </c>
      <c r="Q1629" s="18" t="s">
        <v>7860</v>
      </c>
      <c r="R1629" s="18" t="s">
        <v>8031</v>
      </c>
      <c r="S1629" s="17" t="s">
        <v>8010</v>
      </c>
      <c r="T1629" s="18" t="s">
        <v>8032</v>
      </c>
      <c r="U1629" s="19"/>
      <c r="V1629" s="18" t="s">
        <v>8033</v>
      </c>
      <c r="W1629" s="17" t="s">
        <v>240</v>
      </c>
      <c r="X1629" s="17" t="s">
        <v>8034</v>
      </c>
      <c r="Y1629" s="17" t="s">
        <v>242</v>
      </c>
      <c r="Z1629" s="19"/>
      <c r="AA1629" s="19"/>
      <c r="AB1629" s="17"/>
      <c r="AC1629" s="19"/>
    </row>
    <row r="1630" customFormat="false" ht="15" hidden="false" customHeight="false" outlineLevel="0" collapsed="false">
      <c r="A1630" s="10" t="s">
        <v>8035</v>
      </c>
      <c r="B1630" s="17" t="s">
        <v>172</v>
      </c>
      <c r="C1630" s="18" t="s">
        <v>173</v>
      </c>
      <c r="D1630" s="17" t="s">
        <v>20</v>
      </c>
      <c r="E1630" s="17" t="s">
        <v>75</v>
      </c>
      <c r="F1630" s="17" t="s">
        <v>7502</v>
      </c>
      <c r="G1630" s="17" t="s">
        <v>1037</v>
      </c>
      <c r="H1630" s="17" t="s">
        <v>29</v>
      </c>
      <c r="I1630" s="17" t="s">
        <v>283</v>
      </c>
      <c r="J1630" s="17" t="s">
        <v>7503</v>
      </c>
      <c r="K1630" s="19"/>
      <c r="L1630" s="19"/>
      <c r="M1630" s="19"/>
      <c r="N1630" s="19"/>
      <c r="O1630" s="17" t="n">
        <v>1</v>
      </c>
      <c r="P1630" s="18" t="s">
        <v>8011</v>
      </c>
      <c r="Q1630" s="18" t="s">
        <v>4948</v>
      </c>
      <c r="R1630" s="18" t="s">
        <v>8036</v>
      </c>
      <c r="S1630" s="17" t="s">
        <v>8037</v>
      </c>
      <c r="T1630" s="18" t="s">
        <v>8038</v>
      </c>
      <c r="U1630" s="19"/>
      <c r="V1630" s="18" t="s">
        <v>7560</v>
      </c>
      <c r="W1630" s="17" t="s">
        <v>240</v>
      </c>
      <c r="X1630" s="17" t="s">
        <v>7887</v>
      </c>
      <c r="Y1630" s="17" t="s">
        <v>242</v>
      </c>
      <c r="Z1630" s="19"/>
      <c r="AA1630" s="19"/>
      <c r="AB1630" s="17"/>
      <c r="AC1630" s="19"/>
    </row>
    <row r="1631" customFormat="false" ht="15" hidden="false" customHeight="false" outlineLevel="0" collapsed="false">
      <c r="A1631" s="10" t="s">
        <v>8039</v>
      </c>
      <c r="B1631" s="17" t="s">
        <v>65</v>
      </c>
      <c r="C1631" s="18" t="s">
        <v>66</v>
      </c>
      <c r="D1631" s="17" t="s">
        <v>20</v>
      </c>
      <c r="E1631" s="17" t="s">
        <v>75</v>
      </c>
      <c r="F1631" s="17" t="s">
        <v>7502</v>
      </c>
      <c r="G1631" s="17" t="s">
        <v>1274</v>
      </c>
      <c r="H1631" s="17" t="s">
        <v>32</v>
      </c>
      <c r="I1631" s="17" t="s">
        <v>283</v>
      </c>
      <c r="J1631" s="17" t="s">
        <v>7503</v>
      </c>
      <c r="K1631" s="19"/>
      <c r="L1631" s="19"/>
      <c r="M1631" s="19"/>
      <c r="N1631" s="19"/>
      <c r="O1631" s="17" t="n">
        <v>1</v>
      </c>
      <c r="P1631" s="18" t="s">
        <v>8040</v>
      </c>
      <c r="Q1631" s="18" t="s">
        <v>7854</v>
      </c>
      <c r="R1631" s="18" t="s">
        <v>7855</v>
      </c>
      <c r="S1631" s="17" t="s">
        <v>7849</v>
      </c>
      <c r="T1631" s="18" t="s">
        <v>7856</v>
      </c>
      <c r="U1631" s="19"/>
      <c r="V1631" s="18" t="s">
        <v>7857</v>
      </c>
      <c r="W1631" s="17" t="s">
        <v>240</v>
      </c>
      <c r="X1631" s="17" t="s">
        <v>7858</v>
      </c>
      <c r="Y1631" s="17" t="s">
        <v>242</v>
      </c>
      <c r="Z1631" s="19"/>
      <c r="AA1631" s="19"/>
      <c r="AB1631" s="17"/>
      <c r="AC1631" s="19"/>
    </row>
    <row r="1632" customFormat="false" ht="22.35" hidden="false" customHeight="false" outlineLevel="0" collapsed="false">
      <c r="A1632" s="10" t="s">
        <v>8041</v>
      </c>
      <c r="B1632" s="17" t="s">
        <v>65</v>
      </c>
      <c r="C1632" s="18" t="s">
        <v>66</v>
      </c>
      <c r="D1632" s="17" t="s">
        <v>20</v>
      </c>
      <c r="E1632" s="17" t="s">
        <v>229</v>
      </c>
      <c r="F1632" s="17" t="s">
        <v>7502</v>
      </c>
      <c r="G1632" s="17" t="s">
        <v>1274</v>
      </c>
      <c r="H1632" s="17" t="s">
        <v>32</v>
      </c>
      <c r="I1632" s="17" t="s">
        <v>277</v>
      </c>
      <c r="J1632" s="17" t="s">
        <v>7525</v>
      </c>
      <c r="K1632" s="19"/>
      <c r="L1632" s="19"/>
      <c r="M1632" s="19"/>
      <c r="N1632" s="19"/>
      <c r="O1632" s="17" t="n">
        <v>1</v>
      </c>
      <c r="P1632" s="18" t="s">
        <v>8040</v>
      </c>
      <c r="Q1632" s="18" t="s">
        <v>7860</v>
      </c>
      <c r="R1632" s="18" t="s">
        <v>8042</v>
      </c>
      <c r="S1632" s="17" t="s">
        <v>8039</v>
      </c>
      <c r="T1632" s="18" t="s">
        <v>7050</v>
      </c>
      <c r="U1632" s="19"/>
      <c r="V1632" s="18" t="s">
        <v>8043</v>
      </c>
      <c r="W1632" s="17" t="s">
        <v>240</v>
      </c>
      <c r="X1632" s="17" t="s">
        <v>7922</v>
      </c>
      <c r="Y1632" s="17" t="s">
        <v>242</v>
      </c>
      <c r="Z1632" s="19"/>
      <c r="AA1632" s="19"/>
      <c r="AB1632" s="17"/>
      <c r="AC1632" s="19"/>
    </row>
    <row r="1633" customFormat="false" ht="22.35" hidden="false" customHeight="false" outlineLevel="0" collapsed="false">
      <c r="A1633" s="10" t="s">
        <v>8044</v>
      </c>
      <c r="B1633" s="17" t="s">
        <v>65</v>
      </c>
      <c r="C1633" s="18" t="s">
        <v>66</v>
      </c>
      <c r="D1633" s="17" t="s">
        <v>20</v>
      </c>
      <c r="E1633" s="17" t="s">
        <v>229</v>
      </c>
      <c r="F1633" s="17" t="s">
        <v>7502</v>
      </c>
      <c r="G1633" s="17" t="s">
        <v>1274</v>
      </c>
      <c r="H1633" s="17" t="s">
        <v>32</v>
      </c>
      <c r="I1633" s="17" t="s">
        <v>277</v>
      </c>
      <c r="J1633" s="17" t="s">
        <v>7503</v>
      </c>
      <c r="K1633" s="19"/>
      <c r="L1633" s="19"/>
      <c r="M1633" s="19"/>
      <c r="N1633" s="19"/>
      <c r="O1633" s="17" t="n">
        <v>1</v>
      </c>
      <c r="P1633" s="18" t="s">
        <v>8040</v>
      </c>
      <c r="Q1633" s="18" t="s">
        <v>7860</v>
      </c>
      <c r="R1633" s="18" t="s">
        <v>8045</v>
      </c>
      <c r="S1633" s="17" t="s">
        <v>8039</v>
      </c>
      <c r="T1633" s="18" t="s">
        <v>8046</v>
      </c>
      <c r="U1633" s="19"/>
      <c r="V1633" s="18" t="s">
        <v>8047</v>
      </c>
      <c r="W1633" s="17" t="s">
        <v>240</v>
      </c>
      <c r="X1633" s="17" t="s">
        <v>8026</v>
      </c>
      <c r="Y1633" s="17" t="s">
        <v>242</v>
      </c>
      <c r="Z1633" s="19"/>
      <c r="AA1633" s="19"/>
      <c r="AB1633" s="17"/>
      <c r="AC1633" s="19"/>
    </row>
    <row r="1634" customFormat="false" ht="22.35" hidden="false" customHeight="false" outlineLevel="0" collapsed="false">
      <c r="A1634" s="10" t="s">
        <v>8048</v>
      </c>
      <c r="B1634" s="17" t="s">
        <v>65</v>
      </c>
      <c r="C1634" s="18" t="s">
        <v>66</v>
      </c>
      <c r="D1634" s="17" t="s">
        <v>20</v>
      </c>
      <c r="E1634" s="17" t="s">
        <v>229</v>
      </c>
      <c r="F1634" s="17" t="s">
        <v>7502</v>
      </c>
      <c r="G1634" s="17" t="s">
        <v>1274</v>
      </c>
      <c r="H1634" s="17" t="s">
        <v>32</v>
      </c>
      <c r="I1634" s="17" t="s">
        <v>277</v>
      </c>
      <c r="J1634" s="17" t="s">
        <v>7580</v>
      </c>
      <c r="K1634" s="19"/>
      <c r="L1634" s="19"/>
      <c r="M1634" s="19"/>
      <c r="N1634" s="19"/>
      <c r="O1634" s="17" t="n">
        <v>1</v>
      </c>
      <c r="P1634" s="18" t="s">
        <v>8040</v>
      </c>
      <c r="Q1634" s="18" t="s">
        <v>7860</v>
      </c>
      <c r="R1634" s="18" t="s">
        <v>8049</v>
      </c>
      <c r="S1634" s="17" t="s">
        <v>8039</v>
      </c>
      <c r="T1634" s="18" t="s">
        <v>8050</v>
      </c>
      <c r="U1634" s="19"/>
      <c r="V1634" s="18" t="s">
        <v>8051</v>
      </c>
      <c r="W1634" s="17" t="s">
        <v>240</v>
      </c>
      <c r="X1634" s="17" t="s">
        <v>7922</v>
      </c>
      <c r="Y1634" s="17" t="s">
        <v>242</v>
      </c>
      <c r="Z1634" s="19"/>
      <c r="AA1634" s="19"/>
      <c r="AB1634" s="17"/>
      <c r="AC1634" s="19"/>
    </row>
    <row r="1635" customFormat="false" ht="22.35" hidden="false" customHeight="false" outlineLevel="0" collapsed="false">
      <c r="A1635" s="10" t="s">
        <v>8052</v>
      </c>
      <c r="B1635" s="17" t="s">
        <v>65</v>
      </c>
      <c r="C1635" s="18" t="s">
        <v>66</v>
      </c>
      <c r="D1635" s="17" t="s">
        <v>20</v>
      </c>
      <c r="E1635" s="17" t="s">
        <v>229</v>
      </c>
      <c r="F1635" s="17" t="s">
        <v>7502</v>
      </c>
      <c r="G1635" s="17" t="s">
        <v>1274</v>
      </c>
      <c r="H1635" s="17" t="s">
        <v>32</v>
      </c>
      <c r="I1635" s="17" t="s">
        <v>893</v>
      </c>
      <c r="J1635" s="17" t="s">
        <v>7569</v>
      </c>
      <c r="K1635" s="19"/>
      <c r="L1635" s="19"/>
      <c r="M1635" s="19"/>
      <c r="N1635" s="19"/>
      <c r="O1635" s="17" t="n">
        <v>1</v>
      </c>
      <c r="P1635" s="18" t="s">
        <v>8040</v>
      </c>
      <c r="Q1635" s="18" t="s">
        <v>7860</v>
      </c>
      <c r="R1635" s="18" t="s">
        <v>8053</v>
      </c>
      <c r="S1635" s="17" t="s">
        <v>8039</v>
      </c>
      <c r="T1635" s="18" t="s">
        <v>8054</v>
      </c>
      <c r="U1635" s="19"/>
      <c r="V1635" s="18" t="s">
        <v>8055</v>
      </c>
      <c r="W1635" s="17" t="s">
        <v>240</v>
      </c>
      <c r="X1635" s="17" t="s">
        <v>331</v>
      </c>
      <c r="Y1635" s="17" t="s">
        <v>242</v>
      </c>
      <c r="Z1635" s="19"/>
      <c r="AA1635" s="19"/>
      <c r="AB1635" s="17"/>
      <c r="AC1635" s="19"/>
    </row>
    <row r="1636" customFormat="false" ht="22.35" hidden="false" customHeight="false" outlineLevel="0" collapsed="false">
      <c r="A1636" s="10" t="s">
        <v>8056</v>
      </c>
      <c r="B1636" s="17" t="s">
        <v>65</v>
      </c>
      <c r="C1636" s="18" t="s">
        <v>66</v>
      </c>
      <c r="D1636" s="17" t="s">
        <v>20</v>
      </c>
      <c r="E1636" s="17" t="s">
        <v>229</v>
      </c>
      <c r="F1636" s="17" t="s">
        <v>7502</v>
      </c>
      <c r="G1636" s="17" t="s">
        <v>1274</v>
      </c>
      <c r="H1636" s="17" t="s">
        <v>32</v>
      </c>
      <c r="I1636" s="17" t="s">
        <v>277</v>
      </c>
      <c r="J1636" s="17" t="s">
        <v>7503</v>
      </c>
      <c r="K1636" s="19"/>
      <c r="L1636" s="19"/>
      <c r="M1636" s="19"/>
      <c r="N1636" s="19"/>
      <c r="O1636" s="17" t="n">
        <v>1</v>
      </c>
      <c r="P1636" s="18" t="s">
        <v>8040</v>
      </c>
      <c r="Q1636" s="18" t="s">
        <v>7860</v>
      </c>
      <c r="R1636" s="18" t="s">
        <v>8057</v>
      </c>
      <c r="S1636" s="17" t="s">
        <v>8039</v>
      </c>
      <c r="T1636" s="18" t="s">
        <v>8058</v>
      </c>
      <c r="U1636" s="19"/>
      <c r="V1636" s="18" t="s">
        <v>8059</v>
      </c>
      <c r="W1636" s="17" t="s">
        <v>240</v>
      </c>
      <c r="X1636" s="17" t="s">
        <v>8026</v>
      </c>
      <c r="Y1636" s="17" t="s">
        <v>242</v>
      </c>
      <c r="Z1636" s="19"/>
      <c r="AA1636" s="19"/>
      <c r="AB1636" s="17"/>
      <c r="AC1636" s="19"/>
    </row>
    <row r="1637" customFormat="false" ht="15" hidden="false" customHeight="false" outlineLevel="0" collapsed="false">
      <c r="A1637" s="10" t="s">
        <v>8060</v>
      </c>
      <c r="B1637" s="17" t="s">
        <v>65</v>
      </c>
      <c r="C1637" s="18" t="s">
        <v>66</v>
      </c>
      <c r="D1637" s="17" t="s">
        <v>20</v>
      </c>
      <c r="E1637" s="17" t="s">
        <v>75</v>
      </c>
      <c r="F1637" s="17" t="s">
        <v>7502</v>
      </c>
      <c r="G1637" s="17" t="s">
        <v>1274</v>
      </c>
      <c r="H1637" s="17" t="s">
        <v>32</v>
      </c>
      <c r="I1637" s="17" t="s">
        <v>283</v>
      </c>
      <c r="J1637" s="17" t="s">
        <v>7503</v>
      </c>
      <c r="K1637" s="19"/>
      <c r="L1637" s="19"/>
      <c r="M1637" s="19"/>
      <c r="N1637" s="19"/>
      <c r="O1637" s="17" t="n">
        <v>1</v>
      </c>
      <c r="P1637" s="18" t="s">
        <v>8040</v>
      </c>
      <c r="Q1637" s="18" t="s">
        <v>4948</v>
      </c>
      <c r="R1637" s="18" t="s">
        <v>8061</v>
      </c>
      <c r="S1637" s="17" t="s">
        <v>8062</v>
      </c>
      <c r="T1637" s="18" t="s">
        <v>8063</v>
      </c>
      <c r="U1637" s="19"/>
      <c r="V1637" s="18" t="s">
        <v>7560</v>
      </c>
      <c r="W1637" s="17" t="s">
        <v>240</v>
      </c>
      <c r="X1637" s="17" t="s">
        <v>7887</v>
      </c>
      <c r="Y1637" s="17" t="s">
        <v>242</v>
      </c>
      <c r="Z1637" s="19"/>
      <c r="AA1637" s="19"/>
      <c r="AB1637" s="17"/>
      <c r="AC1637" s="19"/>
    </row>
    <row r="1638" customFormat="false" ht="15" hidden="false" customHeight="false" outlineLevel="0" collapsed="false">
      <c r="A1638" s="10" t="s">
        <v>8064</v>
      </c>
      <c r="B1638" s="17" t="s">
        <v>100</v>
      </c>
      <c r="C1638" s="18" t="s">
        <v>101</v>
      </c>
      <c r="D1638" s="17" t="s">
        <v>20</v>
      </c>
      <c r="E1638" s="17" t="s">
        <v>75</v>
      </c>
      <c r="F1638" s="17" t="s">
        <v>7502</v>
      </c>
      <c r="G1638" s="17" t="s">
        <v>1507</v>
      </c>
      <c r="H1638" s="17" t="s">
        <v>33</v>
      </c>
      <c r="I1638" s="17" t="s">
        <v>283</v>
      </c>
      <c r="J1638" s="17" t="s">
        <v>7503</v>
      </c>
      <c r="K1638" s="19"/>
      <c r="L1638" s="19"/>
      <c r="M1638" s="19"/>
      <c r="N1638" s="19"/>
      <c r="O1638" s="17" t="n">
        <v>2</v>
      </c>
      <c r="P1638" s="18" t="s">
        <v>8065</v>
      </c>
      <c r="Q1638" s="18" t="s">
        <v>7854</v>
      </c>
      <c r="R1638" s="18" t="s">
        <v>7855</v>
      </c>
      <c r="S1638" s="17" t="s">
        <v>7849</v>
      </c>
      <c r="T1638" s="18" t="s">
        <v>7856</v>
      </c>
      <c r="U1638" s="19"/>
      <c r="V1638" s="18" t="s">
        <v>7857</v>
      </c>
      <c r="W1638" s="17" t="s">
        <v>240</v>
      </c>
      <c r="X1638" s="17" t="s">
        <v>7858</v>
      </c>
      <c r="Y1638" s="17" t="s">
        <v>242</v>
      </c>
      <c r="Z1638" s="19"/>
      <c r="AA1638" s="19"/>
      <c r="AB1638" s="17"/>
      <c r="AC1638" s="19"/>
    </row>
    <row r="1639" customFormat="false" ht="22.35" hidden="false" customHeight="false" outlineLevel="0" collapsed="false">
      <c r="A1639" s="10" t="s">
        <v>8066</v>
      </c>
      <c r="B1639" s="17" t="s">
        <v>100</v>
      </c>
      <c r="C1639" s="18" t="s">
        <v>101</v>
      </c>
      <c r="D1639" s="17" t="s">
        <v>20</v>
      </c>
      <c r="E1639" s="17" t="s">
        <v>75</v>
      </c>
      <c r="F1639" s="17" t="s">
        <v>7502</v>
      </c>
      <c r="G1639" s="17" t="s">
        <v>1507</v>
      </c>
      <c r="H1639" s="17" t="s">
        <v>33</v>
      </c>
      <c r="I1639" s="17" t="s">
        <v>1564</v>
      </c>
      <c r="J1639" s="17" t="s">
        <v>7503</v>
      </c>
      <c r="K1639" s="19"/>
      <c r="L1639" s="19"/>
      <c r="M1639" s="19"/>
      <c r="N1639" s="19"/>
      <c r="O1639" s="17" t="n">
        <v>2</v>
      </c>
      <c r="P1639" s="18" t="s">
        <v>8065</v>
      </c>
      <c r="Q1639" s="18" t="s">
        <v>7860</v>
      </c>
      <c r="R1639" s="18" t="s">
        <v>8067</v>
      </c>
      <c r="S1639" s="17" t="s">
        <v>8064</v>
      </c>
      <c r="T1639" s="18" t="s">
        <v>8068</v>
      </c>
      <c r="U1639" s="19"/>
      <c r="V1639" s="18" t="s">
        <v>8069</v>
      </c>
      <c r="W1639" s="17" t="s">
        <v>240</v>
      </c>
      <c r="X1639" s="17" t="s">
        <v>8070</v>
      </c>
      <c r="Y1639" s="17" t="s">
        <v>242</v>
      </c>
      <c r="Z1639" s="19"/>
      <c r="AA1639" s="19"/>
      <c r="AB1639" s="17"/>
      <c r="AC1639" s="19"/>
    </row>
    <row r="1640" customFormat="false" ht="22.35" hidden="false" customHeight="false" outlineLevel="0" collapsed="false">
      <c r="A1640" s="10" t="s">
        <v>8071</v>
      </c>
      <c r="B1640" s="17" t="s">
        <v>100</v>
      </c>
      <c r="C1640" s="18" t="s">
        <v>101</v>
      </c>
      <c r="D1640" s="17" t="s">
        <v>20</v>
      </c>
      <c r="E1640" s="17" t="s">
        <v>75</v>
      </c>
      <c r="F1640" s="17" t="s">
        <v>7502</v>
      </c>
      <c r="G1640" s="17" t="s">
        <v>1507</v>
      </c>
      <c r="H1640" s="17" t="s">
        <v>33</v>
      </c>
      <c r="I1640" s="17" t="s">
        <v>333</v>
      </c>
      <c r="J1640" s="17" t="s">
        <v>7569</v>
      </c>
      <c r="K1640" s="19"/>
      <c r="L1640" s="19"/>
      <c r="M1640" s="19"/>
      <c r="N1640" s="19"/>
      <c r="O1640" s="17" t="n">
        <v>2</v>
      </c>
      <c r="P1640" s="18" t="s">
        <v>8065</v>
      </c>
      <c r="Q1640" s="18" t="s">
        <v>7860</v>
      </c>
      <c r="R1640" s="18" t="s">
        <v>8072</v>
      </c>
      <c r="S1640" s="17" t="s">
        <v>8064</v>
      </c>
      <c r="T1640" s="18" t="s">
        <v>2940</v>
      </c>
      <c r="U1640" s="19"/>
      <c r="V1640" s="18" t="s">
        <v>8073</v>
      </c>
      <c r="W1640" s="17" t="s">
        <v>240</v>
      </c>
      <c r="X1640" s="17" t="s">
        <v>8070</v>
      </c>
      <c r="Y1640" s="17" t="s">
        <v>242</v>
      </c>
      <c r="Z1640" s="19"/>
      <c r="AA1640" s="19"/>
      <c r="AB1640" s="17"/>
      <c r="AC1640" s="19"/>
    </row>
    <row r="1641" customFormat="false" ht="22.35" hidden="false" customHeight="false" outlineLevel="0" collapsed="false">
      <c r="A1641" s="10" t="s">
        <v>8074</v>
      </c>
      <c r="B1641" s="17" t="s">
        <v>100</v>
      </c>
      <c r="C1641" s="18" t="s">
        <v>101</v>
      </c>
      <c r="D1641" s="17" t="s">
        <v>20</v>
      </c>
      <c r="E1641" s="17" t="s">
        <v>75</v>
      </c>
      <c r="F1641" s="17" t="s">
        <v>7502</v>
      </c>
      <c r="G1641" s="17" t="s">
        <v>1507</v>
      </c>
      <c r="H1641" s="17" t="s">
        <v>33</v>
      </c>
      <c r="I1641" s="17" t="s">
        <v>277</v>
      </c>
      <c r="J1641" s="17" t="s">
        <v>7763</v>
      </c>
      <c r="K1641" s="19"/>
      <c r="L1641" s="19"/>
      <c r="M1641" s="19"/>
      <c r="N1641" s="19"/>
      <c r="O1641" s="17" t="n">
        <v>2</v>
      </c>
      <c r="P1641" s="18" t="s">
        <v>8065</v>
      </c>
      <c r="Q1641" s="18" t="s">
        <v>7860</v>
      </c>
      <c r="R1641" s="18" t="s">
        <v>8075</v>
      </c>
      <c r="S1641" s="17" t="s">
        <v>8064</v>
      </c>
      <c r="T1641" s="18" t="s">
        <v>665</v>
      </c>
      <c r="U1641" s="19"/>
      <c r="V1641" s="18" t="s">
        <v>8076</v>
      </c>
      <c r="W1641" s="17" t="s">
        <v>240</v>
      </c>
      <c r="X1641" s="17" t="s">
        <v>8077</v>
      </c>
      <c r="Y1641" s="17" t="s">
        <v>242</v>
      </c>
      <c r="Z1641" s="19"/>
      <c r="AA1641" s="19"/>
      <c r="AB1641" s="17"/>
      <c r="AC1641" s="19"/>
    </row>
    <row r="1642" customFormat="false" ht="22.35" hidden="false" customHeight="false" outlineLevel="0" collapsed="false">
      <c r="A1642" s="10" t="s">
        <v>8078</v>
      </c>
      <c r="B1642" s="17" t="s">
        <v>100</v>
      </c>
      <c r="C1642" s="18" t="s">
        <v>101</v>
      </c>
      <c r="D1642" s="17" t="s">
        <v>20</v>
      </c>
      <c r="E1642" s="17" t="s">
        <v>75</v>
      </c>
      <c r="F1642" s="17" t="s">
        <v>7502</v>
      </c>
      <c r="G1642" s="17" t="s">
        <v>1507</v>
      </c>
      <c r="H1642" s="17" t="s">
        <v>33</v>
      </c>
      <c r="I1642" s="17" t="s">
        <v>277</v>
      </c>
      <c r="J1642" s="17" t="s">
        <v>7503</v>
      </c>
      <c r="K1642" s="19"/>
      <c r="L1642" s="19"/>
      <c r="M1642" s="19"/>
      <c r="N1642" s="19"/>
      <c r="O1642" s="17" t="n">
        <v>2</v>
      </c>
      <c r="P1642" s="18" t="s">
        <v>8065</v>
      </c>
      <c r="Q1642" s="18" t="s">
        <v>7860</v>
      </c>
      <c r="R1642" s="18" t="s">
        <v>8079</v>
      </c>
      <c r="S1642" s="17" t="s">
        <v>8064</v>
      </c>
      <c r="T1642" s="18" t="s">
        <v>8080</v>
      </c>
      <c r="U1642" s="19"/>
      <c r="V1642" s="18" t="s">
        <v>8081</v>
      </c>
      <c r="W1642" s="17" t="s">
        <v>240</v>
      </c>
      <c r="X1642" s="17" t="s">
        <v>8082</v>
      </c>
      <c r="Y1642" s="17" t="s">
        <v>242</v>
      </c>
      <c r="Z1642" s="19"/>
      <c r="AA1642" s="19"/>
      <c r="AB1642" s="17"/>
      <c r="AC1642" s="19"/>
    </row>
    <row r="1643" customFormat="false" ht="22.35" hidden="false" customHeight="false" outlineLevel="0" collapsed="false">
      <c r="A1643" s="10" t="s">
        <v>8083</v>
      </c>
      <c r="B1643" s="17" t="s">
        <v>100</v>
      </c>
      <c r="C1643" s="18" t="s">
        <v>101</v>
      </c>
      <c r="D1643" s="17" t="s">
        <v>20</v>
      </c>
      <c r="E1643" s="17" t="s">
        <v>75</v>
      </c>
      <c r="F1643" s="17" t="s">
        <v>7502</v>
      </c>
      <c r="G1643" s="17" t="s">
        <v>1507</v>
      </c>
      <c r="H1643" s="17" t="s">
        <v>33</v>
      </c>
      <c r="I1643" s="17" t="s">
        <v>1346</v>
      </c>
      <c r="J1643" s="17" t="s">
        <v>7503</v>
      </c>
      <c r="K1643" s="19"/>
      <c r="L1643" s="19"/>
      <c r="M1643" s="19"/>
      <c r="N1643" s="19"/>
      <c r="O1643" s="17" t="n">
        <v>2</v>
      </c>
      <c r="P1643" s="18" t="s">
        <v>8065</v>
      </c>
      <c r="Q1643" s="18" t="s">
        <v>7860</v>
      </c>
      <c r="R1643" s="18" t="s">
        <v>8084</v>
      </c>
      <c r="S1643" s="17" t="s">
        <v>8064</v>
      </c>
      <c r="T1643" s="18" t="s">
        <v>8085</v>
      </c>
      <c r="U1643" s="19"/>
      <c r="V1643" s="18" t="s">
        <v>8086</v>
      </c>
      <c r="W1643" s="17" t="s">
        <v>240</v>
      </c>
      <c r="X1643" s="17" t="s">
        <v>7676</v>
      </c>
      <c r="Y1643" s="17" t="s">
        <v>242</v>
      </c>
      <c r="Z1643" s="19"/>
      <c r="AA1643" s="19"/>
      <c r="AB1643" s="17"/>
      <c r="AC1643" s="19"/>
    </row>
    <row r="1644" customFormat="false" ht="15" hidden="false" customHeight="false" outlineLevel="0" collapsed="false">
      <c r="A1644" s="10" t="s">
        <v>8087</v>
      </c>
      <c r="B1644" s="17" t="s">
        <v>100</v>
      </c>
      <c r="C1644" s="18" t="s">
        <v>101</v>
      </c>
      <c r="D1644" s="17" t="s">
        <v>20</v>
      </c>
      <c r="E1644" s="17" t="s">
        <v>75</v>
      </c>
      <c r="F1644" s="17" t="s">
        <v>7502</v>
      </c>
      <c r="G1644" s="17" t="s">
        <v>1507</v>
      </c>
      <c r="H1644" s="17" t="s">
        <v>33</v>
      </c>
      <c r="I1644" s="17" t="s">
        <v>283</v>
      </c>
      <c r="J1644" s="17" t="s">
        <v>7503</v>
      </c>
      <c r="K1644" s="19"/>
      <c r="L1644" s="19"/>
      <c r="M1644" s="19"/>
      <c r="N1644" s="19"/>
      <c r="O1644" s="17" t="n">
        <v>2</v>
      </c>
      <c r="P1644" s="18" t="s">
        <v>8065</v>
      </c>
      <c r="Q1644" s="18" t="s">
        <v>4948</v>
      </c>
      <c r="R1644" s="18" t="s">
        <v>8088</v>
      </c>
      <c r="S1644" s="17" t="s">
        <v>8089</v>
      </c>
      <c r="T1644" s="18" t="s">
        <v>8090</v>
      </c>
      <c r="U1644" s="19"/>
      <c r="V1644" s="18" t="s">
        <v>7560</v>
      </c>
      <c r="W1644" s="17" t="s">
        <v>240</v>
      </c>
      <c r="X1644" s="17" t="s">
        <v>7887</v>
      </c>
      <c r="Y1644" s="17" t="s">
        <v>242</v>
      </c>
      <c r="Z1644" s="19"/>
      <c r="AA1644" s="19"/>
      <c r="AB1644" s="17"/>
      <c r="AC1644" s="19"/>
    </row>
    <row r="1645" customFormat="false" ht="15" hidden="false" customHeight="false" outlineLevel="0" collapsed="false">
      <c r="A1645" s="10" t="s">
        <v>8091</v>
      </c>
      <c r="B1645" s="17" t="s">
        <v>121</v>
      </c>
      <c r="C1645" s="18" t="s">
        <v>122</v>
      </c>
      <c r="D1645" s="17" t="s">
        <v>20</v>
      </c>
      <c r="E1645" s="17" t="s">
        <v>75</v>
      </c>
      <c r="F1645" s="17" t="s">
        <v>7502</v>
      </c>
      <c r="G1645" s="17" t="s">
        <v>1673</v>
      </c>
      <c r="H1645" s="17" t="s">
        <v>30</v>
      </c>
      <c r="I1645" s="17" t="s">
        <v>283</v>
      </c>
      <c r="J1645" s="17" t="s">
        <v>7503</v>
      </c>
      <c r="K1645" s="19"/>
      <c r="L1645" s="19"/>
      <c r="M1645" s="19"/>
      <c r="N1645" s="19"/>
      <c r="O1645" s="17" t="n">
        <v>2</v>
      </c>
      <c r="P1645" s="18" t="s">
        <v>8092</v>
      </c>
      <c r="Q1645" s="18" t="s">
        <v>7854</v>
      </c>
      <c r="R1645" s="18" t="s">
        <v>7855</v>
      </c>
      <c r="S1645" s="17" t="s">
        <v>7849</v>
      </c>
      <c r="T1645" s="18" t="s">
        <v>7856</v>
      </c>
      <c r="U1645" s="19"/>
      <c r="V1645" s="18" t="s">
        <v>7857</v>
      </c>
      <c r="W1645" s="17" t="s">
        <v>240</v>
      </c>
      <c r="X1645" s="17" t="s">
        <v>7858</v>
      </c>
      <c r="Y1645" s="17" t="s">
        <v>242</v>
      </c>
      <c r="Z1645" s="19"/>
      <c r="AA1645" s="19"/>
      <c r="AB1645" s="17"/>
      <c r="AC1645" s="19"/>
    </row>
    <row r="1646" customFormat="false" ht="22.35" hidden="false" customHeight="false" outlineLevel="0" collapsed="false">
      <c r="A1646" s="10" t="s">
        <v>8093</v>
      </c>
      <c r="B1646" s="17" t="s">
        <v>121</v>
      </c>
      <c r="C1646" s="18" t="s">
        <v>122</v>
      </c>
      <c r="D1646" s="17" t="s">
        <v>20</v>
      </c>
      <c r="E1646" s="17" t="s">
        <v>75</v>
      </c>
      <c r="F1646" s="17" t="s">
        <v>7502</v>
      </c>
      <c r="G1646" s="17" t="s">
        <v>1673</v>
      </c>
      <c r="H1646" s="17" t="s">
        <v>30</v>
      </c>
      <c r="I1646" s="17" t="s">
        <v>333</v>
      </c>
      <c r="J1646" s="17" t="s">
        <v>7569</v>
      </c>
      <c r="K1646" s="19"/>
      <c r="L1646" s="19"/>
      <c r="M1646" s="19"/>
      <c r="N1646" s="19"/>
      <c r="O1646" s="17" t="n">
        <v>2</v>
      </c>
      <c r="P1646" s="18" t="s">
        <v>8092</v>
      </c>
      <c r="Q1646" s="18" t="s">
        <v>7860</v>
      </c>
      <c r="R1646" s="18" t="s">
        <v>8094</v>
      </c>
      <c r="S1646" s="17" t="s">
        <v>8091</v>
      </c>
      <c r="T1646" s="18" t="s">
        <v>8095</v>
      </c>
      <c r="U1646" s="19"/>
      <c r="V1646" s="18" t="s">
        <v>8096</v>
      </c>
      <c r="W1646" s="17" t="s">
        <v>240</v>
      </c>
      <c r="X1646" s="17" t="s">
        <v>8097</v>
      </c>
      <c r="Y1646" s="17" t="s">
        <v>242</v>
      </c>
      <c r="Z1646" s="19"/>
      <c r="AA1646" s="19"/>
      <c r="AB1646" s="17"/>
      <c r="AC1646" s="19"/>
    </row>
    <row r="1647" customFormat="false" ht="22.35" hidden="false" customHeight="false" outlineLevel="0" collapsed="false">
      <c r="A1647" s="10" t="s">
        <v>8098</v>
      </c>
      <c r="B1647" s="17" t="s">
        <v>121</v>
      </c>
      <c r="C1647" s="18" t="s">
        <v>122</v>
      </c>
      <c r="D1647" s="17" t="s">
        <v>20</v>
      </c>
      <c r="E1647" s="17" t="s">
        <v>75</v>
      </c>
      <c r="F1647" s="17" t="s">
        <v>7502</v>
      </c>
      <c r="G1647" s="17" t="s">
        <v>1673</v>
      </c>
      <c r="H1647" s="17" t="s">
        <v>30</v>
      </c>
      <c r="I1647" s="17" t="s">
        <v>277</v>
      </c>
      <c r="J1647" s="17" t="s">
        <v>7525</v>
      </c>
      <c r="K1647" s="19"/>
      <c r="L1647" s="19"/>
      <c r="M1647" s="19"/>
      <c r="N1647" s="19"/>
      <c r="O1647" s="17" t="n">
        <v>2</v>
      </c>
      <c r="P1647" s="18" t="s">
        <v>8092</v>
      </c>
      <c r="Q1647" s="18" t="s">
        <v>7860</v>
      </c>
      <c r="R1647" s="18" t="s">
        <v>8099</v>
      </c>
      <c r="S1647" s="17" t="s">
        <v>8091</v>
      </c>
      <c r="T1647" s="18" t="s">
        <v>8100</v>
      </c>
      <c r="U1647" s="19"/>
      <c r="V1647" s="18" t="s">
        <v>8101</v>
      </c>
      <c r="W1647" s="17" t="s">
        <v>240</v>
      </c>
      <c r="X1647" s="17" t="s">
        <v>8097</v>
      </c>
      <c r="Y1647" s="17" t="s">
        <v>242</v>
      </c>
      <c r="Z1647" s="19"/>
      <c r="AA1647" s="19"/>
      <c r="AB1647" s="17"/>
      <c r="AC1647" s="19"/>
    </row>
    <row r="1648" customFormat="false" ht="22.35" hidden="false" customHeight="false" outlineLevel="0" collapsed="false">
      <c r="A1648" s="10" t="s">
        <v>8102</v>
      </c>
      <c r="B1648" s="17" t="s">
        <v>121</v>
      </c>
      <c r="C1648" s="18" t="s">
        <v>122</v>
      </c>
      <c r="D1648" s="17" t="s">
        <v>20</v>
      </c>
      <c r="E1648" s="17" t="s">
        <v>75</v>
      </c>
      <c r="F1648" s="17" t="s">
        <v>7502</v>
      </c>
      <c r="G1648" s="17" t="s">
        <v>1673</v>
      </c>
      <c r="H1648" s="17" t="s">
        <v>30</v>
      </c>
      <c r="I1648" s="17" t="s">
        <v>974</v>
      </c>
      <c r="J1648" s="17" t="s">
        <v>7503</v>
      </c>
      <c r="K1648" s="19"/>
      <c r="L1648" s="19"/>
      <c r="M1648" s="19"/>
      <c r="N1648" s="19"/>
      <c r="O1648" s="17" t="n">
        <v>2</v>
      </c>
      <c r="P1648" s="18" t="s">
        <v>8092</v>
      </c>
      <c r="Q1648" s="18" t="s">
        <v>7860</v>
      </c>
      <c r="R1648" s="18" t="s">
        <v>8103</v>
      </c>
      <c r="S1648" s="17" t="s">
        <v>8091</v>
      </c>
      <c r="T1648" s="18" t="s">
        <v>8104</v>
      </c>
      <c r="U1648" s="19"/>
      <c r="V1648" s="18" t="s">
        <v>8105</v>
      </c>
      <c r="W1648" s="17" t="s">
        <v>240</v>
      </c>
      <c r="X1648" s="17" t="s">
        <v>8106</v>
      </c>
      <c r="Y1648" s="17" t="s">
        <v>242</v>
      </c>
      <c r="Z1648" s="19"/>
      <c r="AA1648" s="19"/>
      <c r="AB1648" s="17"/>
      <c r="AC1648" s="19"/>
    </row>
    <row r="1649" customFormat="false" ht="22.35" hidden="false" customHeight="false" outlineLevel="0" collapsed="false">
      <c r="A1649" s="10" t="s">
        <v>8107</v>
      </c>
      <c r="B1649" s="17" t="s">
        <v>121</v>
      </c>
      <c r="C1649" s="18" t="s">
        <v>122</v>
      </c>
      <c r="D1649" s="17" t="s">
        <v>20</v>
      </c>
      <c r="E1649" s="17" t="s">
        <v>229</v>
      </c>
      <c r="F1649" s="17" t="s">
        <v>7502</v>
      </c>
      <c r="G1649" s="17" t="s">
        <v>1673</v>
      </c>
      <c r="H1649" s="17" t="s">
        <v>30</v>
      </c>
      <c r="I1649" s="17" t="s">
        <v>277</v>
      </c>
      <c r="J1649" s="17" t="s">
        <v>7503</v>
      </c>
      <c r="K1649" s="19"/>
      <c r="L1649" s="19"/>
      <c r="M1649" s="19"/>
      <c r="N1649" s="19"/>
      <c r="O1649" s="17" t="n">
        <v>2</v>
      </c>
      <c r="P1649" s="18" t="s">
        <v>8092</v>
      </c>
      <c r="Q1649" s="18" t="s">
        <v>7860</v>
      </c>
      <c r="R1649" s="18" t="s">
        <v>8108</v>
      </c>
      <c r="S1649" s="17" t="s">
        <v>8091</v>
      </c>
      <c r="T1649" s="18" t="s">
        <v>8109</v>
      </c>
      <c r="U1649" s="19"/>
      <c r="V1649" s="18" t="s">
        <v>8110</v>
      </c>
      <c r="W1649" s="17" t="s">
        <v>240</v>
      </c>
      <c r="X1649" s="17" t="s">
        <v>8026</v>
      </c>
      <c r="Y1649" s="17" t="s">
        <v>242</v>
      </c>
      <c r="Z1649" s="19"/>
      <c r="AA1649" s="19"/>
      <c r="AB1649" s="17"/>
      <c r="AC1649" s="19"/>
    </row>
    <row r="1650" customFormat="false" ht="15" hidden="false" customHeight="false" outlineLevel="0" collapsed="false">
      <c r="A1650" s="10" t="s">
        <v>8111</v>
      </c>
      <c r="B1650" s="17" t="s">
        <v>121</v>
      </c>
      <c r="C1650" s="18" t="s">
        <v>122</v>
      </c>
      <c r="D1650" s="17" t="s">
        <v>20</v>
      </c>
      <c r="E1650" s="17" t="s">
        <v>75</v>
      </c>
      <c r="F1650" s="17" t="s">
        <v>7502</v>
      </c>
      <c r="G1650" s="17" t="s">
        <v>1673</v>
      </c>
      <c r="H1650" s="17" t="s">
        <v>30</v>
      </c>
      <c r="I1650" s="17" t="s">
        <v>283</v>
      </c>
      <c r="J1650" s="17" t="s">
        <v>7503</v>
      </c>
      <c r="K1650" s="19"/>
      <c r="L1650" s="19"/>
      <c r="M1650" s="19"/>
      <c r="N1650" s="19"/>
      <c r="O1650" s="17" t="n">
        <v>2</v>
      </c>
      <c r="P1650" s="18" t="s">
        <v>8092</v>
      </c>
      <c r="Q1650" s="18" t="s">
        <v>4948</v>
      </c>
      <c r="R1650" s="18" t="s">
        <v>8112</v>
      </c>
      <c r="S1650" s="17" t="s">
        <v>8113</v>
      </c>
      <c r="T1650" s="18" t="s">
        <v>8114</v>
      </c>
      <c r="U1650" s="19"/>
      <c r="V1650" s="18" t="s">
        <v>7560</v>
      </c>
      <c r="W1650" s="17" t="s">
        <v>240</v>
      </c>
      <c r="X1650" s="17" t="s">
        <v>7887</v>
      </c>
      <c r="Y1650" s="17" t="s">
        <v>242</v>
      </c>
      <c r="Z1650" s="19"/>
      <c r="AA1650" s="19"/>
      <c r="AB1650" s="17"/>
      <c r="AC1650" s="19"/>
    </row>
    <row r="1651" customFormat="false" ht="15" hidden="false" customHeight="false" outlineLevel="0" collapsed="false">
      <c r="A1651" s="10" t="s">
        <v>8115</v>
      </c>
      <c r="B1651" s="17" t="s">
        <v>106</v>
      </c>
      <c r="C1651" s="18" t="s">
        <v>107</v>
      </c>
      <c r="D1651" s="17" t="s">
        <v>20</v>
      </c>
      <c r="E1651" s="17" t="s">
        <v>75</v>
      </c>
      <c r="F1651" s="17" t="s">
        <v>7502</v>
      </c>
      <c r="G1651" s="17" t="s">
        <v>1752</v>
      </c>
      <c r="H1651" s="17" t="s">
        <v>29</v>
      </c>
      <c r="I1651" s="17" t="s">
        <v>283</v>
      </c>
      <c r="J1651" s="17" t="s">
        <v>7503</v>
      </c>
      <c r="K1651" s="19"/>
      <c r="L1651" s="19"/>
      <c r="M1651" s="19"/>
      <c r="N1651" s="19"/>
      <c r="O1651" s="17" t="n">
        <v>3</v>
      </c>
      <c r="P1651" s="18" t="s">
        <v>8116</v>
      </c>
      <c r="Q1651" s="18" t="s">
        <v>7854</v>
      </c>
      <c r="R1651" s="18" t="s">
        <v>7855</v>
      </c>
      <c r="S1651" s="17" t="s">
        <v>7849</v>
      </c>
      <c r="T1651" s="18" t="s">
        <v>7856</v>
      </c>
      <c r="U1651" s="19"/>
      <c r="V1651" s="18" t="s">
        <v>7857</v>
      </c>
      <c r="W1651" s="17" t="s">
        <v>240</v>
      </c>
      <c r="X1651" s="17" t="s">
        <v>7858</v>
      </c>
      <c r="Y1651" s="17" t="s">
        <v>242</v>
      </c>
      <c r="Z1651" s="19"/>
      <c r="AA1651" s="19"/>
      <c r="AB1651" s="17"/>
      <c r="AC1651" s="19"/>
    </row>
    <row r="1652" customFormat="false" ht="32.8" hidden="false" customHeight="false" outlineLevel="0" collapsed="false">
      <c r="A1652" s="10" t="s">
        <v>8117</v>
      </c>
      <c r="B1652" s="17" t="s">
        <v>106</v>
      </c>
      <c r="C1652" s="18" t="s">
        <v>107</v>
      </c>
      <c r="D1652" s="17" t="s">
        <v>20</v>
      </c>
      <c r="E1652" s="17" t="s">
        <v>229</v>
      </c>
      <c r="F1652" s="17" t="s">
        <v>7502</v>
      </c>
      <c r="G1652" s="17" t="s">
        <v>1752</v>
      </c>
      <c r="H1652" s="17" t="s">
        <v>29</v>
      </c>
      <c r="I1652" s="17" t="s">
        <v>277</v>
      </c>
      <c r="J1652" s="17" t="s">
        <v>7503</v>
      </c>
      <c r="K1652" s="19"/>
      <c r="L1652" s="19"/>
      <c r="M1652" s="19"/>
      <c r="N1652" s="19"/>
      <c r="O1652" s="17" t="n">
        <v>3</v>
      </c>
      <c r="P1652" s="18" t="s">
        <v>8116</v>
      </c>
      <c r="Q1652" s="18" t="s">
        <v>7860</v>
      </c>
      <c r="R1652" s="18" t="s">
        <v>8118</v>
      </c>
      <c r="S1652" s="17" t="s">
        <v>8115</v>
      </c>
      <c r="T1652" s="18" t="s">
        <v>1853</v>
      </c>
      <c r="U1652" s="19"/>
      <c r="V1652" s="18" t="s">
        <v>8119</v>
      </c>
      <c r="W1652" s="17" t="s">
        <v>240</v>
      </c>
      <c r="X1652" s="17" t="s">
        <v>2128</v>
      </c>
      <c r="Y1652" s="17" t="s">
        <v>242</v>
      </c>
      <c r="Z1652" s="19"/>
      <c r="AA1652" s="19"/>
      <c r="AB1652" s="17"/>
      <c r="AC1652" s="19"/>
    </row>
    <row r="1653" customFormat="false" ht="22.35" hidden="false" customHeight="false" outlineLevel="0" collapsed="false">
      <c r="A1653" s="10" t="s">
        <v>8120</v>
      </c>
      <c r="B1653" s="17" t="s">
        <v>106</v>
      </c>
      <c r="C1653" s="18" t="s">
        <v>107</v>
      </c>
      <c r="D1653" s="17" t="s">
        <v>20</v>
      </c>
      <c r="E1653" s="17" t="s">
        <v>229</v>
      </c>
      <c r="F1653" s="17" t="s">
        <v>7502</v>
      </c>
      <c r="G1653" s="17" t="s">
        <v>1752</v>
      </c>
      <c r="H1653" s="17" t="s">
        <v>29</v>
      </c>
      <c r="I1653" s="17" t="s">
        <v>277</v>
      </c>
      <c r="J1653" s="17" t="s">
        <v>7530</v>
      </c>
      <c r="K1653" s="19"/>
      <c r="L1653" s="19"/>
      <c r="M1653" s="19"/>
      <c r="N1653" s="19"/>
      <c r="O1653" s="17" t="n">
        <v>3</v>
      </c>
      <c r="P1653" s="18" t="s">
        <v>8116</v>
      </c>
      <c r="Q1653" s="18" t="s">
        <v>7860</v>
      </c>
      <c r="R1653" s="18" t="s">
        <v>8121</v>
      </c>
      <c r="S1653" s="17" t="s">
        <v>8115</v>
      </c>
      <c r="T1653" s="18" t="s">
        <v>8122</v>
      </c>
      <c r="U1653" s="19"/>
      <c r="V1653" s="18" t="s">
        <v>8123</v>
      </c>
      <c r="W1653" s="17" t="s">
        <v>240</v>
      </c>
      <c r="X1653" s="17" t="s">
        <v>2128</v>
      </c>
      <c r="Y1653" s="17" t="s">
        <v>242</v>
      </c>
      <c r="Z1653" s="19"/>
      <c r="AA1653" s="19"/>
      <c r="AB1653" s="17"/>
      <c r="AC1653" s="19"/>
    </row>
    <row r="1654" customFormat="false" ht="22.35" hidden="false" customHeight="false" outlineLevel="0" collapsed="false">
      <c r="A1654" s="10" t="s">
        <v>8124</v>
      </c>
      <c r="B1654" s="17" t="s">
        <v>106</v>
      </c>
      <c r="C1654" s="18" t="s">
        <v>107</v>
      </c>
      <c r="D1654" s="17" t="s">
        <v>20</v>
      </c>
      <c r="E1654" s="17" t="s">
        <v>229</v>
      </c>
      <c r="F1654" s="17" t="s">
        <v>7502</v>
      </c>
      <c r="G1654" s="17" t="s">
        <v>1752</v>
      </c>
      <c r="H1654" s="17" t="s">
        <v>29</v>
      </c>
      <c r="I1654" s="17" t="s">
        <v>277</v>
      </c>
      <c r="J1654" s="17" t="s">
        <v>7503</v>
      </c>
      <c r="K1654" s="19"/>
      <c r="L1654" s="19"/>
      <c r="M1654" s="19"/>
      <c r="N1654" s="19"/>
      <c r="O1654" s="17" t="n">
        <v>3</v>
      </c>
      <c r="P1654" s="18" t="s">
        <v>8116</v>
      </c>
      <c r="Q1654" s="18" t="s">
        <v>7860</v>
      </c>
      <c r="R1654" s="18" t="s">
        <v>8125</v>
      </c>
      <c r="S1654" s="17" t="s">
        <v>8115</v>
      </c>
      <c r="T1654" s="18" t="s">
        <v>8126</v>
      </c>
      <c r="U1654" s="19"/>
      <c r="V1654" s="18" t="s">
        <v>8127</v>
      </c>
      <c r="W1654" s="17" t="s">
        <v>240</v>
      </c>
      <c r="X1654" s="17" t="s">
        <v>2128</v>
      </c>
      <c r="Y1654" s="17" t="s">
        <v>242</v>
      </c>
      <c r="Z1654" s="19"/>
      <c r="AA1654" s="19"/>
      <c r="AB1654" s="17"/>
      <c r="AC1654" s="19"/>
    </row>
    <row r="1655" customFormat="false" ht="22.35" hidden="false" customHeight="false" outlineLevel="0" collapsed="false">
      <c r="A1655" s="10" t="s">
        <v>8128</v>
      </c>
      <c r="B1655" s="17" t="s">
        <v>106</v>
      </c>
      <c r="C1655" s="18" t="s">
        <v>107</v>
      </c>
      <c r="D1655" s="17" t="s">
        <v>20</v>
      </c>
      <c r="E1655" s="17" t="s">
        <v>75</v>
      </c>
      <c r="F1655" s="17" t="s">
        <v>7502</v>
      </c>
      <c r="G1655" s="17" t="s">
        <v>1752</v>
      </c>
      <c r="H1655" s="17" t="s">
        <v>29</v>
      </c>
      <c r="I1655" s="17" t="s">
        <v>1413</v>
      </c>
      <c r="J1655" s="17" t="s">
        <v>7763</v>
      </c>
      <c r="K1655" s="19"/>
      <c r="L1655" s="19"/>
      <c r="M1655" s="19"/>
      <c r="N1655" s="19"/>
      <c r="O1655" s="17" t="n">
        <v>3</v>
      </c>
      <c r="P1655" s="18" t="s">
        <v>8116</v>
      </c>
      <c r="Q1655" s="18" t="s">
        <v>7860</v>
      </c>
      <c r="R1655" s="18" t="s">
        <v>8129</v>
      </c>
      <c r="S1655" s="17" t="s">
        <v>8115</v>
      </c>
      <c r="T1655" s="18" t="s">
        <v>8130</v>
      </c>
      <c r="U1655" s="19"/>
      <c r="V1655" s="18" t="s">
        <v>8131</v>
      </c>
      <c r="W1655" s="17" t="s">
        <v>240</v>
      </c>
      <c r="X1655" s="17" t="s">
        <v>8132</v>
      </c>
      <c r="Y1655" s="17" t="s">
        <v>242</v>
      </c>
      <c r="Z1655" s="19"/>
      <c r="AA1655" s="19"/>
      <c r="AB1655" s="17"/>
      <c r="AC1655" s="19"/>
    </row>
    <row r="1656" customFormat="false" ht="22.35" hidden="false" customHeight="false" outlineLevel="0" collapsed="false">
      <c r="A1656" s="10" t="s">
        <v>8133</v>
      </c>
      <c r="B1656" s="17" t="s">
        <v>106</v>
      </c>
      <c r="C1656" s="18" t="s">
        <v>107</v>
      </c>
      <c r="D1656" s="17" t="s">
        <v>20</v>
      </c>
      <c r="E1656" s="17" t="s">
        <v>75</v>
      </c>
      <c r="F1656" s="17" t="s">
        <v>7502</v>
      </c>
      <c r="G1656" s="17" t="s">
        <v>1752</v>
      </c>
      <c r="H1656" s="17" t="s">
        <v>29</v>
      </c>
      <c r="I1656" s="17" t="s">
        <v>277</v>
      </c>
      <c r="J1656" s="17" t="s">
        <v>7503</v>
      </c>
      <c r="K1656" s="19"/>
      <c r="L1656" s="19"/>
      <c r="M1656" s="19"/>
      <c r="N1656" s="19"/>
      <c r="O1656" s="17" t="n">
        <v>3</v>
      </c>
      <c r="P1656" s="18" t="s">
        <v>8116</v>
      </c>
      <c r="Q1656" s="18" t="s">
        <v>7860</v>
      </c>
      <c r="R1656" s="18" t="s">
        <v>8134</v>
      </c>
      <c r="S1656" s="17" t="s">
        <v>8115</v>
      </c>
      <c r="T1656" s="18" t="s">
        <v>8135</v>
      </c>
      <c r="U1656" s="19"/>
      <c r="V1656" s="18" t="s">
        <v>8136</v>
      </c>
      <c r="W1656" s="17" t="s">
        <v>240</v>
      </c>
      <c r="X1656" s="17" t="s">
        <v>8132</v>
      </c>
      <c r="Y1656" s="17" t="s">
        <v>242</v>
      </c>
      <c r="Z1656" s="19"/>
      <c r="AA1656" s="19"/>
      <c r="AB1656" s="17"/>
      <c r="AC1656" s="19"/>
    </row>
    <row r="1657" customFormat="false" ht="15" hidden="false" customHeight="false" outlineLevel="0" collapsed="false">
      <c r="A1657" s="10" t="s">
        <v>8137</v>
      </c>
      <c r="B1657" s="17" t="s">
        <v>106</v>
      </c>
      <c r="C1657" s="18" t="s">
        <v>107</v>
      </c>
      <c r="D1657" s="17" t="s">
        <v>20</v>
      </c>
      <c r="E1657" s="17" t="s">
        <v>75</v>
      </c>
      <c r="F1657" s="17" t="s">
        <v>7502</v>
      </c>
      <c r="G1657" s="17" t="s">
        <v>1752</v>
      </c>
      <c r="H1657" s="17" t="s">
        <v>29</v>
      </c>
      <c r="I1657" s="17" t="s">
        <v>283</v>
      </c>
      <c r="J1657" s="17" t="s">
        <v>7503</v>
      </c>
      <c r="K1657" s="19"/>
      <c r="L1657" s="19"/>
      <c r="M1657" s="19"/>
      <c r="N1657" s="19"/>
      <c r="O1657" s="17" t="n">
        <v>3</v>
      </c>
      <c r="P1657" s="18" t="s">
        <v>8116</v>
      </c>
      <c r="Q1657" s="18" t="s">
        <v>4948</v>
      </c>
      <c r="R1657" s="18" t="s">
        <v>8138</v>
      </c>
      <c r="S1657" s="17" t="s">
        <v>8139</v>
      </c>
      <c r="T1657" s="18" t="s">
        <v>8140</v>
      </c>
      <c r="U1657" s="19"/>
      <c r="V1657" s="18" t="s">
        <v>7560</v>
      </c>
      <c r="W1657" s="17" t="s">
        <v>240</v>
      </c>
      <c r="X1657" s="17" t="s">
        <v>7887</v>
      </c>
      <c r="Y1657" s="17" t="s">
        <v>242</v>
      </c>
      <c r="Z1657" s="19"/>
      <c r="AA1657" s="19"/>
      <c r="AB1657" s="17"/>
      <c r="AC1657" s="19"/>
    </row>
    <row r="1658" customFormat="false" ht="15" hidden="false" customHeight="false" outlineLevel="0" collapsed="false">
      <c r="A1658" s="10" t="s">
        <v>8141</v>
      </c>
      <c r="B1658" s="17" t="s">
        <v>109</v>
      </c>
      <c r="C1658" s="18" t="s">
        <v>110</v>
      </c>
      <c r="D1658" s="17" t="s">
        <v>20</v>
      </c>
      <c r="E1658" s="17" t="s">
        <v>75</v>
      </c>
      <c r="F1658" s="17" t="s">
        <v>7502</v>
      </c>
      <c r="G1658" s="17" t="s">
        <v>1918</v>
      </c>
      <c r="H1658" s="17" t="s">
        <v>29</v>
      </c>
      <c r="I1658" s="17" t="s">
        <v>283</v>
      </c>
      <c r="J1658" s="17" t="s">
        <v>7575</v>
      </c>
      <c r="K1658" s="19"/>
      <c r="L1658" s="19"/>
      <c r="M1658" s="19"/>
      <c r="N1658" s="19"/>
      <c r="O1658" s="17" t="n">
        <v>2</v>
      </c>
      <c r="P1658" s="18" t="s">
        <v>8142</v>
      </c>
      <c r="Q1658" s="18" t="s">
        <v>7854</v>
      </c>
      <c r="R1658" s="18" t="s">
        <v>7855</v>
      </c>
      <c r="S1658" s="17" t="s">
        <v>7849</v>
      </c>
      <c r="T1658" s="18" t="s">
        <v>7856</v>
      </c>
      <c r="U1658" s="19"/>
      <c r="V1658" s="18" t="s">
        <v>7857</v>
      </c>
      <c r="W1658" s="17" t="s">
        <v>240</v>
      </c>
      <c r="X1658" s="17" t="s">
        <v>7858</v>
      </c>
      <c r="Y1658" s="17" t="s">
        <v>242</v>
      </c>
      <c r="Z1658" s="19"/>
      <c r="AA1658" s="19"/>
      <c r="AB1658" s="17"/>
      <c r="AC1658" s="19"/>
    </row>
    <row r="1659" customFormat="false" ht="32.8" hidden="false" customHeight="false" outlineLevel="0" collapsed="false">
      <c r="A1659" s="10" t="s">
        <v>8143</v>
      </c>
      <c r="B1659" s="17" t="s">
        <v>109</v>
      </c>
      <c r="C1659" s="18" t="s">
        <v>110</v>
      </c>
      <c r="D1659" s="17" t="s">
        <v>20</v>
      </c>
      <c r="E1659" s="17" t="s">
        <v>229</v>
      </c>
      <c r="F1659" s="17" t="s">
        <v>7502</v>
      </c>
      <c r="G1659" s="17" t="s">
        <v>1918</v>
      </c>
      <c r="H1659" s="17" t="s">
        <v>29</v>
      </c>
      <c r="I1659" s="17" t="s">
        <v>277</v>
      </c>
      <c r="J1659" s="17" t="s">
        <v>7763</v>
      </c>
      <c r="K1659" s="19"/>
      <c r="L1659" s="19"/>
      <c r="M1659" s="19"/>
      <c r="N1659" s="19"/>
      <c r="O1659" s="17" t="n">
        <v>2</v>
      </c>
      <c r="P1659" s="18" t="s">
        <v>8142</v>
      </c>
      <c r="Q1659" s="18" t="s">
        <v>7860</v>
      </c>
      <c r="R1659" s="18" t="s">
        <v>8144</v>
      </c>
      <c r="S1659" s="17" t="s">
        <v>8141</v>
      </c>
      <c r="T1659" s="18" t="s">
        <v>8145</v>
      </c>
      <c r="U1659" s="19"/>
      <c r="V1659" s="18" t="s">
        <v>8146</v>
      </c>
      <c r="W1659" s="17" t="s">
        <v>240</v>
      </c>
      <c r="X1659" s="17" t="s">
        <v>7786</v>
      </c>
      <c r="Y1659" s="17" t="s">
        <v>242</v>
      </c>
      <c r="Z1659" s="19"/>
      <c r="AA1659" s="19"/>
      <c r="AB1659" s="17"/>
      <c r="AC1659" s="19"/>
    </row>
    <row r="1660" customFormat="false" ht="22.35" hidden="false" customHeight="false" outlineLevel="0" collapsed="false">
      <c r="A1660" s="10" t="s">
        <v>8147</v>
      </c>
      <c r="B1660" s="17" t="s">
        <v>109</v>
      </c>
      <c r="C1660" s="18" t="s">
        <v>110</v>
      </c>
      <c r="D1660" s="17" t="s">
        <v>20</v>
      </c>
      <c r="E1660" s="17" t="s">
        <v>229</v>
      </c>
      <c r="F1660" s="17" t="s">
        <v>7502</v>
      </c>
      <c r="G1660" s="17" t="s">
        <v>1918</v>
      </c>
      <c r="H1660" s="17" t="s">
        <v>29</v>
      </c>
      <c r="I1660" s="17" t="s">
        <v>283</v>
      </c>
      <c r="J1660" s="17" t="s">
        <v>7763</v>
      </c>
      <c r="K1660" s="19"/>
      <c r="L1660" s="19"/>
      <c r="M1660" s="19"/>
      <c r="N1660" s="19"/>
      <c r="O1660" s="17" t="n">
        <v>2</v>
      </c>
      <c r="P1660" s="18" t="s">
        <v>8142</v>
      </c>
      <c r="Q1660" s="18" t="s">
        <v>7860</v>
      </c>
      <c r="R1660" s="18" t="s">
        <v>8148</v>
      </c>
      <c r="S1660" s="17" t="s">
        <v>8143</v>
      </c>
      <c r="T1660" s="18" t="s">
        <v>8149</v>
      </c>
      <c r="U1660" s="19"/>
      <c r="V1660" s="18" t="s">
        <v>8150</v>
      </c>
      <c r="W1660" s="17" t="s">
        <v>240</v>
      </c>
      <c r="X1660" s="17" t="s">
        <v>7786</v>
      </c>
      <c r="Y1660" s="17" t="s">
        <v>242</v>
      </c>
      <c r="Z1660" s="19"/>
      <c r="AA1660" s="19"/>
      <c r="AB1660" s="17"/>
      <c r="AC1660" s="19"/>
    </row>
    <row r="1661" customFormat="false" ht="32.8" hidden="false" customHeight="false" outlineLevel="0" collapsed="false">
      <c r="A1661" s="10" t="s">
        <v>8151</v>
      </c>
      <c r="B1661" s="17" t="s">
        <v>109</v>
      </c>
      <c r="C1661" s="18" t="s">
        <v>110</v>
      </c>
      <c r="D1661" s="17" t="s">
        <v>20</v>
      </c>
      <c r="E1661" s="17" t="s">
        <v>229</v>
      </c>
      <c r="F1661" s="17" t="s">
        <v>7502</v>
      </c>
      <c r="G1661" s="17" t="s">
        <v>1918</v>
      </c>
      <c r="H1661" s="17" t="s">
        <v>29</v>
      </c>
      <c r="I1661" s="17" t="s">
        <v>277</v>
      </c>
      <c r="J1661" s="17" t="s">
        <v>7575</v>
      </c>
      <c r="K1661" s="19"/>
      <c r="L1661" s="19"/>
      <c r="M1661" s="19"/>
      <c r="N1661" s="19"/>
      <c r="O1661" s="17" t="n">
        <v>2</v>
      </c>
      <c r="P1661" s="18" t="s">
        <v>8142</v>
      </c>
      <c r="Q1661" s="18" t="s">
        <v>7860</v>
      </c>
      <c r="R1661" s="18" t="s">
        <v>8152</v>
      </c>
      <c r="S1661" s="17" t="s">
        <v>8143</v>
      </c>
      <c r="T1661" s="18" t="s">
        <v>8153</v>
      </c>
      <c r="U1661" s="19"/>
      <c r="V1661" s="18" t="s">
        <v>8154</v>
      </c>
      <c r="W1661" s="17" t="s">
        <v>240</v>
      </c>
      <c r="X1661" s="17" t="s">
        <v>7786</v>
      </c>
      <c r="Y1661" s="17" t="s">
        <v>242</v>
      </c>
      <c r="Z1661" s="19"/>
      <c r="AA1661" s="19"/>
      <c r="AB1661" s="17"/>
      <c r="AC1661" s="19"/>
    </row>
    <row r="1662" customFormat="false" ht="22.35" hidden="false" customHeight="false" outlineLevel="0" collapsed="false">
      <c r="A1662" s="10" t="s">
        <v>8155</v>
      </c>
      <c r="B1662" s="17" t="s">
        <v>109</v>
      </c>
      <c r="C1662" s="18" t="s">
        <v>110</v>
      </c>
      <c r="D1662" s="17" t="s">
        <v>20</v>
      </c>
      <c r="E1662" s="17" t="s">
        <v>229</v>
      </c>
      <c r="F1662" s="17" t="s">
        <v>7502</v>
      </c>
      <c r="G1662" s="17" t="s">
        <v>1918</v>
      </c>
      <c r="H1662" s="17" t="s">
        <v>29</v>
      </c>
      <c r="I1662" s="17" t="s">
        <v>277</v>
      </c>
      <c r="J1662" s="17" t="s">
        <v>7575</v>
      </c>
      <c r="K1662" s="19"/>
      <c r="L1662" s="19"/>
      <c r="M1662" s="19"/>
      <c r="N1662" s="19"/>
      <c r="O1662" s="17" t="n">
        <v>2</v>
      </c>
      <c r="P1662" s="18" t="s">
        <v>8142</v>
      </c>
      <c r="Q1662" s="18" t="s">
        <v>7860</v>
      </c>
      <c r="R1662" s="18" t="s">
        <v>8156</v>
      </c>
      <c r="S1662" s="17" t="s">
        <v>8143</v>
      </c>
      <c r="T1662" s="18" t="s">
        <v>8157</v>
      </c>
      <c r="U1662" s="19"/>
      <c r="V1662" s="18" t="s">
        <v>8158</v>
      </c>
      <c r="W1662" s="17" t="s">
        <v>240</v>
      </c>
      <c r="X1662" s="17" t="s">
        <v>7786</v>
      </c>
      <c r="Y1662" s="17" t="s">
        <v>242</v>
      </c>
      <c r="Z1662" s="19"/>
      <c r="AA1662" s="19"/>
      <c r="AB1662" s="17"/>
      <c r="AC1662" s="19"/>
    </row>
    <row r="1663" customFormat="false" ht="22.35" hidden="false" customHeight="false" outlineLevel="0" collapsed="false">
      <c r="A1663" s="10" t="s">
        <v>8159</v>
      </c>
      <c r="B1663" s="17" t="s">
        <v>109</v>
      </c>
      <c r="C1663" s="18" t="s">
        <v>110</v>
      </c>
      <c r="D1663" s="17" t="s">
        <v>20</v>
      </c>
      <c r="E1663" s="17" t="s">
        <v>75</v>
      </c>
      <c r="F1663" s="17" t="s">
        <v>7502</v>
      </c>
      <c r="G1663" s="17" t="s">
        <v>1918</v>
      </c>
      <c r="H1663" s="17" t="s">
        <v>29</v>
      </c>
      <c r="I1663" s="17" t="s">
        <v>277</v>
      </c>
      <c r="J1663" s="17" t="s">
        <v>7575</v>
      </c>
      <c r="K1663" s="19"/>
      <c r="L1663" s="19"/>
      <c r="M1663" s="19"/>
      <c r="N1663" s="19"/>
      <c r="O1663" s="17" t="n">
        <v>2</v>
      </c>
      <c r="P1663" s="18" t="s">
        <v>8142</v>
      </c>
      <c r="Q1663" s="18" t="s">
        <v>7860</v>
      </c>
      <c r="R1663" s="18" t="s">
        <v>8160</v>
      </c>
      <c r="S1663" s="17" t="s">
        <v>8141</v>
      </c>
      <c r="T1663" s="18" t="s">
        <v>8161</v>
      </c>
      <c r="U1663" s="19"/>
      <c r="V1663" s="18" t="s">
        <v>8162</v>
      </c>
      <c r="W1663" s="17" t="s">
        <v>240</v>
      </c>
      <c r="X1663" s="17" t="s">
        <v>8163</v>
      </c>
      <c r="Y1663" s="17" t="s">
        <v>242</v>
      </c>
      <c r="Z1663" s="19"/>
      <c r="AA1663" s="19"/>
      <c r="AB1663" s="17"/>
      <c r="AC1663" s="19"/>
    </row>
    <row r="1664" customFormat="false" ht="15" hidden="false" customHeight="false" outlineLevel="0" collapsed="false">
      <c r="A1664" s="10" t="s">
        <v>8164</v>
      </c>
      <c r="B1664" s="17" t="s">
        <v>109</v>
      </c>
      <c r="C1664" s="18" t="s">
        <v>110</v>
      </c>
      <c r="D1664" s="17" t="s">
        <v>20</v>
      </c>
      <c r="E1664" s="17" t="s">
        <v>75</v>
      </c>
      <c r="F1664" s="17" t="s">
        <v>7502</v>
      </c>
      <c r="G1664" s="17" t="s">
        <v>1918</v>
      </c>
      <c r="H1664" s="17" t="s">
        <v>29</v>
      </c>
      <c r="I1664" s="17" t="s">
        <v>283</v>
      </c>
      <c r="J1664" s="17" t="s">
        <v>7575</v>
      </c>
      <c r="K1664" s="19"/>
      <c r="L1664" s="19"/>
      <c r="M1664" s="19"/>
      <c r="N1664" s="19"/>
      <c r="O1664" s="17" t="n">
        <v>2</v>
      </c>
      <c r="P1664" s="18" t="s">
        <v>8142</v>
      </c>
      <c r="Q1664" s="18" t="s">
        <v>4948</v>
      </c>
      <c r="R1664" s="18" t="s">
        <v>8165</v>
      </c>
      <c r="S1664" s="17" t="s">
        <v>8166</v>
      </c>
      <c r="T1664" s="18" t="s">
        <v>8167</v>
      </c>
      <c r="U1664" s="19"/>
      <c r="V1664" s="18" t="s">
        <v>7560</v>
      </c>
      <c r="W1664" s="17" t="s">
        <v>240</v>
      </c>
      <c r="X1664" s="17" t="s">
        <v>7887</v>
      </c>
      <c r="Y1664" s="17" t="s">
        <v>242</v>
      </c>
      <c r="Z1664" s="19"/>
      <c r="AA1664" s="19"/>
      <c r="AB1664" s="17"/>
      <c r="AC1664" s="19"/>
    </row>
    <row r="1665" customFormat="false" ht="15" hidden="false" customHeight="false" outlineLevel="0" collapsed="false">
      <c r="A1665" s="10" t="s">
        <v>8168</v>
      </c>
      <c r="B1665" s="17" t="s">
        <v>106</v>
      </c>
      <c r="C1665" s="18" t="s">
        <v>107</v>
      </c>
      <c r="D1665" s="17" t="s">
        <v>20</v>
      </c>
      <c r="E1665" s="17" t="s">
        <v>75</v>
      </c>
      <c r="F1665" s="17" t="s">
        <v>7502</v>
      </c>
      <c r="G1665" s="17" t="s">
        <v>2062</v>
      </c>
      <c r="H1665" s="17" t="s">
        <v>29</v>
      </c>
      <c r="I1665" s="17" t="s">
        <v>283</v>
      </c>
      <c r="J1665" s="17" t="s">
        <v>7503</v>
      </c>
      <c r="K1665" s="19"/>
      <c r="L1665" s="19"/>
      <c r="M1665" s="19"/>
      <c r="N1665" s="19"/>
      <c r="O1665" s="17" t="n">
        <v>3</v>
      </c>
      <c r="P1665" s="18" t="s">
        <v>8169</v>
      </c>
      <c r="Q1665" s="18" t="s">
        <v>7854</v>
      </c>
      <c r="R1665" s="18" t="s">
        <v>7855</v>
      </c>
      <c r="S1665" s="17" t="s">
        <v>7849</v>
      </c>
      <c r="T1665" s="18" t="s">
        <v>7856</v>
      </c>
      <c r="U1665" s="19"/>
      <c r="V1665" s="18" t="s">
        <v>7857</v>
      </c>
      <c r="W1665" s="17" t="s">
        <v>240</v>
      </c>
      <c r="X1665" s="17" t="s">
        <v>7858</v>
      </c>
      <c r="Y1665" s="17" t="s">
        <v>242</v>
      </c>
      <c r="Z1665" s="19"/>
      <c r="AA1665" s="19"/>
      <c r="AB1665" s="17"/>
      <c r="AC1665" s="19"/>
    </row>
    <row r="1666" customFormat="false" ht="22.35" hidden="false" customHeight="false" outlineLevel="0" collapsed="false">
      <c r="A1666" s="10" t="s">
        <v>8170</v>
      </c>
      <c r="B1666" s="17" t="s">
        <v>106</v>
      </c>
      <c r="C1666" s="18" t="s">
        <v>107</v>
      </c>
      <c r="D1666" s="17" t="s">
        <v>20</v>
      </c>
      <c r="E1666" s="17" t="s">
        <v>75</v>
      </c>
      <c r="F1666" s="17" t="s">
        <v>7502</v>
      </c>
      <c r="G1666" s="17" t="s">
        <v>2062</v>
      </c>
      <c r="H1666" s="17" t="s">
        <v>29</v>
      </c>
      <c r="I1666" s="17" t="s">
        <v>277</v>
      </c>
      <c r="J1666" s="17" t="s">
        <v>7503</v>
      </c>
      <c r="K1666" s="19"/>
      <c r="L1666" s="19"/>
      <c r="M1666" s="19"/>
      <c r="N1666" s="19"/>
      <c r="O1666" s="17" t="n">
        <v>3</v>
      </c>
      <c r="P1666" s="18" t="s">
        <v>8169</v>
      </c>
      <c r="Q1666" s="18" t="s">
        <v>7860</v>
      </c>
      <c r="R1666" s="18" t="s">
        <v>8171</v>
      </c>
      <c r="S1666" s="17" t="s">
        <v>8168</v>
      </c>
      <c r="T1666" s="18" t="s">
        <v>8172</v>
      </c>
      <c r="U1666" s="19"/>
      <c r="V1666" s="18" t="s">
        <v>8173</v>
      </c>
      <c r="W1666" s="17" t="s">
        <v>240</v>
      </c>
      <c r="X1666" s="17" t="s">
        <v>8174</v>
      </c>
      <c r="Y1666" s="17" t="s">
        <v>242</v>
      </c>
      <c r="Z1666" s="19"/>
      <c r="AA1666" s="19"/>
      <c r="AB1666" s="17"/>
      <c r="AC1666" s="19"/>
    </row>
    <row r="1667" customFormat="false" ht="22.35" hidden="false" customHeight="false" outlineLevel="0" collapsed="false">
      <c r="A1667" s="10" t="s">
        <v>8175</v>
      </c>
      <c r="B1667" s="17" t="s">
        <v>106</v>
      </c>
      <c r="C1667" s="18" t="s">
        <v>107</v>
      </c>
      <c r="D1667" s="17" t="s">
        <v>20</v>
      </c>
      <c r="E1667" s="17" t="s">
        <v>75</v>
      </c>
      <c r="F1667" s="17" t="s">
        <v>7502</v>
      </c>
      <c r="G1667" s="17" t="s">
        <v>2062</v>
      </c>
      <c r="H1667" s="17" t="s">
        <v>29</v>
      </c>
      <c r="I1667" s="17" t="s">
        <v>277</v>
      </c>
      <c r="J1667" s="17" t="s">
        <v>7503</v>
      </c>
      <c r="K1667" s="19"/>
      <c r="L1667" s="19"/>
      <c r="M1667" s="19"/>
      <c r="N1667" s="19"/>
      <c r="O1667" s="17" t="n">
        <v>3</v>
      </c>
      <c r="P1667" s="18" t="s">
        <v>8169</v>
      </c>
      <c r="Q1667" s="18" t="s">
        <v>7860</v>
      </c>
      <c r="R1667" s="18" t="s">
        <v>8176</v>
      </c>
      <c r="S1667" s="17" t="s">
        <v>8168</v>
      </c>
      <c r="T1667" s="18" t="s">
        <v>8177</v>
      </c>
      <c r="U1667" s="19"/>
      <c r="V1667" s="18" t="s">
        <v>8178</v>
      </c>
      <c r="W1667" s="17" t="s">
        <v>240</v>
      </c>
      <c r="X1667" s="17" t="s">
        <v>8179</v>
      </c>
      <c r="Y1667" s="17" t="s">
        <v>242</v>
      </c>
      <c r="Z1667" s="19"/>
      <c r="AA1667" s="19"/>
      <c r="AB1667" s="17"/>
      <c r="AC1667" s="19"/>
    </row>
    <row r="1668" customFormat="false" ht="22.35" hidden="false" customHeight="false" outlineLevel="0" collapsed="false">
      <c r="A1668" s="10" t="s">
        <v>8180</v>
      </c>
      <c r="B1668" s="17" t="s">
        <v>106</v>
      </c>
      <c r="C1668" s="18" t="s">
        <v>107</v>
      </c>
      <c r="D1668" s="17" t="s">
        <v>20</v>
      </c>
      <c r="E1668" s="17" t="s">
        <v>229</v>
      </c>
      <c r="F1668" s="17" t="s">
        <v>7502</v>
      </c>
      <c r="G1668" s="17" t="s">
        <v>2062</v>
      </c>
      <c r="H1668" s="17" t="s">
        <v>29</v>
      </c>
      <c r="I1668" s="17" t="s">
        <v>277</v>
      </c>
      <c r="J1668" s="17" t="s">
        <v>7503</v>
      </c>
      <c r="K1668" s="19"/>
      <c r="L1668" s="19"/>
      <c r="M1668" s="19"/>
      <c r="N1668" s="19"/>
      <c r="O1668" s="17" t="n">
        <v>3</v>
      </c>
      <c r="P1668" s="18" t="s">
        <v>8169</v>
      </c>
      <c r="Q1668" s="18" t="s">
        <v>7860</v>
      </c>
      <c r="R1668" s="18" t="s">
        <v>8181</v>
      </c>
      <c r="S1668" s="17" t="s">
        <v>8168</v>
      </c>
      <c r="T1668" s="18" t="s">
        <v>8135</v>
      </c>
      <c r="U1668" s="19"/>
      <c r="V1668" s="18" t="s">
        <v>8182</v>
      </c>
      <c r="W1668" s="17" t="s">
        <v>240</v>
      </c>
      <c r="X1668" s="17" t="s">
        <v>2128</v>
      </c>
      <c r="Y1668" s="17" t="s">
        <v>242</v>
      </c>
      <c r="Z1668" s="19"/>
      <c r="AA1668" s="19"/>
      <c r="AB1668" s="17"/>
      <c r="AC1668" s="19"/>
    </row>
    <row r="1669" customFormat="false" ht="22.35" hidden="false" customHeight="false" outlineLevel="0" collapsed="false">
      <c r="A1669" s="10" t="s">
        <v>8183</v>
      </c>
      <c r="B1669" s="17" t="s">
        <v>106</v>
      </c>
      <c r="C1669" s="18" t="s">
        <v>107</v>
      </c>
      <c r="D1669" s="17" t="s">
        <v>20</v>
      </c>
      <c r="E1669" s="17" t="s">
        <v>75</v>
      </c>
      <c r="F1669" s="17" t="s">
        <v>7502</v>
      </c>
      <c r="G1669" s="17" t="s">
        <v>2062</v>
      </c>
      <c r="H1669" s="17" t="s">
        <v>29</v>
      </c>
      <c r="I1669" s="17" t="s">
        <v>277</v>
      </c>
      <c r="J1669" s="17" t="s">
        <v>7503</v>
      </c>
      <c r="K1669" s="19"/>
      <c r="L1669" s="19"/>
      <c r="M1669" s="19"/>
      <c r="N1669" s="19"/>
      <c r="O1669" s="17" t="n">
        <v>3</v>
      </c>
      <c r="P1669" s="18" t="s">
        <v>8169</v>
      </c>
      <c r="Q1669" s="18" t="s">
        <v>7860</v>
      </c>
      <c r="R1669" s="18" t="s">
        <v>8184</v>
      </c>
      <c r="S1669" s="17" t="s">
        <v>8168</v>
      </c>
      <c r="T1669" s="18" t="s">
        <v>8185</v>
      </c>
      <c r="U1669" s="19"/>
      <c r="V1669" s="18" t="s">
        <v>8186</v>
      </c>
      <c r="W1669" s="17" t="s">
        <v>240</v>
      </c>
      <c r="X1669" s="17" t="s">
        <v>8174</v>
      </c>
      <c r="Y1669" s="17" t="s">
        <v>242</v>
      </c>
      <c r="Z1669" s="19"/>
      <c r="AA1669" s="19"/>
      <c r="AB1669" s="17"/>
      <c r="AC1669" s="19"/>
    </row>
    <row r="1670" customFormat="false" ht="15" hidden="false" customHeight="false" outlineLevel="0" collapsed="false">
      <c r="A1670" s="10" t="s">
        <v>8187</v>
      </c>
      <c r="B1670" s="17" t="s">
        <v>106</v>
      </c>
      <c r="C1670" s="18" t="s">
        <v>107</v>
      </c>
      <c r="D1670" s="17" t="s">
        <v>20</v>
      </c>
      <c r="E1670" s="17" t="s">
        <v>75</v>
      </c>
      <c r="F1670" s="17" t="s">
        <v>7502</v>
      </c>
      <c r="G1670" s="17" t="s">
        <v>2062</v>
      </c>
      <c r="H1670" s="17" t="s">
        <v>29</v>
      </c>
      <c r="I1670" s="17" t="s">
        <v>283</v>
      </c>
      <c r="J1670" s="17" t="s">
        <v>7503</v>
      </c>
      <c r="K1670" s="19"/>
      <c r="L1670" s="19"/>
      <c r="M1670" s="19"/>
      <c r="N1670" s="19"/>
      <c r="O1670" s="17" t="n">
        <v>3</v>
      </c>
      <c r="P1670" s="18" t="s">
        <v>8169</v>
      </c>
      <c r="Q1670" s="18" t="s">
        <v>4948</v>
      </c>
      <c r="R1670" s="18" t="s">
        <v>8188</v>
      </c>
      <c r="S1670" s="17" t="s">
        <v>8189</v>
      </c>
      <c r="T1670" s="18" t="s">
        <v>8190</v>
      </c>
      <c r="U1670" s="19"/>
      <c r="V1670" s="18" t="s">
        <v>7560</v>
      </c>
      <c r="W1670" s="17" t="s">
        <v>240</v>
      </c>
      <c r="X1670" s="17" t="s">
        <v>7887</v>
      </c>
      <c r="Y1670" s="17" t="s">
        <v>242</v>
      </c>
      <c r="Z1670" s="19"/>
      <c r="AA1670" s="19"/>
      <c r="AB1670" s="17"/>
      <c r="AC1670" s="19"/>
    </row>
    <row r="1671" customFormat="false" ht="15" hidden="false" customHeight="false" outlineLevel="0" collapsed="false">
      <c r="A1671" s="10" t="s">
        <v>8191</v>
      </c>
      <c r="B1671" s="17" t="s">
        <v>140</v>
      </c>
      <c r="C1671" s="18" t="s">
        <v>141</v>
      </c>
      <c r="D1671" s="17" t="s">
        <v>20</v>
      </c>
      <c r="E1671" s="17" t="s">
        <v>75</v>
      </c>
      <c r="F1671" s="17" t="s">
        <v>7502</v>
      </c>
      <c r="G1671" s="17" t="s">
        <v>2255</v>
      </c>
      <c r="H1671" s="17" t="s">
        <v>29</v>
      </c>
      <c r="I1671" s="17" t="s">
        <v>283</v>
      </c>
      <c r="J1671" s="17" t="s">
        <v>7503</v>
      </c>
      <c r="K1671" s="19"/>
      <c r="L1671" s="19"/>
      <c r="M1671" s="19"/>
      <c r="N1671" s="19"/>
      <c r="O1671" s="17" t="n">
        <v>2</v>
      </c>
      <c r="P1671" s="18" t="s">
        <v>8192</v>
      </c>
      <c r="Q1671" s="18" t="s">
        <v>7854</v>
      </c>
      <c r="R1671" s="18" t="s">
        <v>7855</v>
      </c>
      <c r="S1671" s="17" t="s">
        <v>7849</v>
      </c>
      <c r="T1671" s="18" t="s">
        <v>7856</v>
      </c>
      <c r="U1671" s="19"/>
      <c r="V1671" s="18" t="s">
        <v>7857</v>
      </c>
      <c r="W1671" s="17" t="s">
        <v>240</v>
      </c>
      <c r="X1671" s="17" t="s">
        <v>7858</v>
      </c>
      <c r="Y1671" s="17" t="s">
        <v>242</v>
      </c>
      <c r="Z1671" s="19"/>
      <c r="AA1671" s="19"/>
      <c r="AB1671" s="17"/>
      <c r="AC1671" s="19"/>
    </row>
    <row r="1672" customFormat="false" ht="22.35" hidden="false" customHeight="false" outlineLevel="0" collapsed="false">
      <c r="A1672" s="10" t="s">
        <v>8193</v>
      </c>
      <c r="B1672" s="17" t="s">
        <v>140</v>
      </c>
      <c r="C1672" s="18" t="s">
        <v>141</v>
      </c>
      <c r="D1672" s="17" t="s">
        <v>20</v>
      </c>
      <c r="E1672" s="17" t="s">
        <v>75</v>
      </c>
      <c r="F1672" s="17" t="s">
        <v>7502</v>
      </c>
      <c r="G1672" s="17" t="s">
        <v>2255</v>
      </c>
      <c r="H1672" s="17" t="s">
        <v>29</v>
      </c>
      <c r="I1672" s="17" t="s">
        <v>277</v>
      </c>
      <c r="J1672" s="17" t="s">
        <v>7503</v>
      </c>
      <c r="K1672" s="19"/>
      <c r="L1672" s="19"/>
      <c r="M1672" s="19"/>
      <c r="N1672" s="19"/>
      <c r="O1672" s="17" t="n">
        <v>2</v>
      </c>
      <c r="P1672" s="18" t="s">
        <v>8192</v>
      </c>
      <c r="Q1672" s="18" t="s">
        <v>7860</v>
      </c>
      <c r="R1672" s="18" t="s">
        <v>8194</v>
      </c>
      <c r="S1672" s="17" t="s">
        <v>8191</v>
      </c>
      <c r="T1672" s="18" t="s">
        <v>2023</v>
      </c>
      <c r="U1672" s="19"/>
      <c r="V1672" s="18" t="s">
        <v>8195</v>
      </c>
      <c r="W1672" s="17" t="s">
        <v>240</v>
      </c>
      <c r="X1672" s="17" t="s">
        <v>8196</v>
      </c>
      <c r="Y1672" s="17" t="s">
        <v>242</v>
      </c>
      <c r="Z1672" s="19"/>
      <c r="AA1672" s="19"/>
      <c r="AB1672" s="17"/>
      <c r="AC1672" s="19"/>
    </row>
    <row r="1673" customFormat="false" ht="22.35" hidden="false" customHeight="false" outlineLevel="0" collapsed="false">
      <c r="A1673" s="10" t="s">
        <v>8197</v>
      </c>
      <c r="B1673" s="17" t="s">
        <v>140</v>
      </c>
      <c r="C1673" s="18" t="s">
        <v>141</v>
      </c>
      <c r="D1673" s="17" t="s">
        <v>20</v>
      </c>
      <c r="E1673" s="17" t="s">
        <v>229</v>
      </c>
      <c r="F1673" s="17" t="s">
        <v>7502</v>
      </c>
      <c r="G1673" s="17" t="s">
        <v>2255</v>
      </c>
      <c r="H1673" s="17" t="s">
        <v>29</v>
      </c>
      <c r="I1673" s="17" t="s">
        <v>277</v>
      </c>
      <c r="J1673" s="17" t="s">
        <v>7503</v>
      </c>
      <c r="K1673" s="19"/>
      <c r="L1673" s="19"/>
      <c r="M1673" s="19"/>
      <c r="N1673" s="19"/>
      <c r="O1673" s="17" t="n">
        <v>2</v>
      </c>
      <c r="P1673" s="18" t="s">
        <v>8192</v>
      </c>
      <c r="Q1673" s="18" t="s">
        <v>7860</v>
      </c>
      <c r="R1673" s="18" t="s">
        <v>8198</v>
      </c>
      <c r="S1673" s="17" t="s">
        <v>8191</v>
      </c>
      <c r="T1673" s="18" t="s">
        <v>8199</v>
      </c>
      <c r="U1673" s="19"/>
      <c r="V1673" s="18" t="s">
        <v>8200</v>
      </c>
      <c r="W1673" s="17" t="s">
        <v>240</v>
      </c>
      <c r="X1673" s="17" t="s">
        <v>7786</v>
      </c>
      <c r="Y1673" s="17" t="s">
        <v>242</v>
      </c>
      <c r="Z1673" s="19"/>
      <c r="AA1673" s="19"/>
      <c r="AB1673" s="17"/>
      <c r="AC1673" s="19"/>
    </row>
    <row r="1674" customFormat="false" ht="22.35" hidden="false" customHeight="false" outlineLevel="0" collapsed="false">
      <c r="A1674" s="10" t="s">
        <v>8201</v>
      </c>
      <c r="B1674" s="17" t="s">
        <v>140</v>
      </c>
      <c r="C1674" s="18" t="s">
        <v>141</v>
      </c>
      <c r="D1674" s="17" t="s">
        <v>20</v>
      </c>
      <c r="E1674" s="17" t="s">
        <v>75</v>
      </c>
      <c r="F1674" s="17" t="s">
        <v>7502</v>
      </c>
      <c r="G1674" s="17" t="s">
        <v>2255</v>
      </c>
      <c r="H1674" s="17" t="s">
        <v>29</v>
      </c>
      <c r="I1674" s="17" t="s">
        <v>277</v>
      </c>
      <c r="J1674" s="17" t="s">
        <v>7575</v>
      </c>
      <c r="K1674" s="19"/>
      <c r="L1674" s="19"/>
      <c r="M1674" s="19"/>
      <c r="N1674" s="19"/>
      <c r="O1674" s="17" t="n">
        <v>2</v>
      </c>
      <c r="P1674" s="18" t="s">
        <v>8192</v>
      </c>
      <c r="Q1674" s="18" t="s">
        <v>7860</v>
      </c>
      <c r="R1674" s="18" t="s">
        <v>8202</v>
      </c>
      <c r="S1674" s="17" t="s">
        <v>8191</v>
      </c>
      <c r="T1674" s="18" t="s">
        <v>8203</v>
      </c>
      <c r="U1674" s="19"/>
      <c r="V1674" s="18" t="s">
        <v>8204</v>
      </c>
      <c r="W1674" s="17" t="s">
        <v>240</v>
      </c>
      <c r="X1674" s="17" t="s">
        <v>8205</v>
      </c>
      <c r="Y1674" s="17" t="s">
        <v>242</v>
      </c>
      <c r="Z1674" s="19"/>
      <c r="AA1674" s="19"/>
      <c r="AB1674" s="17"/>
      <c r="AC1674" s="19"/>
    </row>
    <row r="1675" customFormat="false" ht="22.35" hidden="false" customHeight="false" outlineLevel="0" collapsed="false">
      <c r="A1675" s="10" t="s">
        <v>8206</v>
      </c>
      <c r="B1675" s="17" t="s">
        <v>140</v>
      </c>
      <c r="C1675" s="18" t="s">
        <v>141</v>
      </c>
      <c r="D1675" s="17" t="s">
        <v>20</v>
      </c>
      <c r="E1675" s="17" t="s">
        <v>75</v>
      </c>
      <c r="F1675" s="17" t="s">
        <v>7502</v>
      </c>
      <c r="G1675" s="17" t="s">
        <v>2255</v>
      </c>
      <c r="H1675" s="17" t="s">
        <v>29</v>
      </c>
      <c r="I1675" s="17" t="s">
        <v>277</v>
      </c>
      <c r="J1675" s="17" t="s">
        <v>7503</v>
      </c>
      <c r="K1675" s="19"/>
      <c r="L1675" s="19"/>
      <c r="M1675" s="19"/>
      <c r="N1675" s="19"/>
      <c r="O1675" s="17" t="n">
        <v>2</v>
      </c>
      <c r="P1675" s="18" t="s">
        <v>8192</v>
      </c>
      <c r="Q1675" s="18" t="s">
        <v>7860</v>
      </c>
      <c r="R1675" s="18" t="s">
        <v>8207</v>
      </c>
      <c r="S1675" s="17" t="s">
        <v>8191</v>
      </c>
      <c r="T1675" s="18" t="s">
        <v>8208</v>
      </c>
      <c r="U1675" s="19"/>
      <c r="V1675" s="18" t="s">
        <v>8209</v>
      </c>
      <c r="W1675" s="17" t="s">
        <v>240</v>
      </c>
      <c r="X1675" s="17" t="s">
        <v>7887</v>
      </c>
      <c r="Y1675" s="17" t="s">
        <v>242</v>
      </c>
      <c r="Z1675" s="19"/>
      <c r="AA1675" s="19"/>
      <c r="AB1675" s="17"/>
      <c r="AC1675" s="19"/>
    </row>
    <row r="1676" customFormat="false" ht="15" hidden="false" customHeight="false" outlineLevel="0" collapsed="false">
      <c r="A1676" s="10" t="s">
        <v>8210</v>
      </c>
      <c r="B1676" s="17" t="s">
        <v>140</v>
      </c>
      <c r="C1676" s="18" t="s">
        <v>141</v>
      </c>
      <c r="D1676" s="17" t="s">
        <v>20</v>
      </c>
      <c r="E1676" s="17" t="s">
        <v>75</v>
      </c>
      <c r="F1676" s="17" t="s">
        <v>7502</v>
      </c>
      <c r="G1676" s="17" t="s">
        <v>2255</v>
      </c>
      <c r="H1676" s="17" t="s">
        <v>29</v>
      </c>
      <c r="I1676" s="17" t="s">
        <v>283</v>
      </c>
      <c r="J1676" s="17" t="s">
        <v>7503</v>
      </c>
      <c r="K1676" s="19"/>
      <c r="L1676" s="19"/>
      <c r="M1676" s="19"/>
      <c r="N1676" s="19"/>
      <c r="O1676" s="17" t="n">
        <v>2</v>
      </c>
      <c r="P1676" s="18" t="s">
        <v>8192</v>
      </c>
      <c r="Q1676" s="18" t="s">
        <v>4948</v>
      </c>
      <c r="R1676" s="18" t="s">
        <v>8211</v>
      </c>
      <c r="S1676" s="17" t="s">
        <v>8212</v>
      </c>
      <c r="T1676" s="18" t="s">
        <v>8213</v>
      </c>
      <c r="U1676" s="19"/>
      <c r="V1676" s="18" t="s">
        <v>7560</v>
      </c>
      <c r="W1676" s="17" t="s">
        <v>240</v>
      </c>
      <c r="X1676" s="17" t="s">
        <v>7887</v>
      </c>
      <c r="Y1676" s="17" t="s">
        <v>242</v>
      </c>
      <c r="Z1676" s="19"/>
      <c r="AA1676" s="19"/>
      <c r="AB1676" s="17"/>
      <c r="AC1676" s="19"/>
    </row>
    <row r="1677" customFormat="false" ht="15" hidden="false" customHeight="false" outlineLevel="0" collapsed="false">
      <c r="A1677" s="10" t="s">
        <v>8214</v>
      </c>
      <c r="B1677" s="17" t="s">
        <v>60</v>
      </c>
      <c r="C1677" s="18" t="s">
        <v>61</v>
      </c>
      <c r="D1677" s="17" t="s">
        <v>20</v>
      </c>
      <c r="E1677" s="17" t="s">
        <v>75</v>
      </c>
      <c r="F1677" s="17" t="s">
        <v>7502</v>
      </c>
      <c r="G1677" s="17" t="s">
        <v>2408</v>
      </c>
      <c r="H1677" s="17" t="s">
        <v>32</v>
      </c>
      <c r="I1677" s="17" t="s">
        <v>283</v>
      </c>
      <c r="J1677" s="17" t="s">
        <v>7503</v>
      </c>
      <c r="K1677" s="19"/>
      <c r="L1677" s="19"/>
      <c r="M1677" s="19"/>
      <c r="N1677" s="19"/>
      <c r="O1677" s="17" t="n">
        <v>3</v>
      </c>
      <c r="P1677" s="18" t="s">
        <v>8215</v>
      </c>
      <c r="Q1677" s="18" t="s">
        <v>7854</v>
      </c>
      <c r="R1677" s="18" t="s">
        <v>7855</v>
      </c>
      <c r="S1677" s="17" t="s">
        <v>7849</v>
      </c>
      <c r="T1677" s="18" t="s">
        <v>7856</v>
      </c>
      <c r="U1677" s="19"/>
      <c r="V1677" s="18" t="s">
        <v>7857</v>
      </c>
      <c r="W1677" s="17" t="s">
        <v>240</v>
      </c>
      <c r="X1677" s="17" t="s">
        <v>7858</v>
      </c>
      <c r="Y1677" s="17" t="s">
        <v>242</v>
      </c>
      <c r="Z1677" s="19"/>
      <c r="AA1677" s="19"/>
      <c r="AB1677" s="17"/>
      <c r="AC1677" s="19"/>
    </row>
    <row r="1678" customFormat="false" ht="22.35" hidden="false" customHeight="false" outlineLevel="0" collapsed="false">
      <c r="A1678" s="10" t="s">
        <v>8216</v>
      </c>
      <c r="B1678" s="17" t="s">
        <v>60</v>
      </c>
      <c r="C1678" s="18" t="s">
        <v>61</v>
      </c>
      <c r="D1678" s="17" t="s">
        <v>20</v>
      </c>
      <c r="E1678" s="17" t="s">
        <v>75</v>
      </c>
      <c r="F1678" s="17" t="s">
        <v>7502</v>
      </c>
      <c r="G1678" s="17" t="s">
        <v>2408</v>
      </c>
      <c r="H1678" s="17" t="s">
        <v>32</v>
      </c>
      <c r="I1678" s="17" t="s">
        <v>1413</v>
      </c>
      <c r="J1678" s="17" t="s">
        <v>7763</v>
      </c>
      <c r="K1678" s="19"/>
      <c r="L1678" s="19"/>
      <c r="M1678" s="19"/>
      <c r="N1678" s="19"/>
      <c r="O1678" s="17" t="n">
        <v>3</v>
      </c>
      <c r="P1678" s="18" t="s">
        <v>8215</v>
      </c>
      <c r="Q1678" s="18" t="s">
        <v>7860</v>
      </c>
      <c r="R1678" s="18" t="s">
        <v>8217</v>
      </c>
      <c r="S1678" s="17" t="s">
        <v>8218</v>
      </c>
      <c r="T1678" s="18" t="s">
        <v>8219</v>
      </c>
      <c r="U1678" s="19"/>
      <c r="V1678" s="18" t="s">
        <v>8220</v>
      </c>
      <c r="W1678" s="17" t="s">
        <v>240</v>
      </c>
      <c r="X1678" s="17" t="s">
        <v>8221</v>
      </c>
      <c r="Y1678" s="17" t="s">
        <v>242</v>
      </c>
      <c r="Z1678" s="19"/>
      <c r="AA1678" s="19"/>
      <c r="AB1678" s="17"/>
      <c r="AC1678" s="19"/>
    </row>
    <row r="1679" customFormat="false" ht="32.8" hidden="false" customHeight="false" outlineLevel="0" collapsed="false">
      <c r="A1679" s="10" t="s">
        <v>8222</v>
      </c>
      <c r="B1679" s="17" t="s">
        <v>60</v>
      </c>
      <c r="C1679" s="18" t="s">
        <v>61</v>
      </c>
      <c r="D1679" s="17" t="s">
        <v>20</v>
      </c>
      <c r="E1679" s="17" t="s">
        <v>229</v>
      </c>
      <c r="F1679" s="17" t="s">
        <v>7502</v>
      </c>
      <c r="G1679" s="17" t="s">
        <v>2408</v>
      </c>
      <c r="H1679" s="17" t="s">
        <v>32</v>
      </c>
      <c r="I1679" s="17" t="s">
        <v>1413</v>
      </c>
      <c r="J1679" s="17" t="s">
        <v>7575</v>
      </c>
      <c r="K1679" s="19"/>
      <c r="L1679" s="19"/>
      <c r="M1679" s="19"/>
      <c r="N1679" s="19"/>
      <c r="O1679" s="17" t="n">
        <v>3</v>
      </c>
      <c r="P1679" s="18" t="s">
        <v>8215</v>
      </c>
      <c r="Q1679" s="18" t="s">
        <v>7860</v>
      </c>
      <c r="R1679" s="18" t="s">
        <v>8223</v>
      </c>
      <c r="S1679" s="17" t="s">
        <v>8214</v>
      </c>
      <c r="T1679" s="18" t="s">
        <v>8224</v>
      </c>
      <c r="U1679" s="19"/>
      <c r="V1679" s="18" t="s">
        <v>8225</v>
      </c>
      <c r="W1679" s="17" t="s">
        <v>240</v>
      </c>
      <c r="X1679" s="17" t="s">
        <v>8226</v>
      </c>
      <c r="Y1679" s="17" t="s">
        <v>242</v>
      </c>
      <c r="Z1679" s="19"/>
      <c r="AA1679" s="19"/>
      <c r="AB1679" s="17"/>
      <c r="AC1679" s="19"/>
    </row>
    <row r="1680" customFormat="false" ht="22.35" hidden="false" customHeight="false" outlineLevel="0" collapsed="false">
      <c r="A1680" s="10" t="s">
        <v>8227</v>
      </c>
      <c r="B1680" s="17" t="s">
        <v>60</v>
      </c>
      <c r="C1680" s="18" t="s">
        <v>61</v>
      </c>
      <c r="D1680" s="17" t="s">
        <v>20</v>
      </c>
      <c r="E1680" s="17" t="s">
        <v>229</v>
      </c>
      <c r="F1680" s="17" t="s">
        <v>7502</v>
      </c>
      <c r="G1680" s="17" t="s">
        <v>2408</v>
      </c>
      <c r="H1680" s="17" t="s">
        <v>32</v>
      </c>
      <c r="I1680" s="17" t="s">
        <v>333</v>
      </c>
      <c r="J1680" s="17" t="s">
        <v>7569</v>
      </c>
      <c r="K1680" s="19"/>
      <c r="L1680" s="19"/>
      <c r="M1680" s="19"/>
      <c r="N1680" s="19"/>
      <c r="O1680" s="17" t="n">
        <v>3</v>
      </c>
      <c r="P1680" s="18" t="s">
        <v>8215</v>
      </c>
      <c r="Q1680" s="18" t="s">
        <v>7860</v>
      </c>
      <c r="R1680" s="18" t="s">
        <v>8228</v>
      </c>
      <c r="S1680" s="17" t="s">
        <v>8214</v>
      </c>
      <c r="T1680" s="18" t="s">
        <v>8229</v>
      </c>
      <c r="U1680" s="19"/>
      <c r="V1680" s="18" t="s">
        <v>8230</v>
      </c>
      <c r="W1680" s="17" t="s">
        <v>240</v>
      </c>
      <c r="X1680" s="17" t="s">
        <v>2494</v>
      </c>
      <c r="Y1680" s="17" t="s">
        <v>242</v>
      </c>
      <c r="Z1680" s="19"/>
      <c r="AA1680" s="19"/>
      <c r="AB1680" s="17"/>
      <c r="AC1680" s="19"/>
    </row>
    <row r="1681" customFormat="false" ht="22.35" hidden="false" customHeight="false" outlineLevel="0" collapsed="false">
      <c r="A1681" s="10" t="s">
        <v>8231</v>
      </c>
      <c r="B1681" s="17" t="s">
        <v>60</v>
      </c>
      <c r="C1681" s="18" t="s">
        <v>61</v>
      </c>
      <c r="D1681" s="17" t="s">
        <v>20</v>
      </c>
      <c r="E1681" s="17" t="s">
        <v>75</v>
      </c>
      <c r="F1681" s="17" t="s">
        <v>7502</v>
      </c>
      <c r="G1681" s="17" t="s">
        <v>2408</v>
      </c>
      <c r="H1681" s="17" t="s">
        <v>32</v>
      </c>
      <c r="I1681" s="17" t="s">
        <v>333</v>
      </c>
      <c r="J1681" s="17" t="s">
        <v>7569</v>
      </c>
      <c r="K1681" s="19"/>
      <c r="L1681" s="19"/>
      <c r="M1681" s="19"/>
      <c r="N1681" s="19"/>
      <c r="O1681" s="17" t="n">
        <v>3</v>
      </c>
      <c r="P1681" s="18" t="s">
        <v>8215</v>
      </c>
      <c r="Q1681" s="18" t="s">
        <v>7860</v>
      </c>
      <c r="R1681" s="18" t="s">
        <v>8232</v>
      </c>
      <c r="S1681" s="17" t="s">
        <v>8214</v>
      </c>
      <c r="T1681" s="18" t="s">
        <v>8233</v>
      </c>
      <c r="U1681" s="19"/>
      <c r="V1681" s="18" t="s">
        <v>8234</v>
      </c>
      <c r="W1681" s="17" t="s">
        <v>240</v>
      </c>
      <c r="X1681" s="17" t="s">
        <v>8235</v>
      </c>
      <c r="Y1681" s="17" t="s">
        <v>242</v>
      </c>
      <c r="Z1681" s="19"/>
      <c r="AA1681" s="19"/>
      <c r="AB1681" s="17"/>
      <c r="AC1681" s="19"/>
    </row>
    <row r="1682" customFormat="false" ht="22.35" hidden="false" customHeight="false" outlineLevel="0" collapsed="false">
      <c r="A1682" s="10" t="s">
        <v>8236</v>
      </c>
      <c r="B1682" s="17" t="s">
        <v>60</v>
      </c>
      <c r="C1682" s="18" t="s">
        <v>61</v>
      </c>
      <c r="D1682" s="17" t="s">
        <v>20</v>
      </c>
      <c r="E1682" s="17" t="s">
        <v>75</v>
      </c>
      <c r="F1682" s="17" t="s">
        <v>7502</v>
      </c>
      <c r="G1682" s="17" t="s">
        <v>2408</v>
      </c>
      <c r="H1682" s="17" t="s">
        <v>32</v>
      </c>
      <c r="I1682" s="17" t="s">
        <v>1413</v>
      </c>
      <c r="J1682" s="17" t="s">
        <v>7763</v>
      </c>
      <c r="K1682" s="19"/>
      <c r="L1682" s="19"/>
      <c r="M1682" s="19"/>
      <c r="N1682" s="19"/>
      <c r="O1682" s="17" t="n">
        <v>3</v>
      </c>
      <c r="P1682" s="18" t="s">
        <v>8215</v>
      </c>
      <c r="Q1682" s="18" t="s">
        <v>7860</v>
      </c>
      <c r="R1682" s="18" t="s">
        <v>8237</v>
      </c>
      <c r="S1682" s="17" t="s">
        <v>8214</v>
      </c>
      <c r="T1682" s="18" t="s">
        <v>8238</v>
      </c>
      <c r="U1682" s="19"/>
      <c r="V1682" s="18" t="s">
        <v>8239</v>
      </c>
      <c r="W1682" s="17" t="s">
        <v>240</v>
      </c>
      <c r="X1682" s="17" t="s">
        <v>8221</v>
      </c>
      <c r="Y1682" s="17" t="s">
        <v>242</v>
      </c>
      <c r="Z1682" s="19"/>
      <c r="AA1682" s="19"/>
      <c r="AB1682" s="17"/>
      <c r="AC1682" s="19"/>
    </row>
    <row r="1683" customFormat="false" ht="15" hidden="false" customHeight="false" outlineLevel="0" collapsed="false">
      <c r="A1683" s="10" t="s">
        <v>8240</v>
      </c>
      <c r="B1683" s="17" t="s">
        <v>60</v>
      </c>
      <c r="C1683" s="18" t="s">
        <v>61</v>
      </c>
      <c r="D1683" s="17" t="s">
        <v>20</v>
      </c>
      <c r="E1683" s="17" t="s">
        <v>75</v>
      </c>
      <c r="F1683" s="17" t="s">
        <v>7502</v>
      </c>
      <c r="G1683" s="17" t="s">
        <v>2408</v>
      </c>
      <c r="H1683" s="17" t="s">
        <v>32</v>
      </c>
      <c r="I1683" s="17" t="s">
        <v>283</v>
      </c>
      <c r="J1683" s="17" t="s">
        <v>7503</v>
      </c>
      <c r="K1683" s="19"/>
      <c r="L1683" s="19"/>
      <c r="M1683" s="19"/>
      <c r="N1683" s="19"/>
      <c r="O1683" s="17" t="n">
        <v>3</v>
      </c>
      <c r="P1683" s="18" t="s">
        <v>8215</v>
      </c>
      <c r="Q1683" s="18" t="s">
        <v>4948</v>
      </c>
      <c r="R1683" s="18" t="s">
        <v>8241</v>
      </c>
      <c r="S1683" s="17" t="s">
        <v>8242</v>
      </c>
      <c r="T1683" s="18" t="s">
        <v>8243</v>
      </c>
      <c r="U1683" s="19"/>
      <c r="V1683" s="18" t="s">
        <v>7560</v>
      </c>
      <c r="W1683" s="17" t="s">
        <v>240</v>
      </c>
      <c r="X1683" s="17" t="s">
        <v>7887</v>
      </c>
      <c r="Y1683" s="17" t="s">
        <v>242</v>
      </c>
      <c r="Z1683" s="19"/>
      <c r="AA1683" s="19"/>
      <c r="AB1683" s="17"/>
      <c r="AC1683" s="19"/>
    </row>
    <row r="1684" customFormat="false" ht="15" hidden="false" customHeight="false" outlineLevel="0" collapsed="false">
      <c r="A1684" s="10" t="s">
        <v>8244</v>
      </c>
      <c r="B1684" s="17" t="s">
        <v>124</v>
      </c>
      <c r="C1684" s="18" t="s">
        <v>125</v>
      </c>
      <c r="D1684" s="17" t="s">
        <v>20</v>
      </c>
      <c r="E1684" s="17" t="s">
        <v>75</v>
      </c>
      <c r="F1684" s="17" t="s">
        <v>7502</v>
      </c>
      <c r="G1684" s="17" t="s">
        <v>2607</v>
      </c>
      <c r="H1684" s="17" t="s">
        <v>34</v>
      </c>
      <c r="I1684" s="17" t="s">
        <v>283</v>
      </c>
      <c r="J1684" s="17" t="s">
        <v>7503</v>
      </c>
      <c r="K1684" s="19"/>
      <c r="L1684" s="19"/>
      <c r="M1684" s="19"/>
      <c r="N1684" s="19"/>
      <c r="O1684" s="17" t="n">
        <v>3</v>
      </c>
      <c r="P1684" s="18" t="s">
        <v>8245</v>
      </c>
      <c r="Q1684" s="18" t="s">
        <v>7854</v>
      </c>
      <c r="R1684" s="18" t="s">
        <v>7855</v>
      </c>
      <c r="S1684" s="17" t="s">
        <v>7849</v>
      </c>
      <c r="T1684" s="18" t="s">
        <v>7856</v>
      </c>
      <c r="U1684" s="19"/>
      <c r="V1684" s="18" t="s">
        <v>7857</v>
      </c>
      <c r="W1684" s="17" t="s">
        <v>240</v>
      </c>
      <c r="X1684" s="17" t="s">
        <v>7858</v>
      </c>
      <c r="Y1684" s="17" t="s">
        <v>242</v>
      </c>
      <c r="Z1684" s="19"/>
      <c r="AA1684" s="19"/>
      <c r="AB1684" s="17"/>
      <c r="AC1684" s="19"/>
    </row>
    <row r="1685" customFormat="false" ht="22.35" hidden="false" customHeight="false" outlineLevel="0" collapsed="false">
      <c r="A1685" s="10" t="s">
        <v>8246</v>
      </c>
      <c r="B1685" s="17" t="s">
        <v>124</v>
      </c>
      <c r="C1685" s="18" t="s">
        <v>125</v>
      </c>
      <c r="D1685" s="17" t="s">
        <v>20</v>
      </c>
      <c r="E1685" s="17" t="s">
        <v>229</v>
      </c>
      <c r="F1685" s="17" t="s">
        <v>7502</v>
      </c>
      <c r="G1685" s="17" t="s">
        <v>2607</v>
      </c>
      <c r="H1685" s="17" t="s">
        <v>34</v>
      </c>
      <c r="I1685" s="17" t="s">
        <v>277</v>
      </c>
      <c r="J1685" s="17" t="s">
        <v>7503</v>
      </c>
      <c r="K1685" s="19"/>
      <c r="L1685" s="19"/>
      <c r="M1685" s="19"/>
      <c r="N1685" s="19"/>
      <c r="O1685" s="17" t="n">
        <v>3</v>
      </c>
      <c r="P1685" s="18" t="s">
        <v>8245</v>
      </c>
      <c r="Q1685" s="18" t="s">
        <v>7860</v>
      </c>
      <c r="R1685" s="18" t="s">
        <v>8247</v>
      </c>
      <c r="S1685" s="17" t="s">
        <v>8244</v>
      </c>
      <c r="T1685" s="18" t="s">
        <v>8248</v>
      </c>
      <c r="U1685" s="19"/>
      <c r="V1685" s="18" t="s">
        <v>8249</v>
      </c>
      <c r="W1685" s="17" t="s">
        <v>240</v>
      </c>
      <c r="X1685" s="17" t="s">
        <v>2673</v>
      </c>
      <c r="Y1685" s="17" t="s">
        <v>242</v>
      </c>
      <c r="Z1685" s="19"/>
      <c r="AA1685" s="19"/>
      <c r="AB1685" s="17"/>
      <c r="AC1685" s="19"/>
    </row>
    <row r="1686" customFormat="false" ht="32.8" hidden="false" customHeight="false" outlineLevel="0" collapsed="false">
      <c r="A1686" s="10" t="s">
        <v>8250</v>
      </c>
      <c r="B1686" s="17" t="s">
        <v>124</v>
      </c>
      <c r="C1686" s="18" t="s">
        <v>125</v>
      </c>
      <c r="D1686" s="17" t="s">
        <v>20</v>
      </c>
      <c r="E1686" s="17" t="s">
        <v>229</v>
      </c>
      <c r="F1686" s="17" t="s">
        <v>7502</v>
      </c>
      <c r="G1686" s="17" t="s">
        <v>2607</v>
      </c>
      <c r="H1686" s="17" t="s">
        <v>34</v>
      </c>
      <c r="I1686" s="17" t="s">
        <v>277</v>
      </c>
      <c r="J1686" s="17" t="s">
        <v>7525</v>
      </c>
      <c r="K1686" s="19"/>
      <c r="L1686" s="19"/>
      <c r="M1686" s="19"/>
      <c r="N1686" s="19"/>
      <c r="O1686" s="17" t="n">
        <v>3</v>
      </c>
      <c r="P1686" s="18" t="s">
        <v>8245</v>
      </c>
      <c r="Q1686" s="18" t="s">
        <v>7860</v>
      </c>
      <c r="R1686" s="18" t="s">
        <v>8251</v>
      </c>
      <c r="S1686" s="17" t="s">
        <v>8244</v>
      </c>
      <c r="T1686" s="18" t="s">
        <v>2713</v>
      </c>
      <c r="U1686" s="19"/>
      <c r="V1686" s="18" t="s">
        <v>8252</v>
      </c>
      <c r="W1686" s="17" t="s">
        <v>240</v>
      </c>
      <c r="X1686" s="17" t="s">
        <v>2673</v>
      </c>
      <c r="Y1686" s="17" t="s">
        <v>242</v>
      </c>
      <c r="Z1686" s="19"/>
      <c r="AA1686" s="19"/>
      <c r="AB1686" s="17"/>
      <c r="AC1686" s="19"/>
    </row>
    <row r="1687" customFormat="false" ht="22.35" hidden="false" customHeight="false" outlineLevel="0" collapsed="false">
      <c r="A1687" s="10" t="s">
        <v>8253</v>
      </c>
      <c r="B1687" s="17" t="s">
        <v>124</v>
      </c>
      <c r="C1687" s="18" t="s">
        <v>125</v>
      </c>
      <c r="D1687" s="17" t="s">
        <v>20</v>
      </c>
      <c r="E1687" s="17" t="s">
        <v>75</v>
      </c>
      <c r="F1687" s="17" t="s">
        <v>7502</v>
      </c>
      <c r="G1687" s="17" t="s">
        <v>2607</v>
      </c>
      <c r="H1687" s="17" t="s">
        <v>34</v>
      </c>
      <c r="I1687" s="17" t="s">
        <v>333</v>
      </c>
      <c r="J1687" s="17" t="s">
        <v>7503</v>
      </c>
      <c r="K1687" s="19"/>
      <c r="L1687" s="19"/>
      <c r="M1687" s="19"/>
      <c r="N1687" s="19"/>
      <c r="O1687" s="17" t="n">
        <v>3</v>
      </c>
      <c r="P1687" s="18" t="s">
        <v>8245</v>
      </c>
      <c r="Q1687" s="18" t="s">
        <v>7860</v>
      </c>
      <c r="R1687" s="18" t="s">
        <v>8254</v>
      </c>
      <c r="S1687" s="17" t="s">
        <v>8244</v>
      </c>
      <c r="T1687" s="18" t="s">
        <v>8255</v>
      </c>
      <c r="U1687" s="19"/>
      <c r="V1687" s="18" t="s">
        <v>8256</v>
      </c>
      <c r="W1687" s="17" t="s">
        <v>240</v>
      </c>
      <c r="X1687" s="17" t="s">
        <v>8257</v>
      </c>
      <c r="Y1687" s="17" t="s">
        <v>242</v>
      </c>
      <c r="Z1687" s="19"/>
      <c r="AA1687" s="19"/>
      <c r="AB1687" s="17"/>
      <c r="AC1687" s="19"/>
    </row>
    <row r="1688" customFormat="false" ht="22.35" hidden="false" customHeight="false" outlineLevel="0" collapsed="false">
      <c r="A1688" s="10" t="s">
        <v>8258</v>
      </c>
      <c r="B1688" s="17" t="s">
        <v>124</v>
      </c>
      <c r="C1688" s="18" t="s">
        <v>125</v>
      </c>
      <c r="D1688" s="17" t="s">
        <v>20</v>
      </c>
      <c r="E1688" s="17" t="s">
        <v>75</v>
      </c>
      <c r="F1688" s="17" t="s">
        <v>7502</v>
      </c>
      <c r="G1688" s="17" t="s">
        <v>2607</v>
      </c>
      <c r="H1688" s="17" t="s">
        <v>34</v>
      </c>
      <c r="I1688" s="17" t="s">
        <v>333</v>
      </c>
      <c r="J1688" s="17" t="s">
        <v>7525</v>
      </c>
      <c r="K1688" s="19"/>
      <c r="L1688" s="19"/>
      <c r="M1688" s="19"/>
      <c r="N1688" s="19"/>
      <c r="O1688" s="17" t="n">
        <v>3</v>
      </c>
      <c r="P1688" s="18" t="s">
        <v>8245</v>
      </c>
      <c r="Q1688" s="18" t="s">
        <v>7860</v>
      </c>
      <c r="R1688" s="18" t="s">
        <v>8259</v>
      </c>
      <c r="S1688" s="17" t="s">
        <v>8244</v>
      </c>
      <c r="T1688" s="18" t="s">
        <v>8260</v>
      </c>
      <c r="U1688" s="19"/>
      <c r="V1688" s="18" t="s">
        <v>8261</v>
      </c>
      <c r="W1688" s="17" t="s">
        <v>240</v>
      </c>
      <c r="X1688" s="17" t="s">
        <v>8262</v>
      </c>
      <c r="Y1688" s="17" t="s">
        <v>242</v>
      </c>
      <c r="Z1688" s="19"/>
      <c r="AA1688" s="19"/>
      <c r="AB1688" s="17"/>
      <c r="AC1688" s="19"/>
    </row>
    <row r="1689" customFormat="false" ht="15" hidden="false" customHeight="false" outlineLevel="0" collapsed="false">
      <c r="A1689" s="10" t="s">
        <v>8263</v>
      </c>
      <c r="B1689" s="17" t="s">
        <v>124</v>
      </c>
      <c r="C1689" s="18" t="s">
        <v>125</v>
      </c>
      <c r="D1689" s="17" t="s">
        <v>20</v>
      </c>
      <c r="E1689" s="17" t="s">
        <v>75</v>
      </c>
      <c r="F1689" s="17" t="s">
        <v>7502</v>
      </c>
      <c r="G1689" s="17" t="s">
        <v>2607</v>
      </c>
      <c r="H1689" s="17" t="s">
        <v>34</v>
      </c>
      <c r="I1689" s="17" t="s">
        <v>283</v>
      </c>
      <c r="J1689" s="17" t="s">
        <v>7503</v>
      </c>
      <c r="K1689" s="19"/>
      <c r="L1689" s="19"/>
      <c r="M1689" s="19"/>
      <c r="N1689" s="19"/>
      <c r="O1689" s="17" t="n">
        <v>3</v>
      </c>
      <c r="P1689" s="18" t="s">
        <v>8245</v>
      </c>
      <c r="Q1689" s="18" t="s">
        <v>4948</v>
      </c>
      <c r="R1689" s="18" t="s">
        <v>8264</v>
      </c>
      <c r="S1689" s="17" t="s">
        <v>8265</v>
      </c>
      <c r="T1689" s="18" t="s">
        <v>8266</v>
      </c>
      <c r="U1689" s="19"/>
      <c r="V1689" s="18" t="s">
        <v>7560</v>
      </c>
      <c r="W1689" s="17" t="s">
        <v>240</v>
      </c>
      <c r="X1689" s="17" t="s">
        <v>7887</v>
      </c>
      <c r="Y1689" s="17" t="s">
        <v>242</v>
      </c>
      <c r="Z1689" s="19"/>
      <c r="AA1689" s="19"/>
      <c r="AB1689" s="17"/>
      <c r="AC1689" s="19"/>
    </row>
    <row r="1690" customFormat="false" ht="15" hidden="false" customHeight="false" outlineLevel="0" collapsed="false">
      <c r="A1690" s="10" t="s">
        <v>8267</v>
      </c>
      <c r="B1690" s="17" t="s">
        <v>81</v>
      </c>
      <c r="C1690" s="18" t="s">
        <v>82</v>
      </c>
      <c r="D1690" s="17" t="s">
        <v>20</v>
      </c>
      <c r="E1690" s="17" t="s">
        <v>75</v>
      </c>
      <c r="F1690" s="17" t="s">
        <v>7502</v>
      </c>
      <c r="G1690" s="17" t="s">
        <v>83</v>
      </c>
      <c r="H1690" s="17" t="s">
        <v>31</v>
      </c>
      <c r="I1690" s="17" t="s">
        <v>283</v>
      </c>
      <c r="J1690" s="17" t="s">
        <v>7503</v>
      </c>
      <c r="K1690" s="19"/>
      <c r="L1690" s="19"/>
      <c r="M1690" s="19"/>
      <c r="N1690" s="19"/>
      <c r="O1690" s="17" t="n">
        <v>3</v>
      </c>
      <c r="P1690" s="18" t="s">
        <v>8268</v>
      </c>
      <c r="Q1690" s="18" t="s">
        <v>7854</v>
      </c>
      <c r="R1690" s="18" t="s">
        <v>7855</v>
      </c>
      <c r="S1690" s="17" t="s">
        <v>7849</v>
      </c>
      <c r="T1690" s="18" t="s">
        <v>7856</v>
      </c>
      <c r="U1690" s="19"/>
      <c r="V1690" s="18" t="s">
        <v>7857</v>
      </c>
      <c r="W1690" s="17" t="s">
        <v>240</v>
      </c>
      <c r="X1690" s="17" t="s">
        <v>7858</v>
      </c>
      <c r="Y1690" s="17" t="s">
        <v>242</v>
      </c>
      <c r="Z1690" s="19"/>
      <c r="AA1690" s="19"/>
      <c r="AB1690" s="17"/>
      <c r="AC1690" s="19"/>
    </row>
    <row r="1691" customFormat="false" ht="32.8" hidden="false" customHeight="false" outlineLevel="0" collapsed="false">
      <c r="A1691" s="10" t="s">
        <v>8269</v>
      </c>
      <c r="B1691" s="17" t="s">
        <v>81</v>
      </c>
      <c r="C1691" s="18" t="s">
        <v>82</v>
      </c>
      <c r="D1691" s="17" t="s">
        <v>20</v>
      </c>
      <c r="E1691" s="17" t="s">
        <v>229</v>
      </c>
      <c r="F1691" s="17" t="s">
        <v>7502</v>
      </c>
      <c r="G1691" s="17" t="s">
        <v>83</v>
      </c>
      <c r="H1691" s="17" t="s">
        <v>31</v>
      </c>
      <c r="I1691" s="17" t="s">
        <v>277</v>
      </c>
      <c r="J1691" s="17" t="s">
        <v>7503</v>
      </c>
      <c r="K1691" s="19"/>
      <c r="L1691" s="19"/>
      <c r="M1691" s="19"/>
      <c r="N1691" s="19"/>
      <c r="O1691" s="17" t="n">
        <v>3</v>
      </c>
      <c r="P1691" s="18" t="s">
        <v>8268</v>
      </c>
      <c r="Q1691" s="18" t="s">
        <v>7860</v>
      </c>
      <c r="R1691" s="18" t="s">
        <v>8270</v>
      </c>
      <c r="S1691" s="17" t="s">
        <v>8267</v>
      </c>
      <c r="T1691" s="18" t="s">
        <v>8271</v>
      </c>
      <c r="U1691" s="19"/>
      <c r="V1691" s="18" t="s">
        <v>8272</v>
      </c>
      <c r="W1691" s="17" t="s">
        <v>240</v>
      </c>
      <c r="X1691" s="17" t="s">
        <v>7961</v>
      </c>
      <c r="Y1691" s="17" t="s">
        <v>242</v>
      </c>
      <c r="Z1691" s="19"/>
      <c r="AA1691" s="19"/>
      <c r="AB1691" s="17"/>
      <c r="AC1691" s="19"/>
    </row>
    <row r="1692" customFormat="false" ht="22.35" hidden="false" customHeight="false" outlineLevel="0" collapsed="false">
      <c r="A1692" s="10" t="s">
        <v>8273</v>
      </c>
      <c r="B1692" s="17" t="s">
        <v>81</v>
      </c>
      <c r="C1692" s="18" t="s">
        <v>82</v>
      </c>
      <c r="D1692" s="17" t="s">
        <v>20</v>
      </c>
      <c r="E1692" s="17" t="s">
        <v>229</v>
      </c>
      <c r="F1692" s="17" t="s">
        <v>7502</v>
      </c>
      <c r="G1692" s="17" t="s">
        <v>83</v>
      </c>
      <c r="H1692" s="17" t="s">
        <v>31</v>
      </c>
      <c r="I1692" s="17" t="s">
        <v>450</v>
      </c>
      <c r="J1692" s="17" t="s">
        <v>7580</v>
      </c>
      <c r="K1692" s="19"/>
      <c r="L1692" s="19"/>
      <c r="M1692" s="19"/>
      <c r="N1692" s="19"/>
      <c r="O1692" s="17" t="n">
        <v>3</v>
      </c>
      <c r="P1692" s="18" t="s">
        <v>8268</v>
      </c>
      <c r="Q1692" s="18" t="s">
        <v>7860</v>
      </c>
      <c r="R1692" s="18" t="s">
        <v>8274</v>
      </c>
      <c r="S1692" s="17" t="s">
        <v>8267</v>
      </c>
      <c r="T1692" s="18" t="s">
        <v>8275</v>
      </c>
      <c r="U1692" s="19"/>
      <c r="V1692" s="18" t="s">
        <v>8276</v>
      </c>
      <c r="W1692" s="17" t="s">
        <v>240</v>
      </c>
      <c r="X1692" s="17" t="s">
        <v>7961</v>
      </c>
      <c r="Y1692" s="17" t="s">
        <v>242</v>
      </c>
      <c r="Z1692" s="19"/>
      <c r="AA1692" s="19"/>
      <c r="AB1692" s="17"/>
      <c r="AC1692" s="19"/>
    </row>
    <row r="1693" customFormat="false" ht="22.35" hidden="false" customHeight="false" outlineLevel="0" collapsed="false">
      <c r="A1693" s="10" t="s">
        <v>8277</v>
      </c>
      <c r="B1693" s="17" t="s">
        <v>81</v>
      </c>
      <c r="C1693" s="18" t="s">
        <v>82</v>
      </c>
      <c r="D1693" s="17" t="s">
        <v>20</v>
      </c>
      <c r="E1693" s="17" t="s">
        <v>229</v>
      </c>
      <c r="F1693" s="17" t="s">
        <v>7502</v>
      </c>
      <c r="G1693" s="17" t="s">
        <v>83</v>
      </c>
      <c r="H1693" s="17" t="s">
        <v>31</v>
      </c>
      <c r="I1693" s="17" t="s">
        <v>277</v>
      </c>
      <c r="J1693" s="17" t="s">
        <v>7575</v>
      </c>
      <c r="K1693" s="19"/>
      <c r="L1693" s="19"/>
      <c r="M1693" s="19"/>
      <c r="N1693" s="19"/>
      <c r="O1693" s="17" t="n">
        <v>3</v>
      </c>
      <c r="P1693" s="18" t="s">
        <v>8268</v>
      </c>
      <c r="Q1693" s="18" t="s">
        <v>7860</v>
      </c>
      <c r="R1693" s="18" t="s">
        <v>8278</v>
      </c>
      <c r="S1693" s="17" t="s">
        <v>8267</v>
      </c>
      <c r="T1693" s="18" t="s">
        <v>8279</v>
      </c>
      <c r="U1693" s="19"/>
      <c r="V1693" s="18" t="s">
        <v>8280</v>
      </c>
      <c r="W1693" s="17" t="s">
        <v>240</v>
      </c>
      <c r="X1693" s="17" t="s">
        <v>7961</v>
      </c>
      <c r="Y1693" s="17" t="s">
        <v>242</v>
      </c>
      <c r="Z1693" s="19"/>
      <c r="AA1693" s="19"/>
      <c r="AB1693" s="17"/>
      <c r="AC1693" s="19"/>
    </row>
    <row r="1694" customFormat="false" ht="22.35" hidden="false" customHeight="false" outlineLevel="0" collapsed="false">
      <c r="A1694" s="10" t="s">
        <v>8281</v>
      </c>
      <c r="B1694" s="17" t="s">
        <v>81</v>
      </c>
      <c r="C1694" s="18" t="s">
        <v>82</v>
      </c>
      <c r="D1694" s="17" t="s">
        <v>20</v>
      </c>
      <c r="E1694" s="17" t="s">
        <v>229</v>
      </c>
      <c r="F1694" s="17" t="s">
        <v>7502</v>
      </c>
      <c r="G1694" s="17" t="s">
        <v>83</v>
      </c>
      <c r="H1694" s="17" t="s">
        <v>31</v>
      </c>
      <c r="I1694" s="17" t="s">
        <v>277</v>
      </c>
      <c r="J1694" s="17" t="s">
        <v>7503</v>
      </c>
      <c r="K1694" s="19"/>
      <c r="L1694" s="19"/>
      <c r="M1694" s="19"/>
      <c r="N1694" s="19"/>
      <c r="O1694" s="17" t="n">
        <v>3</v>
      </c>
      <c r="P1694" s="18" t="s">
        <v>8268</v>
      </c>
      <c r="Q1694" s="18" t="s">
        <v>7860</v>
      </c>
      <c r="R1694" s="18" t="s">
        <v>8282</v>
      </c>
      <c r="S1694" s="17" t="s">
        <v>8267</v>
      </c>
      <c r="T1694" s="18" t="s">
        <v>8283</v>
      </c>
      <c r="U1694" s="19"/>
      <c r="V1694" s="18" t="s">
        <v>8284</v>
      </c>
      <c r="W1694" s="17" t="s">
        <v>383</v>
      </c>
      <c r="X1694" s="17" t="s">
        <v>7961</v>
      </c>
      <c r="Y1694" s="17" t="s">
        <v>242</v>
      </c>
      <c r="Z1694" s="19"/>
      <c r="AA1694" s="19"/>
      <c r="AB1694" s="17"/>
      <c r="AC1694" s="19"/>
    </row>
    <row r="1695" customFormat="false" ht="22.35" hidden="false" customHeight="false" outlineLevel="0" collapsed="false">
      <c r="A1695" s="10" t="s">
        <v>8285</v>
      </c>
      <c r="B1695" s="17" t="s">
        <v>81</v>
      </c>
      <c r="C1695" s="18" t="s">
        <v>82</v>
      </c>
      <c r="D1695" s="17" t="s">
        <v>20</v>
      </c>
      <c r="E1695" s="17" t="s">
        <v>229</v>
      </c>
      <c r="F1695" s="17" t="s">
        <v>7502</v>
      </c>
      <c r="G1695" s="17" t="s">
        <v>83</v>
      </c>
      <c r="H1695" s="17" t="s">
        <v>31</v>
      </c>
      <c r="I1695" s="17" t="s">
        <v>450</v>
      </c>
      <c r="J1695" s="17" t="s">
        <v>7580</v>
      </c>
      <c r="K1695" s="19"/>
      <c r="L1695" s="19"/>
      <c r="M1695" s="19"/>
      <c r="N1695" s="19"/>
      <c r="O1695" s="17" t="n">
        <v>3</v>
      </c>
      <c r="P1695" s="18" t="s">
        <v>8268</v>
      </c>
      <c r="Q1695" s="18" t="s">
        <v>7860</v>
      </c>
      <c r="R1695" s="18" t="s">
        <v>8286</v>
      </c>
      <c r="S1695" s="17" t="s">
        <v>8267</v>
      </c>
      <c r="T1695" s="18" t="s">
        <v>8287</v>
      </c>
      <c r="U1695" s="19"/>
      <c r="V1695" s="18" t="s">
        <v>8288</v>
      </c>
      <c r="W1695" s="17" t="s">
        <v>240</v>
      </c>
      <c r="X1695" s="17" t="s">
        <v>7961</v>
      </c>
      <c r="Y1695" s="17" t="s">
        <v>242</v>
      </c>
      <c r="Z1695" s="19"/>
      <c r="AA1695" s="19"/>
      <c r="AB1695" s="17"/>
      <c r="AC1695" s="19"/>
    </row>
    <row r="1696" customFormat="false" ht="15" hidden="false" customHeight="false" outlineLevel="0" collapsed="false">
      <c r="A1696" s="10" t="s">
        <v>8289</v>
      </c>
      <c r="B1696" s="17" t="s">
        <v>81</v>
      </c>
      <c r="C1696" s="18" t="s">
        <v>82</v>
      </c>
      <c r="D1696" s="17" t="s">
        <v>20</v>
      </c>
      <c r="E1696" s="17" t="s">
        <v>75</v>
      </c>
      <c r="F1696" s="17" t="s">
        <v>7502</v>
      </c>
      <c r="G1696" s="17" t="s">
        <v>83</v>
      </c>
      <c r="H1696" s="17" t="s">
        <v>31</v>
      </c>
      <c r="I1696" s="17" t="s">
        <v>283</v>
      </c>
      <c r="J1696" s="17" t="s">
        <v>7503</v>
      </c>
      <c r="K1696" s="19"/>
      <c r="L1696" s="19"/>
      <c r="M1696" s="19"/>
      <c r="N1696" s="19"/>
      <c r="O1696" s="17" t="n">
        <v>3</v>
      </c>
      <c r="P1696" s="18" t="s">
        <v>8268</v>
      </c>
      <c r="Q1696" s="18" t="s">
        <v>4948</v>
      </c>
      <c r="R1696" s="18" t="s">
        <v>8290</v>
      </c>
      <c r="S1696" s="17" t="s">
        <v>8291</v>
      </c>
      <c r="T1696" s="18" t="s">
        <v>8292</v>
      </c>
      <c r="U1696" s="19"/>
      <c r="V1696" s="18" t="s">
        <v>7560</v>
      </c>
      <c r="W1696" s="17" t="s">
        <v>240</v>
      </c>
      <c r="X1696" s="17" t="s">
        <v>7887</v>
      </c>
      <c r="Y1696" s="17" t="s">
        <v>242</v>
      </c>
      <c r="Z1696" s="19"/>
      <c r="AA1696" s="19"/>
      <c r="AB1696" s="17"/>
      <c r="AC1696" s="19"/>
    </row>
    <row r="1697" customFormat="false" ht="15" hidden="false" customHeight="false" outlineLevel="0" collapsed="false">
      <c r="A1697" s="10" t="s">
        <v>8293</v>
      </c>
      <c r="B1697" s="17" t="s">
        <v>84</v>
      </c>
      <c r="C1697" s="18" t="s">
        <v>85</v>
      </c>
      <c r="D1697" s="17" t="s">
        <v>20</v>
      </c>
      <c r="E1697" s="17" t="s">
        <v>75</v>
      </c>
      <c r="F1697" s="17" t="s">
        <v>7502</v>
      </c>
      <c r="G1697" s="17" t="s">
        <v>86</v>
      </c>
      <c r="H1697" s="17" t="s">
        <v>31</v>
      </c>
      <c r="I1697" s="17" t="s">
        <v>283</v>
      </c>
      <c r="J1697" s="17" t="s">
        <v>7503</v>
      </c>
      <c r="K1697" s="19"/>
      <c r="L1697" s="19"/>
      <c r="M1697" s="19"/>
      <c r="N1697" s="19"/>
      <c r="O1697" s="17" t="n">
        <v>2</v>
      </c>
      <c r="P1697" s="18" t="s">
        <v>8294</v>
      </c>
      <c r="Q1697" s="18" t="s">
        <v>7854</v>
      </c>
      <c r="R1697" s="18" t="s">
        <v>7855</v>
      </c>
      <c r="S1697" s="17" t="s">
        <v>7849</v>
      </c>
      <c r="T1697" s="18" t="s">
        <v>7856</v>
      </c>
      <c r="U1697" s="19"/>
      <c r="V1697" s="18" t="s">
        <v>7857</v>
      </c>
      <c r="W1697" s="17" t="s">
        <v>240</v>
      </c>
      <c r="X1697" s="17" t="s">
        <v>7858</v>
      </c>
      <c r="Y1697" s="17" t="s">
        <v>242</v>
      </c>
      <c r="Z1697" s="19"/>
      <c r="AA1697" s="19"/>
      <c r="AB1697" s="17"/>
      <c r="AC1697" s="19"/>
    </row>
    <row r="1698" customFormat="false" ht="22.35" hidden="false" customHeight="false" outlineLevel="0" collapsed="false">
      <c r="A1698" s="10" t="s">
        <v>8295</v>
      </c>
      <c r="B1698" s="17" t="s">
        <v>84</v>
      </c>
      <c r="C1698" s="18" t="s">
        <v>85</v>
      </c>
      <c r="D1698" s="17" t="s">
        <v>20</v>
      </c>
      <c r="E1698" s="17" t="s">
        <v>75</v>
      </c>
      <c r="F1698" s="17" t="s">
        <v>7502</v>
      </c>
      <c r="G1698" s="17" t="s">
        <v>86</v>
      </c>
      <c r="H1698" s="17" t="s">
        <v>31</v>
      </c>
      <c r="I1698" s="17" t="s">
        <v>277</v>
      </c>
      <c r="J1698" s="17" t="s">
        <v>7503</v>
      </c>
      <c r="K1698" s="19"/>
      <c r="L1698" s="19"/>
      <c r="M1698" s="19"/>
      <c r="N1698" s="19"/>
      <c r="O1698" s="17" t="n">
        <v>2</v>
      </c>
      <c r="P1698" s="18" t="s">
        <v>8294</v>
      </c>
      <c r="Q1698" s="18" t="s">
        <v>7860</v>
      </c>
      <c r="R1698" s="18" t="s">
        <v>8296</v>
      </c>
      <c r="S1698" s="17" t="s">
        <v>8293</v>
      </c>
      <c r="T1698" s="18" t="s">
        <v>8297</v>
      </c>
      <c r="U1698" s="19"/>
      <c r="V1698" s="18" t="s">
        <v>8298</v>
      </c>
      <c r="W1698" s="17" t="s">
        <v>240</v>
      </c>
      <c r="X1698" s="17" t="s">
        <v>8299</v>
      </c>
      <c r="Y1698" s="17" t="s">
        <v>242</v>
      </c>
      <c r="Z1698" s="19"/>
      <c r="AA1698" s="19"/>
      <c r="AB1698" s="17"/>
      <c r="AC1698" s="19"/>
    </row>
    <row r="1699" customFormat="false" ht="22.35" hidden="false" customHeight="false" outlineLevel="0" collapsed="false">
      <c r="A1699" s="10" t="s">
        <v>8300</v>
      </c>
      <c r="B1699" s="17" t="s">
        <v>84</v>
      </c>
      <c r="C1699" s="18" t="s">
        <v>85</v>
      </c>
      <c r="D1699" s="17" t="s">
        <v>20</v>
      </c>
      <c r="E1699" s="17" t="s">
        <v>75</v>
      </c>
      <c r="F1699" s="17" t="s">
        <v>7502</v>
      </c>
      <c r="G1699" s="17" t="s">
        <v>86</v>
      </c>
      <c r="H1699" s="17" t="s">
        <v>31</v>
      </c>
      <c r="I1699" s="17" t="s">
        <v>277</v>
      </c>
      <c r="J1699" s="17" t="s">
        <v>7503</v>
      </c>
      <c r="K1699" s="19"/>
      <c r="L1699" s="19"/>
      <c r="M1699" s="19"/>
      <c r="N1699" s="19"/>
      <c r="O1699" s="17" t="n">
        <v>2</v>
      </c>
      <c r="P1699" s="18" t="s">
        <v>8294</v>
      </c>
      <c r="Q1699" s="18" t="s">
        <v>7860</v>
      </c>
      <c r="R1699" s="18" t="s">
        <v>8301</v>
      </c>
      <c r="S1699" s="17" t="s">
        <v>8293</v>
      </c>
      <c r="T1699" s="18" t="s">
        <v>8302</v>
      </c>
      <c r="U1699" s="19"/>
      <c r="V1699" s="18" t="s">
        <v>8303</v>
      </c>
      <c r="W1699" s="17" t="s">
        <v>240</v>
      </c>
      <c r="X1699" s="17" t="s">
        <v>8299</v>
      </c>
      <c r="Y1699" s="17" t="s">
        <v>242</v>
      </c>
      <c r="Z1699" s="19"/>
      <c r="AA1699" s="19"/>
      <c r="AB1699" s="17"/>
      <c r="AC1699" s="19"/>
    </row>
    <row r="1700" customFormat="false" ht="22.35" hidden="false" customHeight="false" outlineLevel="0" collapsed="false">
      <c r="A1700" s="10" t="s">
        <v>8304</v>
      </c>
      <c r="B1700" s="17" t="s">
        <v>84</v>
      </c>
      <c r="C1700" s="18" t="s">
        <v>85</v>
      </c>
      <c r="D1700" s="17" t="s">
        <v>20</v>
      </c>
      <c r="E1700" s="17" t="s">
        <v>229</v>
      </c>
      <c r="F1700" s="17" t="s">
        <v>7502</v>
      </c>
      <c r="G1700" s="17" t="s">
        <v>86</v>
      </c>
      <c r="H1700" s="17" t="s">
        <v>31</v>
      </c>
      <c r="I1700" s="17" t="s">
        <v>450</v>
      </c>
      <c r="J1700" s="17" t="s">
        <v>7530</v>
      </c>
      <c r="K1700" s="19"/>
      <c r="L1700" s="19"/>
      <c r="M1700" s="19"/>
      <c r="N1700" s="19"/>
      <c r="O1700" s="17" t="n">
        <v>2</v>
      </c>
      <c r="P1700" s="18" t="s">
        <v>8294</v>
      </c>
      <c r="Q1700" s="18" t="s">
        <v>7860</v>
      </c>
      <c r="R1700" s="18" t="s">
        <v>8305</v>
      </c>
      <c r="S1700" s="17" t="s">
        <v>8293</v>
      </c>
      <c r="T1700" s="18" t="s">
        <v>8306</v>
      </c>
      <c r="U1700" s="19"/>
      <c r="V1700" s="18" t="s">
        <v>8307</v>
      </c>
      <c r="W1700" s="17" t="s">
        <v>240</v>
      </c>
      <c r="X1700" s="17" t="s">
        <v>8226</v>
      </c>
      <c r="Y1700" s="17" t="s">
        <v>242</v>
      </c>
      <c r="Z1700" s="19"/>
      <c r="AA1700" s="19"/>
      <c r="AB1700" s="17"/>
      <c r="AC1700" s="19"/>
    </row>
    <row r="1701" customFormat="false" ht="22.35" hidden="false" customHeight="false" outlineLevel="0" collapsed="false">
      <c r="A1701" s="10" t="s">
        <v>8308</v>
      </c>
      <c r="B1701" s="17" t="s">
        <v>84</v>
      </c>
      <c r="C1701" s="18" t="s">
        <v>85</v>
      </c>
      <c r="D1701" s="17" t="s">
        <v>20</v>
      </c>
      <c r="E1701" s="17" t="s">
        <v>75</v>
      </c>
      <c r="F1701" s="17" t="s">
        <v>7502</v>
      </c>
      <c r="G1701" s="17" t="s">
        <v>86</v>
      </c>
      <c r="H1701" s="17" t="s">
        <v>31</v>
      </c>
      <c r="I1701" s="17" t="s">
        <v>277</v>
      </c>
      <c r="J1701" s="17" t="s">
        <v>7580</v>
      </c>
      <c r="K1701" s="19"/>
      <c r="L1701" s="19"/>
      <c r="M1701" s="19"/>
      <c r="N1701" s="19"/>
      <c r="O1701" s="17" t="n">
        <v>2</v>
      </c>
      <c r="P1701" s="18" t="s">
        <v>8294</v>
      </c>
      <c r="Q1701" s="18" t="s">
        <v>7860</v>
      </c>
      <c r="R1701" s="18" t="s">
        <v>8309</v>
      </c>
      <c r="S1701" s="17" t="s">
        <v>8293</v>
      </c>
      <c r="T1701" s="18" t="s">
        <v>8310</v>
      </c>
      <c r="U1701" s="19"/>
      <c r="V1701" s="18" t="s">
        <v>8311</v>
      </c>
      <c r="W1701" s="17" t="s">
        <v>240</v>
      </c>
      <c r="X1701" s="17" t="s">
        <v>8312</v>
      </c>
      <c r="Y1701" s="17" t="s">
        <v>242</v>
      </c>
      <c r="Z1701" s="19"/>
      <c r="AA1701" s="19"/>
      <c r="AB1701" s="17"/>
      <c r="AC1701" s="19"/>
    </row>
    <row r="1702" customFormat="false" ht="15" hidden="false" customHeight="false" outlineLevel="0" collapsed="false">
      <c r="A1702" s="10" t="s">
        <v>8313</v>
      </c>
      <c r="B1702" s="17" t="s">
        <v>84</v>
      </c>
      <c r="C1702" s="18" t="s">
        <v>85</v>
      </c>
      <c r="D1702" s="17" t="s">
        <v>20</v>
      </c>
      <c r="E1702" s="17" t="s">
        <v>75</v>
      </c>
      <c r="F1702" s="17" t="s">
        <v>7502</v>
      </c>
      <c r="G1702" s="17" t="s">
        <v>86</v>
      </c>
      <c r="H1702" s="17" t="s">
        <v>31</v>
      </c>
      <c r="I1702" s="17" t="s">
        <v>283</v>
      </c>
      <c r="J1702" s="17" t="s">
        <v>7503</v>
      </c>
      <c r="K1702" s="19"/>
      <c r="L1702" s="19"/>
      <c r="M1702" s="19"/>
      <c r="N1702" s="19"/>
      <c r="O1702" s="17" t="n">
        <v>2</v>
      </c>
      <c r="P1702" s="18" t="s">
        <v>8294</v>
      </c>
      <c r="Q1702" s="18" t="s">
        <v>4948</v>
      </c>
      <c r="R1702" s="18" t="s">
        <v>8314</v>
      </c>
      <c r="S1702" s="17" t="s">
        <v>8315</v>
      </c>
      <c r="T1702" s="18" t="s">
        <v>8316</v>
      </c>
      <c r="U1702" s="19"/>
      <c r="V1702" s="18" t="s">
        <v>7560</v>
      </c>
      <c r="W1702" s="17" t="s">
        <v>240</v>
      </c>
      <c r="X1702" s="17" t="s">
        <v>7887</v>
      </c>
      <c r="Y1702" s="17" t="s">
        <v>242</v>
      </c>
      <c r="Z1702" s="19"/>
      <c r="AA1702" s="19"/>
      <c r="AB1702" s="17"/>
      <c r="AC1702" s="19"/>
    </row>
    <row r="1703" customFormat="false" ht="15" hidden="false" customHeight="false" outlineLevel="0" collapsed="false">
      <c r="A1703" s="10" t="s">
        <v>8317</v>
      </c>
      <c r="B1703" s="17" t="s">
        <v>88</v>
      </c>
      <c r="C1703" s="18" t="s">
        <v>89</v>
      </c>
      <c r="D1703" s="17" t="s">
        <v>20</v>
      </c>
      <c r="E1703" s="17" t="s">
        <v>75</v>
      </c>
      <c r="F1703" s="17" t="s">
        <v>7502</v>
      </c>
      <c r="G1703" s="17" t="s">
        <v>90</v>
      </c>
      <c r="H1703" s="17" t="s">
        <v>31</v>
      </c>
      <c r="I1703" s="17" t="s">
        <v>283</v>
      </c>
      <c r="J1703" s="17" t="s">
        <v>7503</v>
      </c>
      <c r="K1703" s="19"/>
      <c r="L1703" s="19"/>
      <c r="M1703" s="19"/>
      <c r="N1703" s="19"/>
      <c r="O1703" s="17" t="n">
        <v>2</v>
      </c>
      <c r="P1703" s="18" t="s">
        <v>8318</v>
      </c>
      <c r="Q1703" s="18" t="s">
        <v>7854</v>
      </c>
      <c r="R1703" s="18" t="s">
        <v>7855</v>
      </c>
      <c r="S1703" s="17" t="s">
        <v>7849</v>
      </c>
      <c r="T1703" s="18" t="s">
        <v>7856</v>
      </c>
      <c r="U1703" s="19"/>
      <c r="V1703" s="18" t="s">
        <v>7857</v>
      </c>
      <c r="W1703" s="17" t="s">
        <v>240</v>
      </c>
      <c r="X1703" s="17" t="s">
        <v>7858</v>
      </c>
      <c r="Y1703" s="17" t="s">
        <v>242</v>
      </c>
      <c r="Z1703" s="19"/>
      <c r="AA1703" s="19"/>
      <c r="AB1703" s="17"/>
      <c r="AC1703" s="19"/>
    </row>
    <row r="1704" customFormat="false" ht="22.35" hidden="false" customHeight="false" outlineLevel="0" collapsed="false">
      <c r="A1704" s="10" t="s">
        <v>8319</v>
      </c>
      <c r="B1704" s="17" t="s">
        <v>88</v>
      </c>
      <c r="C1704" s="18" t="s">
        <v>89</v>
      </c>
      <c r="D1704" s="17" t="s">
        <v>20</v>
      </c>
      <c r="E1704" s="17" t="s">
        <v>75</v>
      </c>
      <c r="F1704" s="17" t="s">
        <v>7502</v>
      </c>
      <c r="G1704" s="17" t="s">
        <v>90</v>
      </c>
      <c r="H1704" s="17" t="s">
        <v>31</v>
      </c>
      <c r="I1704" s="17" t="s">
        <v>277</v>
      </c>
      <c r="J1704" s="17" t="s">
        <v>7525</v>
      </c>
      <c r="K1704" s="19"/>
      <c r="L1704" s="19"/>
      <c r="M1704" s="19"/>
      <c r="N1704" s="19"/>
      <c r="O1704" s="17" t="n">
        <v>2</v>
      </c>
      <c r="P1704" s="18" t="s">
        <v>8318</v>
      </c>
      <c r="Q1704" s="18" t="s">
        <v>7860</v>
      </c>
      <c r="R1704" s="18" t="s">
        <v>8320</v>
      </c>
      <c r="S1704" s="17" t="s">
        <v>8317</v>
      </c>
      <c r="T1704" s="18" t="s">
        <v>8321</v>
      </c>
      <c r="U1704" s="19"/>
      <c r="V1704" s="18" t="s">
        <v>8322</v>
      </c>
      <c r="W1704" s="17" t="s">
        <v>240</v>
      </c>
      <c r="X1704" s="17" t="s">
        <v>8323</v>
      </c>
      <c r="Y1704" s="17" t="s">
        <v>242</v>
      </c>
      <c r="Z1704" s="19"/>
      <c r="AA1704" s="19"/>
      <c r="AB1704" s="17"/>
      <c r="AC1704" s="19"/>
    </row>
    <row r="1705" customFormat="false" ht="22.35" hidden="false" customHeight="false" outlineLevel="0" collapsed="false">
      <c r="A1705" s="10" t="s">
        <v>8324</v>
      </c>
      <c r="B1705" s="17" t="s">
        <v>88</v>
      </c>
      <c r="C1705" s="18" t="s">
        <v>89</v>
      </c>
      <c r="D1705" s="17" t="s">
        <v>20</v>
      </c>
      <c r="E1705" s="17" t="s">
        <v>75</v>
      </c>
      <c r="F1705" s="17" t="s">
        <v>7502</v>
      </c>
      <c r="G1705" s="17" t="s">
        <v>90</v>
      </c>
      <c r="H1705" s="17" t="s">
        <v>31</v>
      </c>
      <c r="I1705" s="17" t="s">
        <v>277</v>
      </c>
      <c r="J1705" s="17" t="s">
        <v>7525</v>
      </c>
      <c r="K1705" s="19"/>
      <c r="L1705" s="19"/>
      <c r="M1705" s="19"/>
      <c r="N1705" s="19"/>
      <c r="O1705" s="17" t="n">
        <v>2</v>
      </c>
      <c r="P1705" s="18" t="s">
        <v>8318</v>
      </c>
      <c r="Q1705" s="18" t="s">
        <v>7860</v>
      </c>
      <c r="R1705" s="18" t="s">
        <v>8325</v>
      </c>
      <c r="S1705" s="17" t="s">
        <v>8317</v>
      </c>
      <c r="T1705" s="18" t="s">
        <v>8326</v>
      </c>
      <c r="U1705" s="19"/>
      <c r="V1705" s="18" t="s">
        <v>8327</v>
      </c>
      <c r="W1705" s="17" t="s">
        <v>240</v>
      </c>
      <c r="X1705" s="17" t="s">
        <v>8328</v>
      </c>
      <c r="Y1705" s="17" t="s">
        <v>242</v>
      </c>
      <c r="Z1705" s="19"/>
      <c r="AA1705" s="19"/>
      <c r="AB1705" s="17"/>
      <c r="AC1705" s="19"/>
    </row>
    <row r="1706" customFormat="false" ht="22.35" hidden="false" customHeight="false" outlineLevel="0" collapsed="false">
      <c r="A1706" s="10" t="s">
        <v>8329</v>
      </c>
      <c r="B1706" s="17" t="s">
        <v>88</v>
      </c>
      <c r="C1706" s="18" t="s">
        <v>89</v>
      </c>
      <c r="D1706" s="17" t="s">
        <v>20</v>
      </c>
      <c r="E1706" s="17" t="s">
        <v>75</v>
      </c>
      <c r="F1706" s="17" t="s">
        <v>7502</v>
      </c>
      <c r="G1706" s="17" t="s">
        <v>90</v>
      </c>
      <c r="H1706" s="17" t="s">
        <v>31</v>
      </c>
      <c r="I1706" s="17" t="s">
        <v>277</v>
      </c>
      <c r="J1706" s="17" t="s">
        <v>7515</v>
      </c>
      <c r="K1706" s="19"/>
      <c r="L1706" s="19"/>
      <c r="M1706" s="19"/>
      <c r="N1706" s="19"/>
      <c r="O1706" s="17" t="n">
        <v>2</v>
      </c>
      <c r="P1706" s="18" t="s">
        <v>8318</v>
      </c>
      <c r="Q1706" s="18" t="s">
        <v>7860</v>
      </c>
      <c r="R1706" s="18" t="s">
        <v>8330</v>
      </c>
      <c r="S1706" s="17" t="s">
        <v>8317</v>
      </c>
      <c r="T1706" s="18" t="s">
        <v>8331</v>
      </c>
      <c r="U1706" s="19"/>
      <c r="V1706" s="18" t="s">
        <v>8332</v>
      </c>
      <c r="W1706" s="17" t="s">
        <v>240</v>
      </c>
      <c r="X1706" s="17" t="s">
        <v>8333</v>
      </c>
      <c r="Y1706" s="17" t="s">
        <v>242</v>
      </c>
      <c r="Z1706" s="19"/>
      <c r="AA1706" s="19"/>
      <c r="AB1706" s="17"/>
      <c r="AC1706" s="19"/>
    </row>
    <row r="1707" customFormat="false" ht="22.35" hidden="false" customHeight="false" outlineLevel="0" collapsed="false">
      <c r="A1707" s="10" t="s">
        <v>8334</v>
      </c>
      <c r="B1707" s="17" t="s">
        <v>88</v>
      </c>
      <c r="C1707" s="18" t="s">
        <v>89</v>
      </c>
      <c r="D1707" s="17" t="s">
        <v>20</v>
      </c>
      <c r="E1707" s="17" t="s">
        <v>75</v>
      </c>
      <c r="F1707" s="17" t="s">
        <v>7502</v>
      </c>
      <c r="G1707" s="17" t="s">
        <v>90</v>
      </c>
      <c r="H1707" s="17" t="s">
        <v>31</v>
      </c>
      <c r="I1707" s="17" t="s">
        <v>277</v>
      </c>
      <c r="J1707" s="17" t="s">
        <v>7530</v>
      </c>
      <c r="K1707" s="19"/>
      <c r="L1707" s="19"/>
      <c r="M1707" s="19"/>
      <c r="N1707" s="19"/>
      <c r="O1707" s="17" t="n">
        <v>2</v>
      </c>
      <c r="P1707" s="18" t="s">
        <v>8318</v>
      </c>
      <c r="Q1707" s="18" t="s">
        <v>7860</v>
      </c>
      <c r="R1707" s="18" t="s">
        <v>8335</v>
      </c>
      <c r="S1707" s="17" t="s">
        <v>8317</v>
      </c>
      <c r="T1707" s="18" t="s">
        <v>8336</v>
      </c>
      <c r="U1707" s="19"/>
      <c r="V1707" s="18" t="s">
        <v>8337</v>
      </c>
      <c r="W1707" s="17" t="s">
        <v>240</v>
      </c>
      <c r="X1707" s="17" t="s">
        <v>8338</v>
      </c>
      <c r="Y1707" s="17" t="s">
        <v>242</v>
      </c>
      <c r="Z1707" s="19"/>
      <c r="AA1707" s="19"/>
      <c r="AB1707" s="17"/>
      <c r="AC1707" s="19"/>
    </row>
    <row r="1708" customFormat="false" ht="22.35" hidden="false" customHeight="false" outlineLevel="0" collapsed="false">
      <c r="A1708" s="10" t="s">
        <v>8339</v>
      </c>
      <c r="B1708" s="17" t="s">
        <v>88</v>
      </c>
      <c r="C1708" s="18" t="s">
        <v>89</v>
      </c>
      <c r="D1708" s="17" t="s">
        <v>20</v>
      </c>
      <c r="E1708" s="17" t="s">
        <v>75</v>
      </c>
      <c r="F1708" s="17" t="s">
        <v>7502</v>
      </c>
      <c r="G1708" s="17" t="s">
        <v>90</v>
      </c>
      <c r="H1708" s="17" t="s">
        <v>31</v>
      </c>
      <c r="I1708" s="17" t="s">
        <v>277</v>
      </c>
      <c r="J1708" s="17" t="s">
        <v>7503</v>
      </c>
      <c r="K1708" s="19"/>
      <c r="L1708" s="19"/>
      <c r="M1708" s="19"/>
      <c r="N1708" s="19"/>
      <c r="O1708" s="17" t="n">
        <v>2</v>
      </c>
      <c r="P1708" s="18" t="s">
        <v>8318</v>
      </c>
      <c r="Q1708" s="18" t="s">
        <v>7860</v>
      </c>
      <c r="R1708" s="18" t="s">
        <v>8340</v>
      </c>
      <c r="S1708" s="17" t="s">
        <v>8317</v>
      </c>
      <c r="T1708" s="18" t="s">
        <v>8341</v>
      </c>
      <c r="U1708" s="19"/>
      <c r="V1708" s="18" t="s">
        <v>8342</v>
      </c>
      <c r="W1708" s="17" t="s">
        <v>240</v>
      </c>
      <c r="X1708" s="17" t="s">
        <v>8338</v>
      </c>
      <c r="Y1708" s="17" t="s">
        <v>242</v>
      </c>
      <c r="Z1708" s="19"/>
      <c r="AA1708" s="19"/>
      <c r="AB1708" s="17"/>
      <c r="AC1708" s="19"/>
    </row>
    <row r="1709" customFormat="false" ht="15" hidden="false" customHeight="false" outlineLevel="0" collapsed="false">
      <c r="A1709" s="10" t="s">
        <v>8343</v>
      </c>
      <c r="B1709" s="17" t="s">
        <v>88</v>
      </c>
      <c r="C1709" s="18" t="s">
        <v>89</v>
      </c>
      <c r="D1709" s="17" t="s">
        <v>20</v>
      </c>
      <c r="E1709" s="17" t="s">
        <v>75</v>
      </c>
      <c r="F1709" s="17" t="s">
        <v>7502</v>
      </c>
      <c r="G1709" s="17" t="s">
        <v>90</v>
      </c>
      <c r="H1709" s="17" t="s">
        <v>31</v>
      </c>
      <c r="I1709" s="17" t="s">
        <v>283</v>
      </c>
      <c r="J1709" s="17" t="s">
        <v>7503</v>
      </c>
      <c r="K1709" s="19"/>
      <c r="L1709" s="19"/>
      <c r="M1709" s="19"/>
      <c r="N1709" s="19"/>
      <c r="O1709" s="17" t="n">
        <v>2</v>
      </c>
      <c r="P1709" s="18" t="s">
        <v>8318</v>
      </c>
      <c r="Q1709" s="18" t="s">
        <v>4948</v>
      </c>
      <c r="R1709" s="18" t="s">
        <v>8344</v>
      </c>
      <c r="S1709" s="17" t="s">
        <v>8345</v>
      </c>
      <c r="T1709" s="18" t="s">
        <v>8346</v>
      </c>
      <c r="U1709" s="19"/>
      <c r="V1709" s="18" t="s">
        <v>7560</v>
      </c>
      <c r="W1709" s="17" t="s">
        <v>240</v>
      </c>
      <c r="X1709" s="17" t="s">
        <v>7887</v>
      </c>
      <c r="Y1709" s="17" t="s">
        <v>242</v>
      </c>
      <c r="Z1709" s="19"/>
      <c r="AA1709" s="19"/>
      <c r="AB1709" s="17"/>
      <c r="AC1709" s="19"/>
    </row>
    <row r="1710" customFormat="false" ht="15" hidden="false" customHeight="false" outlineLevel="0" collapsed="false">
      <c r="A1710" s="10" t="s">
        <v>8347</v>
      </c>
      <c r="B1710" s="17" t="s">
        <v>112</v>
      </c>
      <c r="C1710" s="18" t="s">
        <v>113</v>
      </c>
      <c r="D1710" s="17" t="s">
        <v>20</v>
      </c>
      <c r="E1710" s="17" t="s">
        <v>75</v>
      </c>
      <c r="F1710" s="17" t="s">
        <v>7502</v>
      </c>
      <c r="G1710" s="17" t="s">
        <v>114</v>
      </c>
      <c r="H1710" s="17" t="s">
        <v>31</v>
      </c>
      <c r="I1710" s="17" t="s">
        <v>283</v>
      </c>
      <c r="J1710" s="17" t="s">
        <v>7503</v>
      </c>
      <c r="K1710" s="19"/>
      <c r="L1710" s="19"/>
      <c r="M1710" s="19"/>
      <c r="N1710" s="19"/>
      <c r="O1710" s="17" t="n">
        <v>3</v>
      </c>
      <c r="P1710" s="18" t="s">
        <v>8348</v>
      </c>
      <c r="Q1710" s="18" t="s">
        <v>7854</v>
      </c>
      <c r="R1710" s="18" t="s">
        <v>7855</v>
      </c>
      <c r="S1710" s="17" t="s">
        <v>7849</v>
      </c>
      <c r="T1710" s="18" t="s">
        <v>7856</v>
      </c>
      <c r="U1710" s="19"/>
      <c r="V1710" s="18" t="s">
        <v>7857</v>
      </c>
      <c r="W1710" s="17" t="s">
        <v>240</v>
      </c>
      <c r="X1710" s="17" t="s">
        <v>7858</v>
      </c>
      <c r="Y1710" s="17" t="s">
        <v>242</v>
      </c>
      <c r="Z1710" s="19"/>
      <c r="AA1710" s="19"/>
      <c r="AB1710" s="17"/>
      <c r="AC1710" s="19"/>
    </row>
    <row r="1711" customFormat="false" ht="22.35" hidden="false" customHeight="false" outlineLevel="0" collapsed="false">
      <c r="A1711" s="10" t="s">
        <v>8349</v>
      </c>
      <c r="B1711" s="17" t="s">
        <v>112</v>
      </c>
      <c r="C1711" s="18" t="s">
        <v>113</v>
      </c>
      <c r="D1711" s="17" t="s">
        <v>20</v>
      </c>
      <c r="E1711" s="17" t="s">
        <v>75</v>
      </c>
      <c r="F1711" s="17" t="s">
        <v>7502</v>
      </c>
      <c r="G1711" s="17" t="s">
        <v>114</v>
      </c>
      <c r="H1711" s="17" t="s">
        <v>31</v>
      </c>
      <c r="I1711" s="17" t="s">
        <v>450</v>
      </c>
      <c r="J1711" s="17" t="s">
        <v>7575</v>
      </c>
      <c r="K1711" s="19"/>
      <c r="L1711" s="19"/>
      <c r="M1711" s="19"/>
      <c r="N1711" s="19"/>
      <c r="O1711" s="17" t="n">
        <v>3</v>
      </c>
      <c r="P1711" s="18" t="s">
        <v>8348</v>
      </c>
      <c r="Q1711" s="18" t="s">
        <v>7860</v>
      </c>
      <c r="R1711" s="18" t="s">
        <v>8350</v>
      </c>
      <c r="S1711" s="17" t="s">
        <v>8347</v>
      </c>
      <c r="T1711" s="18" t="s">
        <v>7605</v>
      </c>
      <c r="U1711" s="19"/>
      <c r="V1711" s="18" t="s">
        <v>8351</v>
      </c>
      <c r="W1711" s="17" t="s">
        <v>240</v>
      </c>
      <c r="X1711" s="17" t="s">
        <v>7911</v>
      </c>
      <c r="Y1711" s="17" t="s">
        <v>242</v>
      </c>
      <c r="Z1711" s="19"/>
      <c r="AA1711" s="19"/>
      <c r="AB1711" s="17"/>
      <c r="AC1711" s="19"/>
    </row>
    <row r="1712" customFormat="false" ht="22.35" hidden="false" customHeight="false" outlineLevel="0" collapsed="false">
      <c r="A1712" s="10" t="s">
        <v>8352</v>
      </c>
      <c r="B1712" s="17" t="s">
        <v>112</v>
      </c>
      <c r="C1712" s="18" t="s">
        <v>113</v>
      </c>
      <c r="D1712" s="17" t="s">
        <v>20</v>
      </c>
      <c r="E1712" s="17" t="s">
        <v>75</v>
      </c>
      <c r="F1712" s="17" t="s">
        <v>7502</v>
      </c>
      <c r="G1712" s="17" t="s">
        <v>114</v>
      </c>
      <c r="H1712" s="17" t="s">
        <v>31</v>
      </c>
      <c r="I1712" s="17" t="s">
        <v>450</v>
      </c>
      <c r="J1712" s="17" t="s">
        <v>7580</v>
      </c>
      <c r="K1712" s="19"/>
      <c r="L1712" s="19"/>
      <c r="M1712" s="19"/>
      <c r="N1712" s="19"/>
      <c r="O1712" s="17" t="n">
        <v>3</v>
      </c>
      <c r="P1712" s="18" t="s">
        <v>8348</v>
      </c>
      <c r="Q1712" s="18" t="s">
        <v>7860</v>
      </c>
      <c r="R1712" s="18" t="s">
        <v>8353</v>
      </c>
      <c r="S1712" s="17" t="s">
        <v>8347</v>
      </c>
      <c r="T1712" s="18" t="s">
        <v>8354</v>
      </c>
      <c r="U1712" s="19"/>
      <c r="V1712" s="18" t="s">
        <v>8355</v>
      </c>
      <c r="W1712" s="17" t="s">
        <v>240</v>
      </c>
      <c r="X1712" s="17" t="s">
        <v>8356</v>
      </c>
      <c r="Y1712" s="17" t="s">
        <v>242</v>
      </c>
      <c r="Z1712" s="19"/>
      <c r="AA1712" s="19"/>
      <c r="AB1712" s="17"/>
      <c r="AC1712" s="19"/>
    </row>
    <row r="1713" customFormat="false" ht="22.35" hidden="false" customHeight="false" outlineLevel="0" collapsed="false">
      <c r="A1713" s="10" t="s">
        <v>8357</v>
      </c>
      <c r="B1713" s="17" t="s">
        <v>112</v>
      </c>
      <c r="C1713" s="18" t="s">
        <v>113</v>
      </c>
      <c r="D1713" s="17" t="s">
        <v>20</v>
      </c>
      <c r="E1713" s="17" t="s">
        <v>75</v>
      </c>
      <c r="F1713" s="17" t="s">
        <v>7502</v>
      </c>
      <c r="G1713" s="17" t="s">
        <v>114</v>
      </c>
      <c r="H1713" s="17" t="s">
        <v>31</v>
      </c>
      <c r="I1713" s="17" t="s">
        <v>277</v>
      </c>
      <c r="J1713" s="17" t="s">
        <v>7530</v>
      </c>
      <c r="K1713" s="19"/>
      <c r="L1713" s="19"/>
      <c r="M1713" s="19"/>
      <c r="N1713" s="19"/>
      <c r="O1713" s="17" t="n">
        <v>3</v>
      </c>
      <c r="P1713" s="18" t="s">
        <v>8348</v>
      </c>
      <c r="Q1713" s="18" t="s">
        <v>7860</v>
      </c>
      <c r="R1713" s="18" t="s">
        <v>8358</v>
      </c>
      <c r="S1713" s="17" t="s">
        <v>8347</v>
      </c>
      <c r="T1713" s="18" t="s">
        <v>8359</v>
      </c>
      <c r="U1713" s="19"/>
      <c r="V1713" s="18" t="s">
        <v>8360</v>
      </c>
      <c r="W1713" s="17" t="s">
        <v>240</v>
      </c>
      <c r="X1713" s="17" t="s">
        <v>8361</v>
      </c>
      <c r="Y1713" s="17" t="s">
        <v>242</v>
      </c>
      <c r="Z1713" s="19"/>
      <c r="AA1713" s="19"/>
      <c r="AB1713" s="17"/>
      <c r="AC1713" s="19"/>
    </row>
    <row r="1714" customFormat="false" ht="22.35" hidden="false" customHeight="false" outlineLevel="0" collapsed="false">
      <c r="A1714" s="10" t="s">
        <v>8362</v>
      </c>
      <c r="B1714" s="17" t="s">
        <v>112</v>
      </c>
      <c r="C1714" s="18" t="s">
        <v>113</v>
      </c>
      <c r="D1714" s="17" t="s">
        <v>20</v>
      </c>
      <c r="E1714" s="17" t="s">
        <v>75</v>
      </c>
      <c r="F1714" s="17" t="s">
        <v>7502</v>
      </c>
      <c r="G1714" s="17" t="s">
        <v>114</v>
      </c>
      <c r="H1714" s="17" t="s">
        <v>31</v>
      </c>
      <c r="I1714" s="17" t="s">
        <v>333</v>
      </c>
      <c r="J1714" s="17" t="s">
        <v>7503</v>
      </c>
      <c r="K1714" s="19"/>
      <c r="L1714" s="19"/>
      <c r="M1714" s="19"/>
      <c r="N1714" s="19"/>
      <c r="O1714" s="17" t="n">
        <v>3</v>
      </c>
      <c r="P1714" s="18" t="s">
        <v>8348</v>
      </c>
      <c r="Q1714" s="18" t="s">
        <v>7860</v>
      </c>
      <c r="R1714" s="18" t="s">
        <v>8363</v>
      </c>
      <c r="S1714" s="17" t="s">
        <v>8347</v>
      </c>
      <c r="T1714" s="18" t="s">
        <v>8364</v>
      </c>
      <c r="U1714" s="19"/>
      <c r="V1714" s="18" t="s">
        <v>8365</v>
      </c>
      <c r="W1714" s="17" t="s">
        <v>240</v>
      </c>
      <c r="X1714" s="17" t="s">
        <v>8366</v>
      </c>
      <c r="Y1714" s="17" t="s">
        <v>242</v>
      </c>
      <c r="Z1714" s="19"/>
      <c r="AA1714" s="19"/>
      <c r="AB1714" s="17"/>
      <c r="AC1714" s="19"/>
    </row>
    <row r="1715" customFormat="false" ht="15" hidden="false" customHeight="false" outlineLevel="0" collapsed="false">
      <c r="A1715" s="10" t="s">
        <v>8367</v>
      </c>
      <c r="B1715" s="17" t="s">
        <v>112</v>
      </c>
      <c r="C1715" s="18" t="s">
        <v>113</v>
      </c>
      <c r="D1715" s="17" t="s">
        <v>20</v>
      </c>
      <c r="E1715" s="17" t="s">
        <v>75</v>
      </c>
      <c r="F1715" s="17" t="s">
        <v>7502</v>
      </c>
      <c r="G1715" s="17" t="s">
        <v>114</v>
      </c>
      <c r="H1715" s="17" t="s">
        <v>31</v>
      </c>
      <c r="I1715" s="17" t="s">
        <v>283</v>
      </c>
      <c r="J1715" s="17" t="s">
        <v>7503</v>
      </c>
      <c r="K1715" s="19"/>
      <c r="L1715" s="19"/>
      <c r="M1715" s="19"/>
      <c r="N1715" s="19"/>
      <c r="O1715" s="17" t="n">
        <v>3</v>
      </c>
      <c r="P1715" s="18" t="s">
        <v>8348</v>
      </c>
      <c r="Q1715" s="18" t="s">
        <v>4948</v>
      </c>
      <c r="R1715" s="18" t="s">
        <v>8368</v>
      </c>
      <c r="S1715" s="17" t="s">
        <v>8369</v>
      </c>
      <c r="T1715" s="18" t="s">
        <v>8370</v>
      </c>
      <c r="U1715" s="19"/>
      <c r="V1715" s="18" t="s">
        <v>7560</v>
      </c>
      <c r="W1715" s="17" t="s">
        <v>240</v>
      </c>
      <c r="X1715" s="17" t="s">
        <v>7887</v>
      </c>
      <c r="Y1715" s="17" t="s">
        <v>242</v>
      </c>
      <c r="Z1715" s="19"/>
      <c r="AA1715" s="19"/>
      <c r="AB1715" s="17"/>
      <c r="AC1715" s="19"/>
    </row>
    <row r="1716" customFormat="false" ht="22.35" hidden="false" customHeight="false" outlineLevel="0" collapsed="false">
      <c r="A1716" s="10" t="s">
        <v>8371</v>
      </c>
      <c r="B1716" s="17" t="s">
        <v>77</v>
      </c>
      <c r="C1716" s="18" t="s">
        <v>78</v>
      </c>
      <c r="D1716" s="17" t="s">
        <v>20</v>
      </c>
      <c r="E1716" s="17" t="s">
        <v>75</v>
      </c>
      <c r="F1716" s="17" t="s">
        <v>7502</v>
      </c>
      <c r="G1716" s="17" t="s">
        <v>79</v>
      </c>
      <c r="H1716" s="17" t="s">
        <v>31</v>
      </c>
      <c r="I1716" s="17" t="s">
        <v>283</v>
      </c>
      <c r="J1716" s="17" t="s">
        <v>7503</v>
      </c>
      <c r="K1716" s="19"/>
      <c r="L1716" s="19"/>
      <c r="M1716" s="19"/>
      <c r="N1716" s="19"/>
      <c r="O1716" s="17" t="n">
        <v>5</v>
      </c>
      <c r="P1716" s="18" t="s">
        <v>8372</v>
      </c>
      <c r="Q1716" s="18" t="s">
        <v>7854</v>
      </c>
      <c r="R1716" s="18" t="s">
        <v>8373</v>
      </c>
      <c r="S1716" s="17" t="s">
        <v>7849</v>
      </c>
      <c r="T1716" s="18" t="s">
        <v>7856</v>
      </c>
      <c r="U1716" s="19"/>
      <c r="V1716" s="18" t="s">
        <v>7857</v>
      </c>
      <c r="W1716" s="17" t="s">
        <v>240</v>
      </c>
      <c r="X1716" s="17" t="s">
        <v>7858</v>
      </c>
      <c r="Y1716" s="17" t="s">
        <v>242</v>
      </c>
      <c r="Z1716" s="19"/>
      <c r="AA1716" s="19"/>
      <c r="AB1716" s="17"/>
      <c r="AC1716" s="19"/>
    </row>
    <row r="1717" customFormat="false" ht="22.35" hidden="false" customHeight="false" outlineLevel="0" collapsed="false">
      <c r="A1717" s="10" t="s">
        <v>8374</v>
      </c>
      <c r="B1717" s="17" t="s">
        <v>77</v>
      </c>
      <c r="C1717" s="18" t="s">
        <v>78</v>
      </c>
      <c r="D1717" s="17" t="s">
        <v>20</v>
      </c>
      <c r="E1717" s="17" t="s">
        <v>75</v>
      </c>
      <c r="F1717" s="17" t="s">
        <v>7502</v>
      </c>
      <c r="G1717" s="17" t="s">
        <v>79</v>
      </c>
      <c r="H1717" s="17" t="s">
        <v>31</v>
      </c>
      <c r="I1717" s="17" t="s">
        <v>283</v>
      </c>
      <c r="J1717" s="17" t="s">
        <v>7525</v>
      </c>
      <c r="K1717" s="19"/>
      <c r="L1717" s="19"/>
      <c r="M1717" s="19"/>
      <c r="N1717" s="19"/>
      <c r="O1717" s="17" t="n">
        <v>5</v>
      </c>
      <c r="P1717" s="18" t="s">
        <v>8372</v>
      </c>
      <c r="Q1717" s="18" t="s">
        <v>7860</v>
      </c>
      <c r="R1717" s="18" t="s">
        <v>8375</v>
      </c>
      <c r="S1717" s="17" t="s">
        <v>8371</v>
      </c>
      <c r="T1717" s="18" t="s">
        <v>8376</v>
      </c>
      <c r="U1717" s="19"/>
      <c r="V1717" s="18" t="s">
        <v>8377</v>
      </c>
      <c r="W1717" s="17" t="s">
        <v>240</v>
      </c>
      <c r="X1717" s="17" t="s">
        <v>8378</v>
      </c>
      <c r="Y1717" s="17" t="s">
        <v>242</v>
      </c>
      <c r="Z1717" s="19"/>
      <c r="AA1717" s="19"/>
      <c r="AB1717" s="17"/>
      <c r="AC1717" s="19"/>
    </row>
    <row r="1718" customFormat="false" ht="22.35" hidden="false" customHeight="false" outlineLevel="0" collapsed="false">
      <c r="A1718" s="10" t="s">
        <v>8379</v>
      </c>
      <c r="B1718" s="17" t="s">
        <v>77</v>
      </c>
      <c r="C1718" s="18" t="s">
        <v>78</v>
      </c>
      <c r="D1718" s="17" t="s">
        <v>20</v>
      </c>
      <c r="E1718" s="17" t="s">
        <v>75</v>
      </c>
      <c r="F1718" s="17" t="s">
        <v>7502</v>
      </c>
      <c r="G1718" s="17" t="s">
        <v>79</v>
      </c>
      <c r="H1718" s="17" t="s">
        <v>31</v>
      </c>
      <c r="I1718" s="17" t="s">
        <v>277</v>
      </c>
      <c r="J1718" s="17" t="s">
        <v>7530</v>
      </c>
      <c r="K1718" s="19"/>
      <c r="L1718" s="19"/>
      <c r="M1718" s="19"/>
      <c r="N1718" s="19"/>
      <c r="O1718" s="17" t="n">
        <v>5</v>
      </c>
      <c r="P1718" s="18" t="s">
        <v>8372</v>
      </c>
      <c r="Q1718" s="18" t="s">
        <v>7860</v>
      </c>
      <c r="R1718" s="18" t="s">
        <v>8380</v>
      </c>
      <c r="S1718" s="17" t="s">
        <v>8371</v>
      </c>
      <c r="T1718" s="18" t="s">
        <v>8381</v>
      </c>
      <c r="U1718" s="19"/>
      <c r="V1718" s="18" t="s">
        <v>8382</v>
      </c>
      <c r="W1718" s="17" t="s">
        <v>240</v>
      </c>
      <c r="X1718" s="17" t="s">
        <v>8383</v>
      </c>
      <c r="Y1718" s="17" t="s">
        <v>242</v>
      </c>
      <c r="Z1718" s="19"/>
      <c r="AA1718" s="19"/>
      <c r="AB1718" s="17"/>
      <c r="AC1718" s="19"/>
    </row>
    <row r="1719" customFormat="false" ht="22.35" hidden="false" customHeight="false" outlineLevel="0" collapsed="false">
      <c r="A1719" s="10" t="s">
        <v>8384</v>
      </c>
      <c r="B1719" s="17" t="s">
        <v>91</v>
      </c>
      <c r="C1719" s="18" t="s">
        <v>92</v>
      </c>
      <c r="D1719" s="17" t="s">
        <v>20</v>
      </c>
      <c r="E1719" s="17" t="s">
        <v>75</v>
      </c>
      <c r="F1719" s="17" t="s">
        <v>7502</v>
      </c>
      <c r="G1719" s="17" t="s">
        <v>79</v>
      </c>
      <c r="H1719" s="17" t="s">
        <v>31</v>
      </c>
      <c r="I1719" s="17" t="s">
        <v>1028</v>
      </c>
      <c r="J1719" s="17" t="s">
        <v>7503</v>
      </c>
      <c r="K1719" s="19"/>
      <c r="L1719" s="19"/>
      <c r="M1719" s="19"/>
      <c r="N1719" s="19"/>
      <c r="O1719" s="17" t="n">
        <v>5</v>
      </c>
      <c r="P1719" s="18" t="s">
        <v>8372</v>
      </c>
      <c r="Q1719" s="18" t="s">
        <v>7860</v>
      </c>
      <c r="R1719" s="18" t="s">
        <v>8385</v>
      </c>
      <c r="S1719" s="17" t="s">
        <v>8386</v>
      </c>
      <c r="T1719" s="18" t="s">
        <v>8387</v>
      </c>
      <c r="U1719" s="19"/>
      <c r="V1719" s="18" t="s">
        <v>8388</v>
      </c>
      <c r="W1719" s="17" t="s">
        <v>240</v>
      </c>
      <c r="X1719" s="17" t="s">
        <v>8378</v>
      </c>
      <c r="Y1719" s="17" t="s">
        <v>242</v>
      </c>
      <c r="Z1719" s="19"/>
      <c r="AA1719" s="19"/>
      <c r="AB1719" s="17"/>
      <c r="AC1719" s="19"/>
    </row>
    <row r="1720" customFormat="false" ht="22.35" hidden="false" customHeight="false" outlineLevel="0" collapsed="false">
      <c r="A1720" s="10" t="s">
        <v>8389</v>
      </c>
      <c r="B1720" s="17" t="s">
        <v>77</v>
      </c>
      <c r="C1720" s="18" t="s">
        <v>78</v>
      </c>
      <c r="D1720" s="17" t="s">
        <v>20</v>
      </c>
      <c r="E1720" s="17" t="s">
        <v>75</v>
      </c>
      <c r="F1720" s="17" t="s">
        <v>7502</v>
      </c>
      <c r="G1720" s="17" t="s">
        <v>79</v>
      </c>
      <c r="H1720" s="17" t="s">
        <v>31</v>
      </c>
      <c r="I1720" s="17" t="s">
        <v>1028</v>
      </c>
      <c r="J1720" s="17" t="s">
        <v>7503</v>
      </c>
      <c r="K1720" s="19"/>
      <c r="L1720" s="19"/>
      <c r="M1720" s="19"/>
      <c r="N1720" s="19"/>
      <c r="O1720" s="17" t="n">
        <v>5</v>
      </c>
      <c r="P1720" s="18" t="s">
        <v>8372</v>
      </c>
      <c r="Q1720" s="18" t="s">
        <v>7860</v>
      </c>
      <c r="R1720" s="18" t="s">
        <v>8390</v>
      </c>
      <c r="S1720" s="17" t="s">
        <v>8384</v>
      </c>
      <c r="T1720" s="18" t="s">
        <v>8391</v>
      </c>
      <c r="U1720" s="19"/>
      <c r="V1720" s="18" t="s">
        <v>8392</v>
      </c>
      <c r="W1720" s="17" t="s">
        <v>240</v>
      </c>
      <c r="X1720" s="17" t="s">
        <v>8393</v>
      </c>
      <c r="Y1720" s="17" t="s">
        <v>242</v>
      </c>
      <c r="Z1720" s="19"/>
      <c r="AA1720" s="19"/>
      <c r="AB1720" s="17"/>
      <c r="AC1720" s="19"/>
    </row>
    <row r="1721" customFormat="false" ht="15" hidden="false" customHeight="false" outlineLevel="0" collapsed="false">
      <c r="A1721" s="10" t="s">
        <v>8394</v>
      </c>
      <c r="B1721" s="17" t="s">
        <v>77</v>
      </c>
      <c r="C1721" s="18" t="s">
        <v>78</v>
      </c>
      <c r="D1721" s="17" t="s">
        <v>20</v>
      </c>
      <c r="E1721" s="17" t="s">
        <v>75</v>
      </c>
      <c r="F1721" s="17" t="s">
        <v>7502</v>
      </c>
      <c r="G1721" s="17" t="s">
        <v>79</v>
      </c>
      <c r="H1721" s="17" t="s">
        <v>31</v>
      </c>
      <c r="I1721" s="17" t="s">
        <v>283</v>
      </c>
      <c r="J1721" s="17" t="s">
        <v>7503</v>
      </c>
      <c r="K1721" s="19"/>
      <c r="L1721" s="19"/>
      <c r="M1721" s="19"/>
      <c r="N1721" s="19"/>
      <c r="O1721" s="17" t="n">
        <v>5</v>
      </c>
      <c r="P1721" s="18" t="s">
        <v>8372</v>
      </c>
      <c r="Q1721" s="18" t="s">
        <v>4948</v>
      </c>
      <c r="R1721" s="18" t="s">
        <v>8395</v>
      </c>
      <c r="S1721" s="17" t="s">
        <v>8396</v>
      </c>
      <c r="T1721" s="18" t="s">
        <v>8397</v>
      </c>
      <c r="U1721" s="19"/>
      <c r="V1721" s="18" t="s">
        <v>7560</v>
      </c>
      <c r="W1721" s="17" t="s">
        <v>240</v>
      </c>
      <c r="X1721" s="17" t="s">
        <v>7887</v>
      </c>
      <c r="Y1721" s="17" t="s">
        <v>242</v>
      </c>
      <c r="Z1721" s="19"/>
      <c r="AA1721" s="19"/>
      <c r="AB1721" s="17"/>
      <c r="AC1721" s="19"/>
    </row>
    <row r="1722" customFormat="false" ht="15" hidden="false" customHeight="false" outlineLevel="0" collapsed="false">
      <c r="A1722" s="10" t="s">
        <v>8398</v>
      </c>
      <c r="B1722" s="17" t="s">
        <v>97</v>
      </c>
      <c r="C1722" s="18" t="s">
        <v>98</v>
      </c>
      <c r="D1722" s="17" t="s">
        <v>20</v>
      </c>
      <c r="E1722" s="17" t="s">
        <v>75</v>
      </c>
      <c r="F1722" s="17" t="s">
        <v>7502</v>
      </c>
      <c r="G1722" s="17" t="s">
        <v>99</v>
      </c>
      <c r="H1722" s="17" t="s">
        <v>33</v>
      </c>
      <c r="I1722" s="17" t="s">
        <v>283</v>
      </c>
      <c r="J1722" s="17" t="s">
        <v>7503</v>
      </c>
      <c r="K1722" s="19"/>
      <c r="L1722" s="19"/>
      <c r="M1722" s="19"/>
      <c r="N1722" s="19"/>
      <c r="O1722" s="17" t="n">
        <v>2</v>
      </c>
      <c r="P1722" s="18" t="s">
        <v>8399</v>
      </c>
      <c r="Q1722" s="18" t="s">
        <v>7854</v>
      </c>
      <c r="R1722" s="18" t="s">
        <v>7855</v>
      </c>
      <c r="S1722" s="17" t="s">
        <v>7849</v>
      </c>
      <c r="T1722" s="18" t="s">
        <v>7856</v>
      </c>
      <c r="U1722" s="19"/>
      <c r="V1722" s="18" t="s">
        <v>7857</v>
      </c>
      <c r="W1722" s="17" t="s">
        <v>240</v>
      </c>
      <c r="X1722" s="17" t="s">
        <v>7858</v>
      </c>
      <c r="Y1722" s="17" t="s">
        <v>242</v>
      </c>
      <c r="Z1722" s="19"/>
      <c r="AA1722" s="19"/>
      <c r="AB1722" s="17"/>
      <c r="AC1722" s="19"/>
    </row>
    <row r="1723" customFormat="false" ht="22.35" hidden="false" customHeight="false" outlineLevel="0" collapsed="false">
      <c r="A1723" s="10" t="s">
        <v>8400</v>
      </c>
      <c r="B1723" s="17" t="s">
        <v>97</v>
      </c>
      <c r="C1723" s="18" t="s">
        <v>98</v>
      </c>
      <c r="D1723" s="17" t="s">
        <v>20</v>
      </c>
      <c r="E1723" s="17" t="s">
        <v>75</v>
      </c>
      <c r="F1723" s="17" t="s">
        <v>7502</v>
      </c>
      <c r="G1723" s="17" t="s">
        <v>99</v>
      </c>
      <c r="H1723" s="17" t="s">
        <v>33</v>
      </c>
      <c r="I1723" s="17" t="s">
        <v>277</v>
      </c>
      <c r="J1723" s="17" t="s">
        <v>7670</v>
      </c>
      <c r="K1723" s="19"/>
      <c r="L1723" s="19"/>
      <c r="M1723" s="19"/>
      <c r="N1723" s="19"/>
      <c r="O1723" s="17" t="n">
        <v>2</v>
      </c>
      <c r="P1723" s="18" t="s">
        <v>8399</v>
      </c>
      <c r="Q1723" s="18" t="s">
        <v>7860</v>
      </c>
      <c r="R1723" s="18" t="s">
        <v>8401</v>
      </c>
      <c r="S1723" s="17" t="s">
        <v>8398</v>
      </c>
      <c r="T1723" s="18" t="s">
        <v>8297</v>
      </c>
      <c r="U1723" s="19"/>
      <c r="V1723" s="18" t="s">
        <v>8402</v>
      </c>
      <c r="W1723" s="17" t="s">
        <v>240</v>
      </c>
      <c r="X1723" s="17" t="s">
        <v>8403</v>
      </c>
      <c r="Y1723" s="17" t="s">
        <v>242</v>
      </c>
      <c r="Z1723" s="19"/>
      <c r="AA1723" s="19"/>
      <c r="AB1723" s="17"/>
      <c r="AC1723" s="19"/>
    </row>
    <row r="1724" customFormat="false" ht="22.35" hidden="false" customHeight="false" outlineLevel="0" collapsed="false">
      <c r="A1724" s="10" t="s">
        <v>8404</v>
      </c>
      <c r="B1724" s="17" t="s">
        <v>97</v>
      </c>
      <c r="C1724" s="18" t="s">
        <v>98</v>
      </c>
      <c r="D1724" s="17" t="s">
        <v>20</v>
      </c>
      <c r="E1724" s="17" t="s">
        <v>75</v>
      </c>
      <c r="F1724" s="17" t="s">
        <v>7502</v>
      </c>
      <c r="G1724" s="17" t="s">
        <v>99</v>
      </c>
      <c r="H1724" s="17" t="s">
        <v>33</v>
      </c>
      <c r="I1724" s="17" t="s">
        <v>277</v>
      </c>
      <c r="J1724" s="17" t="s">
        <v>7503</v>
      </c>
      <c r="K1724" s="19"/>
      <c r="L1724" s="19"/>
      <c r="M1724" s="19"/>
      <c r="N1724" s="19"/>
      <c r="O1724" s="17" t="n">
        <v>2</v>
      </c>
      <c r="P1724" s="18" t="s">
        <v>8399</v>
      </c>
      <c r="Q1724" s="18" t="s">
        <v>7860</v>
      </c>
      <c r="R1724" s="18" t="s">
        <v>8405</v>
      </c>
      <c r="S1724" s="17" t="s">
        <v>8398</v>
      </c>
      <c r="T1724" s="18" t="s">
        <v>8406</v>
      </c>
      <c r="U1724" s="19"/>
      <c r="V1724" s="18" t="s">
        <v>8407</v>
      </c>
      <c r="W1724" s="17" t="s">
        <v>240</v>
      </c>
      <c r="X1724" s="17" t="s">
        <v>8403</v>
      </c>
      <c r="Y1724" s="17" t="s">
        <v>242</v>
      </c>
      <c r="Z1724" s="19"/>
      <c r="AA1724" s="19"/>
      <c r="AB1724" s="17"/>
      <c r="AC1724" s="19"/>
    </row>
    <row r="1725" customFormat="false" ht="22.35" hidden="false" customHeight="false" outlineLevel="0" collapsed="false">
      <c r="A1725" s="10" t="s">
        <v>8408</v>
      </c>
      <c r="B1725" s="17" t="s">
        <v>97</v>
      </c>
      <c r="C1725" s="18" t="s">
        <v>98</v>
      </c>
      <c r="D1725" s="17" t="s">
        <v>20</v>
      </c>
      <c r="E1725" s="17" t="s">
        <v>75</v>
      </c>
      <c r="F1725" s="17" t="s">
        <v>7502</v>
      </c>
      <c r="G1725" s="17" t="s">
        <v>99</v>
      </c>
      <c r="H1725" s="17" t="s">
        <v>33</v>
      </c>
      <c r="I1725" s="17" t="s">
        <v>277</v>
      </c>
      <c r="J1725" s="17" t="s">
        <v>7575</v>
      </c>
      <c r="K1725" s="19"/>
      <c r="L1725" s="19"/>
      <c r="M1725" s="19"/>
      <c r="N1725" s="19"/>
      <c r="O1725" s="17" t="n">
        <v>2</v>
      </c>
      <c r="P1725" s="18" t="s">
        <v>8399</v>
      </c>
      <c r="Q1725" s="18" t="s">
        <v>7860</v>
      </c>
      <c r="R1725" s="18" t="s">
        <v>8409</v>
      </c>
      <c r="S1725" s="17" t="s">
        <v>8398</v>
      </c>
      <c r="T1725" s="18" t="s">
        <v>8410</v>
      </c>
      <c r="U1725" s="19"/>
      <c r="V1725" s="18" t="s">
        <v>8411</v>
      </c>
      <c r="W1725" s="17" t="s">
        <v>240</v>
      </c>
      <c r="X1725" s="17" t="s">
        <v>8412</v>
      </c>
      <c r="Y1725" s="17" t="s">
        <v>242</v>
      </c>
      <c r="Z1725" s="19"/>
      <c r="AA1725" s="19"/>
      <c r="AB1725" s="17"/>
      <c r="AC1725" s="19"/>
    </row>
    <row r="1726" customFormat="false" ht="22.35" hidden="false" customHeight="false" outlineLevel="0" collapsed="false">
      <c r="A1726" s="10" t="s">
        <v>8413</v>
      </c>
      <c r="B1726" s="17" t="s">
        <v>97</v>
      </c>
      <c r="C1726" s="18" t="s">
        <v>98</v>
      </c>
      <c r="D1726" s="17" t="s">
        <v>20</v>
      </c>
      <c r="E1726" s="17" t="s">
        <v>229</v>
      </c>
      <c r="F1726" s="17" t="s">
        <v>7502</v>
      </c>
      <c r="G1726" s="17" t="s">
        <v>99</v>
      </c>
      <c r="H1726" s="17" t="s">
        <v>33</v>
      </c>
      <c r="I1726" s="17" t="s">
        <v>1564</v>
      </c>
      <c r="J1726" s="17" t="s">
        <v>7503</v>
      </c>
      <c r="K1726" s="19"/>
      <c r="L1726" s="19"/>
      <c r="M1726" s="19"/>
      <c r="N1726" s="19"/>
      <c r="O1726" s="17" t="n">
        <v>2</v>
      </c>
      <c r="P1726" s="18" t="s">
        <v>8399</v>
      </c>
      <c r="Q1726" s="18" t="s">
        <v>7860</v>
      </c>
      <c r="R1726" s="18" t="s">
        <v>8414</v>
      </c>
      <c r="S1726" s="17" t="s">
        <v>8398</v>
      </c>
      <c r="T1726" s="18" t="s">
        <v>8415</v>
      </c>
      <c r="U1726" s="19"/>
      <c r="V1726" s="18" t="s">
        <v>8416</v>
      </c>
      <c r="W1726" s="17" t="s">
        <v>240</v>
      </c>
      <c r="X1726" s="17" t="s">
        <v>3527</v>
      </c>
      <c r="Y1726" s="17" t="s">
        <v>242</v>
      </c>
      <c r="Z1726" s="19"/>
      <c r="AA1726" s="19"/>
      <c r="AB1726" s="17"/>
      <c r="AC1726" s="19"/>
    </row>
    <row r="1727" customFormat="false" ht="15" hidden="false" customHeight="false" outlineLevel="0" collapsed="false">
      <c r="A1727" s="10" t="s">
        <v>8417</v>
      </c>
      <c r="B1727" s="17" t="s">
        <v>97</v>
      </c>
      <c r="C1727" s="18" t="s">
        <v>98</v>
      </c>
      <c r="D1727" s="17" t="s">
        <v>20</v>
      </c>
      <c r="E1727" s="17" t="s">
        <v>75</v>
      </c>
      <c r="F1727" s="17" t="s">
        <v>7502</v>
      </c>
      <c r="G1727" s="17" t="s">
        <v>99</v>
      </c>
      <c r="H1727" s="17" t="s">
        <v>33</v>
      </c>
      <c r="I1727" s="17" t="s">
        <v>283</v>
      </c>
      <c r="J1727" s="17" t="s">
        <v>7503</v>
      </c>
      <c r="K1727" s="19"/>
      <c r="L1727" s="19"/>
      <c r="M1727" s="19"/>
      <c r="N1727" s="19"/>
      <c r="O1727" s="17" t="n">
        <v>2</v>
      </c>
      <c r="P1727" s="18" t="s">
        <v>8399</v>
      </c>
      <c r="Q1727" s="18" t="s">
        <v>4948</v>
      </c>
      <c r="R1727" s="18" t="s">
        <v>8418</v>
      </c>
      <c r="S1727" s="17" t="s">
        <v>8419</v>
      </c>
      <c r="T1727" s="18" t="s">
        <v>8420</v>
      </c>
      <c r="U1727" s="19"/>
      <c r="V1727" s="18" t="s">
        <v>7560</v>
      </c>
      <c r="W1727" s="17" t="s">
        <v>240</v>
      </c>
      <c r="X1727" s="17" t="s">
        <v>7887</v>
      </c>
      <c r="Y1727" s="17" t="s">
        <v>242</v>
      </c>
      <c r="Z1727" s="19"/>
      <c r="AA1727" s="19"/>
      <c r="AB1727" s="17"/>
      <c r="AC1727" s="19"/>
    </row>
    <row r="1728" customFormat="false" ht="22.35" hidden="false" customHeight="false" outlineLevel="0" collapsed="false">
      <c r="A1728" s="10" t="s">
        <v>8421</v>
      </c>
      <c r="B1728" s="17" t="s">
        <v>103</v>
      </c>
      <c r="C1728" s="18" t="s">
        <v>104</v>
      </c>
      <c r="D1728" s="17" t="s">
        <v>20</v>
      </c>
      <c r="E1728" s="17" t="s">
        <v>75</v>
      </c>
      <c r="F1728" s="17" t="s">
        <v>7502</v>
      </c>
      <c r="G1728" s="17" t="s">
        <v>105</v>
      </c>
      <c r="H1728" s="17" t="s">
        <v>32</v>
      </c>
      <c r="I1728" s="17" t="s">
        <v>283</v>
      </c>
      <c r="J1728" s="17" t="s">
        <v>7503</v>
      </c>
      <c r="K1728" s="19"/>
      <c r="L1728" s="19"/>
      <c r="M1728" s="19"/>
      <c r="N1728" s="19"/>
      <c r="O1728" s="17" t="n">
        <v>3</v>
      </c>
      <c r="P1728" s="18" t="s">
        <v>8422</v>
      </c>
      <c r="Q1728" s="18" t="s">
        <v>7854</v>
      </c>
      <c r="R1728" s="18" t="s">
        <v>8423</v>
      </c>
      <c r="S1728" s="17" t="s">
        <v>7849</v>
      </c>
      <c r="T1728" s="18" t="s">
        <v>7856</v>
      </c>
      <c r="U1728" s="19"/>
      <c r="V1728" s="18" t="s">
        <v>7857</v>
      </c>
      <c r="W1728" s="17" t="s">
        <v>240</v>
      </c>
      <c r="X1728" s="17" t="s">
        <v>7858</v>
      </c>
      <c r="Y1728" s="17" t="s">
        <v>242</v>
      </c>
      <c r="Z1728" s="19"/>
      <c r="AA1728" s="19"/>
      <c r="AB1728" s="17"/>
      <c r="AC1728" s="19"/>
    </row>
    <row r="1729" customFormat="false" ht="22.35" hidden="false" customHeight="false" outlineLevel="0" collapsed="false">
      <c r="A1729" s="10" t="s">
        <v>8424</v>
      </c>
      <c r="B1729" s="17" t="s">
        <v>103</v>
      </c>
      <c r="C1729" s="18" t="s">
        <v>104</v>
      </c>
      <c r="D1729" s="17" t="s">
        <v>20</v>
      </c>
      <c r="E1729" s="17" t="s">
        <v>75</v>
      </c>
      <c r="F1729" s="17" t="s">
        <v>7502</v>
      </c>
      <c r="G1729" s="17" t="s">
        <v>105</v>
      </c>
      <c r="H1729" s="17" t="s">
        <v>32</v>
      </c>
      <c r="I1729" s="17" t="s">
        <v>277</v>
      </c>
      <c r="J1729" s="17" t="s">
        <v>7503</v>
      </c>
      <c r="K1729" s="19"/>
      <c r="L1729" s="19"/>
      <c r="M1729" s="19"/>
      <c r="N1729" s="19"/>
      <c r="O1729" s="17" t="n">
        <v>3</v>
      </c>
      <c r="P1729" s="18" t="s">
        <v>8422</v>
      </c>
      <c r="Q1729" s="18" t="s">
        <v>7860</v>
      </c>
      <c r="R1729" s="18" t="s">
        <v>8425</v>
      </c>
      <c r="S1729" s="17" t="s">
        <v>8421</v>
      </c>
      <c r="T1729" s="18" t="s">
        <v>8426</v>
      </c>
      <c r="U1729" s="19"/>
      <c r="V1729" s="18" t="s">
        <v>8427</v>
      </c>
      <c r="W1729" s="17" t="s">
        <v>240</v>
      </c>
      <c r="X1729" s="17" t="s">
        <v>8428</v>
      </c>
      <c r="Y1729" s="17" t="s">
        <v>242</v>
      </c>
      <c r="Z1729" s="19"/>
      <c r="AA1729" s="19"/>
      <c r="AB1729" s="17"/>
      <c r="AC1729" s="19"/>
    </row>
    <row r="1730" customFormat="false" ht="22.35" hidden="false" customHeight="false" outlineLevel="0" collapsed="false">
      <c r="A1730" s="10" t="s">
        <v>8429</v>
      </c>
      <c r="B1730" s="17" t="s">
        <v>103</v>
      </c>
      <c r="C1730" s="18" t="s">
        <v>104</v>
      </c>
      <c r="D1730" s="17" t="s">
        <v>20</v>
      </c>
      <c r="E1730" s="17" t="s">
        <v>75</v>
      </c>
      <c r="F1730" s="17" t="s">
        <v>7502</v>
      </c>
      <c r="G1730" s="17" t="s">
        <v>105</v>
      </c>
      <c r="H1730" s="17" t="s">
        <v>32</v>
      </c>
      <c r="I1730" s="17" t="s">
        <v>277</v>
      </c>
      <c r="J1730" s="17" t="s">
        <v>7580</v>
      </c>
      <c r="K1730" s="19"/>
      <c r="L1730" s="19"/>
      <c r="M1730" s="19"/>
      <c r="N1730" s="19"/>
      <c r="O1730" s="17" t="n">
        <v>3</v>
      </c>
      <c r="P1730" s="18" t="s">
        <v>8422</v>
      </c>
      <c r="Q1730" s="18" t="s">
        <v>7860</v>
      </c>
      <c r="R1730" s="18" t="s">
        <v>8430</v>
      </c>
      <c r="S1730" s="17" t="s">
        <v>8421</v>
      </c>
      <c r="T1730" s="18" t="s">
        <v>8431</v>
      </c>
      <c r="U1730" s="19"/>
      <c r="V1730" s="18" t="s">
        <v>8432</v>
      </c>
      <c r="W1730" s="17" t="s">
        <v>240</v>
      </c>
      <c r="X1730" s="17" t="s">
        <v>8433</v>
      </c>
      <c r="Y1730" s="17" t="s">
        <v>242</v>
      </c>
      <c r="Z1730" s="19"/>
      <c r="AA1730" s="19"/>
      <c r="AB1730" s="17"/>
      <c r="AC1730" s="19"/>
    </row>
    <row r="1731" customFormat="false" ht="22.35" hidden="false" customHeight="false" outlineLevel="0" collapsed="false">
      <c r="A1731" s="10" t="s">
        <v>8434</v>
      </c>
      <c r="B1731" s="17" t="s">
        <v>103</v>
      </c>
      <c r="C1731" s="18" t="s">
        <v>104</v>
      </c>
      <c r="D1731" s="17" t="s">
        <v>20</v>
      </c>
      <c r="E1731" s="17" t="s">
        <v>75</v>
      </c>
      <c r="F1731" s="17" t="s">
        <v>7502</v>
      </c>
      <c r="G1731" s="17" t="s">
        <v>105</v>
      </c>
      <c r="H1731" s="17" t="s">
        <v>32</v>
      </c>
      <c r="I1731" s="17" t="s">
        <v>1413</v>
      </c>
      <c r="J1731" s="17" t="s">
        <v>7763</v>
      </c>
      <c r="K1731" s="19"/>
      <c r="L1731" s="19"/>
      <c r="M1731" s="19"/>
      <c r="N1731" s="19"/>
      <c r="O1731" s="17" t="n">
        <v>3</v>
      </c>
      <c r="P1731" s="18" t="s">
        <v>8422</v>
      </c>
      <c r="Q1731" s="18" t="s">
        <v>7860</v>
      </c>
      <c r="R1731" s="18" t="s">
        <v>8435</v>
      </c>
      <c r="S1731" s="17" t="s">
        <v>8436</v>
      </c>
      <c r="T1731" s="18" t="s">
        <v>3614</v>
      </c>
      <c r="U1731" s="19"/>
      <c r="V1731" s="18" t="s">
        <v>8437</v>
      </c>
      <c r="W1731" s="17" t="s">
        <v>240</v>
      </c>
      <c r="X1731" s="17" t="s">
        <v>8438</v>
      </c>
      <c r="Y1731" s="17" t="s">
        <v>242</v>
      </c>
      <c r="Z1731" s="19"/>
      <c r="AA1731" s="19"/>
      <c r="AB1731" s="17"/>
      <c r="AC1731" s="19"/>
    </row>
    <row r="1732" customFormat="false" ht="15" hidden="false" customHeight="false" outlineLevel="0" collapsed="false">
      <c r="A1732" s="10" t="s">
        <v>8439</v>
      </c>
      <c r="B1732" s="17" t="s">
        <v>103</v>
      </c>
      <c r="C1732" s="18" t="s">
        <v>104</v>
      </c>
      <c r="D1732" s="17" t="s">
        <v>20</v>
      </c>
      <c r="E1732" s="17" t="s">
        <v>229</v>
      </c>
      <c r="F1732" s="17" t="s">
        <v>7502</v>
      </c>
      <c r="G1732" s="17" t="s">
        <v>105</v>
      </c>
      <c r="H1732" s="17" t="s">
        <v>32</v>
      </c>
      <c r="I1732" s="17" t="s">
        <v>333</v>
      </c>
      <c r="J1732" s="17" t="s">
        <v>7569</v>
      </c>
      <c r="K1732" s="19"/>
      <c r="L1732" s="19"/>
      <c r="M1732" s="19"/>
      <c r="N1732" s="19"/>
      <c r="O1732" s="17" t="n">
        <v>3</v>
      </c>
      <c r="P1732" s="18" t="s">
        <v>8422</v>
      </c>
      <c r="Q1732" s="18" t="s">
        <v>7860</v>
      </c>
      <c r="R1732" s="18" t="s">
        <v>8440</v>
      </c>
      <c r="S1732" s="17" t="s">
        <v>8421</v>
      </c>
      <c r="T1732" s="18" t="s">
        <v>3618</v>
      </c>
      <c r="U1732" s="19"/>
      <c r="V1732" s="18" t="s">
        <v>8441</v>
      </c>
      <c r="W1732" s="17" t="s">
        <v>240</v>
      </c>
      <c r="X1732" s="17" t="s">
        <v>2494</v>
      </c>
      <c r="Y1732" s="17" t="s">
        <v>242</v>
      </c>
      <c r="Z1732" s="19"/>
      <c r="AA1732" s="19"/>
      <c r="AB1732" s="17"/>
      <c r="AC1732" s="19"/>
    </row>
    <row r="1733" customFormat="false" ht="15" hidden="false" customHeight="false" outlineLevel="0" collapsed="false">
      <c r="A1733" s="10" t="s">
        <v>8442</v>
      </c>
      <c r="B1733" s="17" t="s">
        <v>103</v>
      </c>
      <c r="C1733" s="18" t="s">
        <v>104</v>
      </c>
      <c r="D1733" s="17" t="s">
        <v>20</v>
      </c>
      <c r="E1733" s="17" t="s">
        <v>75</v>
      </c>
      <c r="F1733" s="17" t="s">
        <v>7502</v>
      </c>
      <c r="G1733" s="17" t="s">
        <v>105</v>
      </c>
      <c r="H1733" s="17" t="s">
        <v>32</v>
      </c>
      <c r="I1733" s="17" t="s">
        <v>283</v>
      </c>
      <c r="J1733" s="17" t="s">
        <v>7503</v>
      </c>
      <c r="K1733" s="19"/>
      <c r="L1733" s="19"/>
      <c r="M1733" s="19"/>
      <c r="N1733" s="19"/>
      <c r="O1733" s="17" t="n">
        <v>3</v>
      </c>
      <c r="P1733" s="18" t="s">
        <v>8422</v>
      </c>
      <c r="Q1733" s="18" t="s">
        <v>4948</v>
      </c>
      <c r="R1733" s="18" t="s">
        <v>8443</v>
      </c>
      <c r="S1733" s="17" t="s">
        <v>8444</v>
      </c>
      <c r="T1733" s="18" t="s">
        <v>8445</v>
      </c>
      <c r="U1733" s="19"/>
      <c r="V1733" s="18" t="s">
        <v>7560</v>
      </c>
      <c r="W1733" s="17" t="s">
        <v>240</v>
      </c>
      <c r="X1733" s="17" t="s">
        <v>7887</v>
      </c>
      <c r="Y1733" s="17" t="s">
        <v>242</v>
      </c>
      <c r="Z1733" s="19"/>
      <c r="AA1733" s="19"/>
      <c r="AB1733" s="17"/>
      <c r="AC1733" s="19"/>
    </row>
    <row r="1734" customFormat="false" ht="15" hidden="false" customHeight="false" outlineLevel="0" collapsed="false">
      <c r="A1734" s="10" t="s">
        <v>8446</v>
      </c>
      <c r="B1734" s="17" t="s">
        <v>100</v>
      </c>
      <c r="C1734" s="18" t="s">
        <v>101</v>
      </c>
      <c r="D1734" s="17" t="s">
        <v>20</v>
      </c>
      <c r="E1734" s="17" t="s">
        <v>75</v>
      </c>
      <c r="F1734" s="17" t="s">
        <v>7502</v>
      </c>
      <c r="G1734" s="17" t="s">
        <v>3638</v>
      </c>
      <c r="H1734" s="17" t="s">
        <v>33</v>
      </c>
      <c r="I1734" s="17" t="s">
        <v>283</v>
      </c>
      <c r="J1734" s="17" t="s">
        <v>7503</v>
      </c>
      <c r="K1734" s="19"/>
      <c r="L1734" s="19"/>
      <c r="M1734" s="19"/>
      <c r="N1734" s="19"/>
      <c r="O1734" s="17" t="n">
        <v>2</v>
      </c>
      <c r="P1734" s="18" t="s">
        <v>8447</v>
      </c>
      <c r="Q1734" s="18" t="s">
        <v>7854</v>
      </c>
      <c r="R1734" s="18" t="s">
        <v>7855</v>
      </c>
      <c r="S1734" s="17" t="s">
        <v>7849</v>
      </c>
      <c r="T1734" s="18" t="s">
        <v>7856</v>
      </c>
      <c r="U1734" s="19"/>
      <c r="V1734" s="18" t="s">
        <v>7857</v>
      </c>
      <c r="W1734" s="17" t="s">
        <v>240</v>
      </c>
      <c r="X1734" s="17" t="s">
        <v>7858</v>
      </c>
      <c r="Y1734" s="17" t="s">
        <v>242</v>
      </c>
      <c r="Z1734" s="19"/>
      <c r="AA1734" s="19"/>
      <c r="AB1734" s="17"/>
      <c r="AC1734" s="19"/>
    </row>
    <row r="1735" customFormat="false" ht="22.35" hidden="false" customHeight="false" outlineLevel="0" collapsed="false">
      <c r="A1735" s="10" t="s">
        <v>8448</v>
      </c>
      <c r="B1735" s="17" t="s">
        <v>100</v>
      </c>
      <c r="C1735" s="18" t="s">
        <v>101</v>
      </c>
      <c r="D1735" s="17" t="s">
        <v>20</v>
      </c>
      <c r="E1735" s="17" t="s">
        <v>75</v>
      </c>
      <c r="F1735" s="17" t="s">
        <v>7502</v>
      </c>
      <c r="G1735" s="17" t="s">
        <v>3638</v>
      </c>
      <c r="H1735" s="17" t="s">
        <v>33</v>
      </c>
      <c r="I1735" s="17" t="s">
        <v>1564</v>
      </c>
      <c r="J1735" s="17" t="s">
        <v>7503</v>
      </c>
      <c r="K1735" s="19"/>
      <c r="L1735" s="19"/>
      <c r="M1735" s="19"/>
      <c r="N1735" s="19"/>
      <c r="O1735" s="17" t="n">
        <v>2</v>
      </c>
      <c r="P1735" s="18" t="s">
        <v>8447</v>
      </c>
      <c r="Q1735" s="18" t="s">
        <v>7860</v>
      </c>
      <c r="R1735" s="18" t="s">
        <v>8449</v>
      </c>
      <c r="S1735" s="17" t="s">
        <v>8446</v>
      </c>
      <c r="T1735" s="18" t="s">
        <v>8450</v>
      </c>
      <c r="U1735" s="19"/>
      <c r="V1735" s="18" t="s">
        <v>8451</v>
      </c>
      <c r="W1735" s="17" t="s">
        <v>240</v>
      </c>
      <c r="X1735" s="17" t="s">
        <v>8452</v>
      </c>
      <c r="Y1735" s="17" t="s">
        <v>242</v>
      </c>
      <c r="Z1735" s="19"/>
      <c r="AA1735" s="19"/>
      <c r="AB1735" s="17"/>
      <c r="AC1735" s="19"/>
    </row>
    <row r="1736" customFormat="false" ht="22.35" hidden="false" customHeight="false" outlineLevel="0" collapsed="false">
      <c r="A1736" s="10" t="s">
        <v>8453</v>
      </c>
      <c r="B1736" s="17" t="s">
        <v>100</v>
      </c>
      <c r="C1736" s="18" t="s">
        <v>101</v>
      </c>
      <c r="D1736" s="17" t="s">
        <v>20</v>
      </c>
      <c r="E1736" s="17" t="s">
        <v>75</v>
      </c>
      <c r="F1736" s="17" t="s">
        <v>7502</v>
      </c>
      <c r="G1736" s="17" t="s">
        <v>3638</v>
      </c>
      <c r="H1736" s="17" t="s">
        <v>33</v>
      </c>
      <c r="I1736" s="17" t="s">
        <v>2896</v>
      </c>
      <c r="J1736" s="17" t="s">
        <v>7503</v>
      </c>
      <c r="K1736" s="19"/>
      <c r="L1736" s="19"/>
      <c r="M1736" s="19"/>
      <c r="N1736" s="19"/>
      <c r="O1736" s="17" t="n">
        <v>2</v>
      </c>
      <c r="P1736" s="18" t="s">
        <v>8447</v>
      </c>
      <c r="Q1736" s="18" t="s">
        <v>7860</v>
      </c>
      <c r="R1736" s="18" t="s">
        <v>8454</v>
      </c>
      <c r="S1736" s="17" t="s">
        <v>8446</v>
      </c>
      <c r="T1736" s="18" t="s">
        <v>8455</v>
      </c>
      <c r="U1736" s="19"/>
      <c r="V1736" s="18" t="s">
        <v>8456</v>
      </c>
      <c r="W1736" s="17" t="s">
        <v>240</v>
      </c>
      <c r="X1736" s="17" t="s">
        <v>8457</v>
      </c>
      <c r="Y1736" s="17" t="s">
        <v>242</v>
      </c>
      <c r="Z1736" s="19"/>
      <c r="AA1736" s="19"/>
      <c r="AB1736" s="17"/>
      <c r="AC1736" s="19"/>
    </row>
    <row r="1737" customFormat="false" ht="15" hidden="false" customHeight="false" outlineLevel="0" collapsed="false">
      <c r="A1737" s="10" t="s">
        <v>8458</v>
      </c>
      <c r="B1737" s="17" t="s">
        <v>100</v>
      </c>
      <c r="C1737" s="18" t="s">
        <v>101</v>
      </c>
      <c r="D1737" s="17" t="s">
        <v>20</v>
      </c>
      <c r="E1737" s="17" t="s">
        <v>75</v>
      </c>
      <c r="F1737" s="17" t="s">
        <v>7502</v>
      </c>
      <c r="G1737" s="17" t="s">
        <v>3638</v>
      </c>
      <c r="H1737" s="17" t="s">
        <v>33</v>
      </c>
      <c r="I1737" s="17" t="s">
        <v>277</v>
      </c>
      <c r="J1737" s="17" t="s">
        <v>7670</v>
      </c>
      <c r="K1737" s="19"/>
      <c r="L1737" s="19"/>
      <c r="M1737" s="19"/>
      <c r="N1737" s="19"/>
      <c r="O1737" s="17" t="n">
        <v>2</v>
      </c>
      <c r="P1737" s="18" t="s">
        <v>8447</v>
      </c>
      <c r="Q1737" s="18" t="s">
        <v>7860</v>
      </c>
      <c r="R1737" s="18" t="s">
        <v>8459</v>
      </c>
      <c r="S1737" s="17" t="s">
        <v>8446</v>
      </c>
      <c r="T1737" s="18" t="s">
        <v>8460</v>
      </c>
      <c r="U1737" s="19"/>
      <c r="V1737" s="18" t="s">
        <v>8461</v>
      </c>
      <c r="W1737" s="17" t="s">
        <v>240</v>
      </c>
      <c r="X1737" s="17" t="s">
        <v>8462</v>
      </c>
      <c r="Y1737" s="17" t="s">
        <v>242</v>
      </c>
      <c r="Z1737" s="19"/>
      <c r="AA1737" s="19"/>
      <c r="AB1737" s="17"/>
      <c r="AC1737" s="19"/>
    </row>
    <row r="1738" customFormat="false" ht="22.35" hidden="false" customHeight="false" outlineLevel="0" collapsed="false">
      <c r="A1738" s="10" t="s">
        <v>8463</v>
      </c>
      <c r="B1738" s="17" t="s">
        <v>100</v>
      </c>
      <c r="C1738" s="18" t="s">
        <v>101</v>
      </c>
      <c r="D1738" s="17" t="s">
        <v>20</v>
      </c>
      <c r="E1738" s="17" t="s">
        <v>229</v>
      </c>
      <c r="F1738" s="17" t="s">
        <v>7502</v>
      </c>
      <c r="G1738" s="17" t="s">
        <v>3638</v>
      </c>
      <c r="H1738" s="17" t="s">
        <v>33</v>
      </c>
      <c r="I1738" s="17" t="s">
        <v>450</v>
      </c>
      <c r="J1738" s="17" t="s">
        <v>7503</v>
      </c>
      <c r="K1738" s="19"/>
      <c r="L1738" s="19"/>
      <c r="M1738" s="19"/>
      <c r="N1738" s="19"/>
      <c r="O1738" s="17" t="n">
        <v>2</v>
      </c>
      <c r="P1738" s="18" t="s">
        <v>8447</v>
      </c>
      <c r="Q1738" s="18" t="s">
        <v>7860</v>
      </c>
      <c r="R1738" s="18" t="s">
        <v>8464</v>
      </c>
      <c r="S1738" s="17" t="s">
        <v>8446</v>
      </c>
      <c r="T1738" s="18" t="s">
        <v>8306</v>
      </c>
      <c r="U1738" s="19"/>
      <c r="V1738" s="18" t="s">
        <v>8465</v>
      </c>
      <c r="W1738" s="17" t="s">
        <v>240</v>
      </c>
      <c r="X1738" s="17" t="s">
        <v>8226</v>
      </c>
      <c r="Y1738" s="17" t="s">
        <v>242</v>
      </c>
      <c r="Z1738" s="19"/>
      <c r="AA1738" s="19"/>
      <c r="AB1738" s="17"/>
      <c r="AC1738" s="19"/>
    </row>
    <row r="1739" customFormat="false" ht="22.35" hidden="false" customHeight="false" outlineLevel="0" collapsed="false">
      <c r="A1739" s="10" t="s">
        <v>8466</v>
      </c>
      <c r="B1739" s="17" t="s">
        <v>100</v>
      </c>
      <c r="C1739" s="18" t="s">
        <v>101</v>
      </c>
      <c r="D1739" s="17" t="s">
        <v>20</v>
      </c>
      <c r="E1739" s="17" t="s">
        <v>75</v>
      </c>
      <c r="F1739" s="17" t="s">
        <v>7502</v>
      </c>
      <c r="G1739" s="17" t="s">
        <v>3638</v>
      </c>
      <c r="H1739" s="17" t="s">
        <v>33</v>
      </c>
      <c r="I1739" s="17" t="s">
        <v>1564</v>
      </c>
      <c r="J1739" s="17" t="s">
        <v>7525</v>
      </c>
      <c r="K1739" s="19"/>
      <c r="L1739" s="19"/>
      <c r="M1739" s="19"/>
      <c r="N1739" s="19"/>
      <c r="O1739" s="17" t="n">
        <v>2</v>
      </c>
      <c r="P1739" s="18" t="s">
        <v>8447</v>
      </c>
      <c r="Q1739" s="18" t="s">
        <v>7860</v>
      </c>
      <c r="R1739" s="18" t="s">
        <v>8467</v>
      </c>
      <c r="S1739" s="17" t="s">
        <v>8446</v>
      </c>
      <c r="T1739" s="18" t="s">
        <v>8468</v>
      </c>
      <c r="U1739" s="19"/>
      <c r="V1739" s="18" t="s">
        <v>8469</v>
      </c>
      <c r="W1739" s="17" t="s">
        <v>240</v>
      </c>
      <c r="X1739" s="17" t="s">
        <v>8470</v>
      </c>
      <c r="Y1739" s="17" t="s">
        <v>242</v>
      </c>
      <c r="Z1739" s="19"/>
      <c r="AA1739" s="19"/>
      <c r="AB1739" s="17"/>
      <c r="AC1739" s="19"/>
    </row>
    <row r="1740" customFormat="false" ht="15" hidden="false" customHeight="false" outlineLevel="0" collapsed="false">
      <c r="A1740" s="10" t="s">
        <v>8471</v>
      </c>
      <c r="B1740" s="17" t="s">
        <v>100</v>
      </c>
      <c r="C1740" s="18" t="s">
        <v>101</v>
      </c>
      <c r="D1740" s="17" t="s">
        <v>20</v>
      </c>
      <c r="E1740" s="17" t="s">
        <v>75</v>
      </c>
      <c r="F1740" s="17" t="s">
        <v>7502</v>
      </c>
      <c r="G1740" s="17" t="s">
        <v>3638</v>
      </c>
      <c r="H1740" s="17" t="s">
        <v>33</v>
      </c>
      <c r="I1740" s="17" t="s">
        <v>283</v>
      </c>
      <c r="J1740" s="17" t="s">
        <v>7503</v>
      </c>
      <c r="K1740" s="19"/>
      <c r="L1740" s="19"/>
      <c r="M1740" s="19"/>
      <c r="N1740" s="19"/>
      <c r="O1740" s="17" t="n">
        <v>2</v>
      </c>
      <c r="P1740" s="18" t="s">
        <v>8447</v>
      </c>
      <c r="Q1740" s="18" t="s">
        <v>4948</v>
      </c>
      <c r="R1740" s="18" t="s">
        <v>8472</v>
      </c>
      <c r="S1740" s="17" t="s">
        <v>8473</v>
      </c>
      <c r="T1740" s="18" t="s">
        <v>8474</v>
      </c>
      <c r="U1740" s="19"/>
      <c r="V1740" s="18" t="s">
        <v>7560</v>
      </c>
      <c r="W1740" s="17" t="s">
        <v>240</v>
      </c>
      <c r="X1740" s="17" t="s">
        <v>7887</v>
      </c>
      <c r="Y1740" s="17" t="s">
        <v>242</v>
      </c>
      <c r="Z1740" s="19"/>
      <c r="AA1740" s="19"/>
      <c r="AB1740" s="17"/>
      <c r="AC1740" s="19"/>
    </row>
    <row r="1741" customFormat="false" ht="22.35" hidden="false" customHeight="false" outlineLevel="0" collapsed="false">
      <c r="A1741" s="10" t="s">
        <v>8475</v>
      </c>
      <c r="B1741" s="17" t="s">
        <v>94</v>
      </c>
      <c r="C1741" s="18" t="s">
        <v>95</v>
      </c>
      <c r="D1741" s="17" t="s">
        <v>20</v>
      </c>
      <c r="E1741" s="17" t="s">
        <v>75</v>
      </c>
      <c r="F1741" s="17" t="s">
        <v>7502</v>
      </c>
      <c r="G1741" s="17" t="s">
        <v>96</v>
      </c>
      <c r="H1741" s="17" t="s">
        <v>33</v>
      </c>
      <c r="I1741" s="17" t="s">
        <v>283</v>
      </c>
      <c r="J1741" s="17" t="s">
        <v>7503</v>
      </c>
      <c r="K1741" s="19"/>
      <c r="L1741" s="19"/>
      <c r="M1741" s="19"/>
      <c r="N1741" s="19"/>
      <c r="O1741" s="17" t="n">
        <v>2</v>
      </c>
      <c r="P1741" s="18" t="s">
        <v>8476</v>
      </c>
      <c r="Q1741" s="18" t="s">
        <v>7854</v>
      </c>
      <c r="R1741" s="18" t="s">
        <v>7855</v>
      </c>
      <c r="S1741" s="17" t="s">
        <v>7849</v>
      </c>
      <c r="T1741" s="18" t="s">
        <v>7856</v>
      </c>
      <c r="U1741" s="19"/>
      <c r="V1741" s="18" t="s">
        <v>7857</v>
      </c>
      <c r="W1741" s="17" t="s">
        <v>240</v>
      </c>
      <c r="X1741" s="17" t="s">
        <v>7858</v>
      </c>
      <c r="Y1741" s="17" t="s">
        <v>242</v>
      </c>
      <c r="Z1741" s="19"/>
      <c r="AA1741" s="19"/>
      <c r="AB1741" s="17"/>
      <c r="AC1741" s="19"/>
    </row>
    <row r="1742" customFormat="false" ht="32.8" hidden="false" customHeight="false" outlineLevel="0" collapsed="false">
      <c r="A1742" s="10" t="s">
        <v>8477</v>
      </c>
      <c r="B1742" s="17" t="s">
        <v>94</v>
      </c>
      <c r="C1742" s="18" t="s">
        <v>95</v>
      </c>
      <c r="D1742" s="17" t="s">
        <v>20</v>
      </c>
      <c r="E1742" s="17" t="s">
        <v>229</v>
      </c>
      <c r="F1742" s="17" t="s">
        <v>7502</v>
      </c>
      <c r="G1742" s="17" t="s">
        <v>96</v>
      </c>
      <c r="H1742" s="17" t="s">
        <v>33</v>
      </c>
      <c r="I1742" s="17" t="s">
        <v>277</v>
      </c>
      <c r="J1742" s="17" t="s">
        <v>7503</v>
      </c>
      <c r="K1742" s="19"/>
      <c r="L1742" s="19"/>
      <c r="M1742" s="19"/>
      <c r="N1742" s="19"/>
      <c r="O1742" s="17" t="n">
        <v>2</v>
      </c>
      <c r="P1742" s="18" t="s">
        <v>8476</v>
      </c>
      <c r="Q1742" s="18" t="s">
        <v>7860</v>
      </c>
      <c r="R1742" s="18" t="s">
        <v>8478</v>
      </c>
      <c r="S1742" s="17" t="s">
        <v>8475</v>
      </c>
      <c r="T1742" s="18" t="s">
        <v>8479</v>
      </c>
      <c r="U1742" s="19"/>
      <c r="V1742" s="18" t="s">
        <v>8480</v>
      </c>
      <c r="W1742" s="17" t="s">
        <v>240</v>
      </c>
      <c r="X1742" s="17" t="s">
        <v>8226</v>
      </c>
      <c r="Y1742" s="17" t="s">
        <v>242</v>
      </c>
      <c r="Z1742" s="19"/>
      <c r="AA1742" s="19"/>
      <c r="AB1742" s="17"/>
      <c r="AC1742" s="19"/>
    </row>
    <row r="1743" customFormat="false" ht="43.25" hidden="false" customHeight="false" outlineLevel="0" collapsed="false">
      <c r="A1743" s="10" t="s">
        <v>8481</v>
      </c>
      <c r="B1743" s="17" t="s">
        <v>94</v>
      </c>
      <c r="C1743" s="18" t="s">
        <v>95</v>
      </c>
      <c r="D1743" s="17" t="s">
        <v>20</v>
      </c>
      <c r="E1743" s="17" t="s">
        <v>229</v>
      </c>
      <c r="F1743" s="17" t="s">
        <v>7502</v>
      </c>
      <c r="G1743" s="17" t="s">
        <v>96</v>
      </c>
      <c r="H1743" s="17" t="s">
        <v>33</v>
      </c>
      <c r="I1743" s="17" t="s">
        <v>277</v>
      </c>
      <c r="J1743" s="17" t="s">
        <v>7575</v>
      </c>
      <c r="K1743" s="19"/>
      <c r="L1743" s="19"/>
      <c r="M1743" s="19"/>
      <c r="N1743" s="19"/>
      <c r="O1743" s="17" t="n">
        <v>2</v>
      </c>
      <c r="P1743" s="18" t="s">
        <v>8476</v>
      </c>
      <c r="Q1743" s="18" t="s">
        <v>7860</v>
      </c>
      <c r="R1743" s="18" t="s">
        <v>8482</v>
      </c>
      <c r="S1743" s="17" t="s">
        <v>8483</v>
      </c>
      <c r="T1743" s="18" t="s">
        <v>3823</v>
      </c>
      <c r="U1743" s="19"/>
      <c r="V1743" s="18" t="s">
        <v>8484</v>
      </c>
      <c r="W1743" s="17" t="s">
        <v>240</v>
      </c>
      <c r="X1743" s="17" t="s">
        <v>3527</v>
      </c>
      <c r="Y1743" s="17" t="s">
        <v>242</v>
      </c>
      <c r="Z1743" s="19"/>
      <c r="AA1743" s="19"/>
      <c r="AB1743" s="17"/>
      <c r="AC1743" s="19"/>
    </row>
    <row r="1744" customFormat="false" ht="22.35" hidden="false" customHeight="false" outlineLevel="0" collapsed="false">
      <c r="A1744" s="10" t="s">
        <v>8485</v>
      </c>
      <c r="B1744" s="17" t="s">
        <v>94</v>
      </c>
      <c r="C1744" s="18" t="s">
        <v>95</v>
      </c>
      <c r="D1744" s="17" t="s">
        <v>20</v>
      </c>
      <c r="E1744" s="17" t="s">
        <v>229</v>
      </c>
      <c r="F1744" s="17" t="s">
        <v>7502</v>
      </c>
      <c r="G1744" s="17" t="s">
        <v>96</v>
      </c>
      <c r="H1744" s="17" t="s">
        <v>33</v>
      </c>
      <c r="I1744" s="17" t="s">
        <v>450</v>
      </c>
      <c r="J1744" s="17" t="s">
        <v>7503</v>
      </c>
      <c r="K1744" s="19"/>
      <c r="L1744" s="19"/>
      <c r="M1744" s="19"/>
      <c r="N1744" s="19"/>
      <c r="O1744" s="17" t="n">
        <v>2</v>
      </c>
      <c r="P1744" s="18" t="s">
        <v>8476</v>
      </c>
      <c r="Q1744" s="18" t="s">
        <v>7860</v>
      </c>
      <c r="R1744" s="18" t="s">
        <v>8486</v>
      </c>
      <c r="S1744" s="17" t="s">
        <v>8475</v>
      </c>
      <c r="T1744" s="18" t="s">
        <v>8487</v>
      </c>
      <c r="U1744" s="19"/>
      <c r="V1744" s="18" t="s">
        <v>8488</v>
      </c>
      <c r="W1744" s="17" t="s">
        <v>240</v>
      </c>
      <c r="X1744" s="17" t="s">
        <v>8226</v>
      </c>
      <c r="Y1744" s="17" t="s">
        <v>242</v>
      </c>
      <c r="Z1744" s="19"/>
      <c r="AA1744" s="19"/>
      <c r="AB1744" s="17"/>
      <c r="AC1744" s="19"/>
    </row>
    <row r="1745" customFormat="false" ht="22.35" hidden="false" customHeight="false" outlineLevel="0" collapsed="false">
      <c r="A1745" s="10" t="s">
        <v>8489</v>
      </c>
      <c r="B1745" s="17" t="s">
        <v>94</v>
      </c>
      <c r="C1745" s="18" t="s">
        <v>95</v>
      </c>
      <c r="D1745" s="17" t="s">
        <v>20</v>
      </c>
      <c r="E1745" s="17" t="s">
        <v>229</v>
      </c>
      <c r="F1745" s="17" t="s">
        <v>7502</v>
      </c>
      <c r="G1745" s="17" t="s">
        <v>96</v>
      </c>
      <c r="H1745" s="17" t="s">
        <v>33</v>
      </c>
      <c r="I1745" s="17" t="s">
        <v>277</v>
      </c>
      <c r="J1745" s="17" t="s">
        <v>7575</v>
      </c>
      <c r="K1745" s="19"/>
      <c r="L1745" s="19"/>
      <c r="M1745" s="19"/>
      <c r="N1745" s="19"/>
      <c r="O1745" s="17" t="n">
        <v>2</v>
      </c>
      <c r="P1745" s="18" t="s">
        <v>8476</v>
      </c>
      <c r="Q1745" s="18" t="s">
        <v>7860</v>
      </c>
      <c r="R1745" s="18" t="s">
        <v>8490</v>
      </c>
      <c r="S1745" s="17" t="s">
        <v>8475</v>
      </c>
      <c r="T1745" s="18" t="s">
        <v>8491</v>
      </c>
      <c r="U1745" s="19"/>
      <c r="V1745" s="18" t="s">
        <v>8492</v>
      </c>
      <c r="W1745" s="17" t="s">
        <v>383</v>
      </c>
      <c r="X1745" s="17" t="s">
        <v>8493</v>
      </c>
      <c r="Y1745" s="17" t="s">
        <v>242</v>
      </c>
      <c r="Z1745" s="19"/>
      <c r="AA1745" s="19"/>
      <c r="AB1745" s="17"/>
      <c r="AC1745" s="19"/>
    </row>
    <row r="1746" customFormat="false" ht="22.35" hidden="false" customHeight="false" outlineLevel="0" collapsed="false">
      <c r="A1746" s="10" t="s">
        <v>8494</v>
      </c>
      <c r="B1746" s="17" t="s">
        <v>94</v>
      </c>
      <c r="C1746" s="18" t="s">
        <v>95</v>
      </c>
      <c r="D1746" s="17" t="s">
        <v>20</v>
      </c>
      <c r="E1746" s="17" t="s">
        <v>75</v>
      </c>
      <c r="F1746" s="17" t="s">
        <v>7502</v>
      </c>
      <c r="G1746" s="17" t="s">
        <v>96</v>
      </c>
      <c r="H1746" s="17" t="s">
        <v>33</v>
      </c>
      <c r="I1746" s="17" t="s">
        <v>283</v>
      </c>
      <c r="J1746" s="17" t="s">
        <v>7503</v>
      </c>
      <c r="K1746" s="19"/>
      <c r="L1746" s="19"/>
      <c r="M1746" s="19"/>
      <c r="N1746" s="19"/>
      <c r="O1746" s="17" t="n">
        <v>2</v>
      </c>
      <c r="P1746" s="18" t="s">
        <v>8476</v>
      </c>
      <c r="Q1746" s="18" t="s">
        <v>4948</v>
      </c>
      <c r="R1746" s="18" t="s">
        <v>8495</v>
      </c>
      <c r="S1746" s="17" t="s">
        <v>8496</v>
      </c>
      <c r="T1746" s="18" t="s">
        <v>8497</v>
      </c>
      <c r="U1746" s="19"/>
      <c r="V1746" s="18" t="s">
        <v>7560</v>
      </c>
      <c r="W1746" s="17" t="s">
        <v>240</v>
      </c>
      <c r="X1746" s="17" t="s">
        <v>7887</v>
      </c>
      <c r="Y1746" s="17" t="s">
        <v>242</v>
      </c>
      <c r="Z1746" s="19"/>
      <c r="AA1746" s="19"/>
      <c r="AB1746" s="17"/>
      <c r="AC1746" s="19"/>
    </row>
    <row r="1747" customFormat="false" ht="22.35" hidden="false" customHeight="false" outlineLevel="0" collapsed="false">
      <c r="A1747" s="10" t="s">
        <v>8498</v>
      </c>
      <c r="B1747" s="17" t="s">
        <v>60</v>
      </c>
      <c r="C1747" s="18" t="s">
        <v>61</v>
      </c>
      <c r="D1747" s="17" t="s">
        <v>20</v>
      </c>
      <c r="E1747" s="17" t="s">
        <v>75</v>
      </c>
      <c r="F1747" s="17" t="s">
        <v>7502</v>
      </c>
      <c r="G1747" s="17" t="s">
        <v>4192</v>
      </c>
      <c r="H1747" s="17" t="s">
        <v>32</v>
      </c>
      <c r="I1747" s="17" t="s">
        <v>283</v>
      </c>
      <c r="J1747" s="17" t="s">
        <v>7503</v>
      </c>
      <c r="K1747" s="19"/>
      <c r="L1747" s="19"/>
      <c r="M1747" s="19"/>
      <c r="N1747" s="19"/>
      <c r="O1747" s="17" t="n">
        <v>3</v>
      </c>
      <c r="P1747" s="18" t="s">
        <v>8499</v>
      </c>
      <c r="Q1747" s="18" t="s">
        <v>7854</v>
      </c>
      <c r="R1747" s="18" t="s">
        <v>8423</v>
      </c>
      <c r="S1747" s="17" t="s">
        <v>7849</v>
      </c>
      <c r="T1747" s="18" t="s">
        <v>7856</v>
      </c>
      <c r="U1747" s="19"/>
      <c r="V1747" s="18" t="s">
        <v>7857</v>
      </c>
      <c r="W1747" s="17" t="s">
        <v>240</v>
      </c>
      <c r="X1747" s="17" t="s">
        <v>7858</v>
      </c>
      <c r="Y1747" s="17" t="s">
        <v>242</v>
      </c>
      <c r="Z1747" s="19"/>
      <c r="AA1747" s="19"/>
      <c r="AB1747" s="17"/>
      <c r="AC1747" s="19"/>
    </row>
    <row r="1748" customFormat="false" ht="32.8" hidden="false" customHeight="false" outlineLevel="0" collapsed="false">
      <c r="A1748" s="10" t="s">
        <v>8500</v>
      </c>
      <c r="B1748" s="17" t="s">
        <v>60</v>
      </c>
      <c r="C1748" s="18" t="s">
        <v>61</v>
      </c>
      <c r="D1748" s="17" t="s">
        <v>20</v>
      </c>
      <c r="E1748" s="17" t="s">
        <v>75</v>
      </c>
      <c r="F1748" s="17" t="s">
        <v>7502</v>
      </c>
      <c r="G1748" s="17" t="s">
        <v>4192</v>
      </c>
      <c r="H1748" s="17" t="s">
        <v>32</v>
      </c>
      <c r="I1748" s="17" t="s">
        <v>1413</v>
      </c>
      <c r="J1748" s="17" t="s">
        <v>7763</v>
      </c>
      <c r="K1748" s="19"/>
      <c r="L1748" s="19"/>
      <c r="M1748" s="19"/>
      <c r="N1748" s="19"/>
      <c r="O1748" s="17" t="n">
        <v>3</v>
      </c>
      <c r="P1748" s="18" t="s">
        <v>8499</v>
      </c>
      <c r="Q1748" s="18" t="s">
        <v>7860</v>
      </c>
      <c r="R1748" s="18" t="s">
        <v>8501</v>
      </c>
      <c r="S1748" s="17" t="s">
        <v>8502</v>
      </c>
      <c r="T1748" s="18" t="s">
        <v>8503</v>
      </c>
      <c r="U1748" s="19"/>
      <c r="V1748" s="18" t="s">
        <v>8504</v>
      </c>
      <c r="W1748" s="17" t="s">
        <v>383</v>
      </c>
      <c r="X1748" s="17" t="s">
        <v>8505</v>
      </c>
      <c r="Y1748" s="17" t="s">
        <v>242</v>
      </c>
      <c r="Z1748" s="19"/>
      <c r="AA1748" s="19"/>
      <c r="AB1748" s="17"/>
      <c r="AC1748" s="19"/>
    </row>
    <row r="1749" customFormat="false" ht="22.35" hidden="false" customHeight="false" outlineLevel="0" collapsed="false">
      <c r="A1749" s="10" t="s">
        <v>8506</v>
      </c>
      <c r="B1749" s="17" t="s">
        <v>60</v>
      </c>
      <c r="C1749" s="18" t="s">
        <v>61</v>
      </c>
      <c r="D1749" s="17" t="s">
        <v>20</v>
      </c>
      <c r="E1749" s="17" t="s">
        <v>75</v>
      </c>
      <c r="F1749" s="17" t="s">
        <v>7502</v>
      </c>
      <c r="G1749" s="17" t="s">
        <v>4192</v>
      </c>
      <c r="H1749" s="17" t="s">
        <v>32</v>
      </c>
      <c r="I1749" s="17" t="s">
        <v>1413</v>
      </c>
      <c r="J1749" s="17" t="s">
        <v>7763</v>
      </c>
      <c r="K1749" s="19"/>
      <c r="L1749" s="19"/>
      <c r="M1749" s="19"/>
      <c r="N1749" s="19"/>
      <c r="O1749" s="17" t="n">
        <v>3</v>
      </c>
      <c r="P1749" s="18" t="s">
        <v>8499</v>
      </c>
      <c r="Q1749" s="18" t="s">
        <v>7860</v>
      </c>
      <c r="R1749" s="18" t="s">
        <v>8507</v>
      </c>
      <c r="S1749" s="17" t="s">
        <v>8500</v>
      </c>
      <c r="T1749" s="18" t="s">
        <v>8508</v>
      </c>
      <c r="U1749" s="19"/>
      <c r="V1749" s="18" t="s">
        <v>8509</v>
      </c>
      <c r="W1749" s="17" t="s">
        <v>240</v>
      </c>
      <c r="X1749" s="17" t="s">
        <v>8510</v>
      </c>
      <c r="Y1749" s="17" t="s">
        <v>242</v>
      </c>
      <c r="Z1749" s="19"/>
      <c r="AA1749" s="19"/>
      <c r="AB1749" s="17"/>
      <c r="AC1749" s="19"/>
    </row>
    <row r="1750" customFormat="false" ht="22.35" hidden="false" customHeight="false" outlineLevel="0" collapsed="false">
      <c r="A1750" s="10" t="s">
        <v>8511</v>
      </c>
      <c r="B1750" s="17" t="s">
        <v>60</v>
      </c>
      <c r="C1750" s="18" t="s">
        <v>61</v>
      </c>
      <c r="D1750" s="17" t="s">
        <v>20</v>
      </c>
      <c r="E1750" s="17" t="s">
        <v>229</v>
      </c>
      <c r="F1750" s="17" t="s">
        <v>7502</v>
      </c>
      <c r="G1750" s="17" t="s">
        <v>4192</v>
      </c>
      <c r="H1750" s="17" t="s">
        <v>32</v>
      </c>
      <c r="I1750" s="17" t="s">
        <v>1413</v>
      </c>
      <c r="J1750" s="17" t="s">
        <v>7503</v>
      </c>
      <c r="K1750" s="19"/>
      <c r="L1750" s="19"/>
      <c r="M1750" s="19"/>
      <c r="N1750" s="19"/>
      <c r="O1750" s="17" t="n">
        <v>3</v>
      </c>
      <c r="P1750" s="18" t="s">
        <v>8499</v>
      </c>
      <c r="Q1750" s="18" t="s">
        <v>7860</v>
      </c>
      <c r="R1750" s="18" t="s">
        <v>8512</v>
      </c>
      <c r="S1750" s="17" t="s">
        <v>8513</v>
      </c>
      <c r="T1750" s="18" t="s">
        <v>8514</v>
      </c>
      <c r="U1750" s="19"/>
      <c r="V1750" s="18" t="s">
        <v>8515</v>
      </c>
      <c r="W1750" s="17" t="s">
        <v>383</v>
      </c>
      <c r="X1750" s="17" t="s">
        <v>8226</v>
      </c>
      <c r="Y1750" s="17" t="s">
        <v>242</v>
      </c>
      <c r="Z1750" s="19"/>
      <c r="AA1750" s="19"/>
      <c r="AB1750" s="17"/>
      <c r="AC1750" s="19"/>
    </row>
    <row r="1751" customFormat="false" ht="22.35" hidden="false" customHeight="false" outlineLevel="0" collapsed="false">
      <c r="A1751" s="10" t="s">
        <v>8516</v>
      </c>
      <c r="B1751" s="17" t="s">
        <v>60</v>
      </c>
      <c r="C1751" s="18" t="s">
        <v>61</v>
      </c>
      <c r="D1751" s="17" t="s">
        <v>20</v>
      </c>
      <c r="E1751" s="17" t="s">
        <v>229</v>
      </c>
      <c r="F1751" s="17" t="s">
        <v>7502</v>
      </c>
      <c r="G1751" s="17" t="s">
        <v>4192</v>
      </c>
      <c r="H1751" s="17" t="s">
        <v>32</v>
      </c>
      <c r="I1751" s="17" t="s">
        <v>333</v>
      </c>
      <c r="J1751" s="17" t="s">
        <v>7569</v>
      </c>
      <c r="K1751" s="19"/>
      <c r="L1751" s="19"/>
      <c r="M1751" s="19"/>
      <c r="N1751" s="19"/>
      <c r="O1751" s="17" t="n">
        <v>3</v>
      </c>
      <c r="P1751" s="18" t="s">
        <v>8499</v>
      </c>
      <c r="Q1751" s="18" t="s">
        <v>7860</v>
      </c>
      <c r="R1751" s="18" t="s">
        <v>8517</v>
      </c>
      <c r="S1751" s="17" t="s">
        <v>8498</v>
      </c>
      <c r="T1751" s="18" t="s">
        <v>8229</v>
      </c>
      <c r="U1751" s="19"/>
      <c r="V1751" s="18" t="s">
        <v>8518</v>
      </c>
      <c r="W1751" s="17" t="s">
        <v>383</v>
      </c>
      <c r="X1751" s="17" t="s">
        <v>2494</v>
      </c>
      <c r="Y1751" s="17" t="s">
        <v>242</v>
      </c>
      <c r="Z1751" s="19"/>
      <c r="AA1751" s="19"/>
      <c r="AB1751" s="17"/>
      <c r="AC1751" s="19"/>
    </row>
    <row r="1752" customFormat="false" ht="32.8" hidden="false" customHeight="false" outlineLevel="0" collapsed="false">
      <c r="A1752" s="10" t="s">
        <v>8519</v>
      </c>
      <c r="B1752" s="17" t="s">
        <v>60</v>
      </c>
      <c r="C1752" s="18" t="s">
        <v>61</v>
      </c>
      <c r="D1752" s="17" t="s">
        <v>20</v>
      </c>
      <c r="E1752" s="17" t="s">
        <v>229</v>
      </c>
      <c r="F1752" s="17" t="s">
        <v>7502</v>
      </c>
      <c r="G1752" s="17" t="s">
        <v>4192</v>
      </c>
      <c r="H1752" s="17" t="s">
        <v>32</v>
      </c>
      <c r="I1752" s="17" t="s">
        <v>1413</v>
      </c>
      <c r="J1752" s="17" t="s">
        <v>7525</v>
      </c>
      <c r="K1752" s="19"/>
      <c r="L1752" s="19"/>
      <c r="M1752" s="19"/>
      <c r="N1752" s="19"/>
      <c r="O1752" s="17" t="n">
        <v>3</v>
      </c>
      <c r="P1752" s="18" t="s">
        <v>8499</v>
      </c>
      <c r="Q1752" s="18" t="s">
        <v>7860</v>
      </c>
      <c r="R1752" s="18" t="s">
        <v>8520</v>
      </c>
      <c r="S1752" s="17" t="s">
        <v>8502</v>
      </c>
      <c r="T1752" s="18" t="s">
        <v>8521</v>
      </c>
      <c r="U1752" s="19"/>
      <c r="V1752" s="18" t="s">
        <v>8522</v>
      </c>
      <c r="W1752" s="17" t="s">
        <v>383</v>
      </c>
      <c r="X1752" s="17" t="s">
        <v>8523</v>
      </c>
      <c r="Y1752" s="17" t="s">
        <v>242</v>
      </c>
      <c r="Z1752" s="19"/>
      <c r="AA1752" s="19"/>
      <c r="AB1752" s="17"/>
      <c r="AC1752" s="19"/>
    </row>
    <row r="1753" customFormat="false" ht="15" hidden="false" customHeight="false" outlineLevel="0" collapsed="false">
      <c r="A1753" s="10" t="s">
        <v>8524</v>
      </c>
      <c r="B1753" s="17" t="s">
        <v>60</v>
      </c>
      <c r="C1753" s="18" t="s">
        <v>61</v>
      </c>
      <c r="D1753" s="17" t="s">
        <v>20</v>
      </c>
      <c r="E1753" s="17" t="s">
        <v>75</v>
      </c>
      <c r="F1753" s="17" t="s">
        <v>7502</v>
      </c>
      <c r="G1753" s="17" t="s">
        <v>4192</v>
      </c>
      <c r="H1753" s="17" t="s">
        <v>32</v>
      </c>
      <c r="I1753" s="17" t="s">
        <v>283</v>
      </c>
      <c r="J1753" s="17" t="s">
        <v>7503</v>
      </c>
      <c r="K1753" s="19"/>
      <c r="L1753" s="19"/>
      <c r="M1753" s="19"/>
      <c r="N1753" s="19"/>
      <c r="O1753" s="17" t="n">
        <v>3</v>
      </c>
      <c r="P1753" s="18" t="s">
        <v>8499</v>
      </c>
      <c r="Q1753" s="18" t="s">
        <v>4948</v>
      </c>
      <c r="R1753" s="18" t="s">
        <v>8525</v>
      </c>
      <c r="S1753" s="17" t="s">
        <v>8526</v>
      </c>
      <c r="T1753" s="18" t="s">
        <v>8527</v>
      </c>
      <c r="U1753" s="19"/>
      <c r="V1753" s="18" t="s">
        <v>7560</v>
      </c>
      <c r="W1753" s="17" t="s">
        <v>240</v>
      </c>
      <c r="X1753" s="17" t="s">
        <v>7887</v>
      </c>
      <c r="Y1753" s="17" t="s">
        <v>242</v>
      </c>
      <c r="Z1753" s="19"/>
      <c r="AA1753" s="19"/>
      <c r="AB1753" s="17"/>
      <c r="AC1753" s="19"/>
    </row>
    <row r="1754" customFormat="false" ht="22.35" hidden="false" customHeight="false" outlineLevel="0" collapsed="false">
      <c r="A1754" s="10" t="s">
        <v>8528</v>
      </c>
      <c r="B1754" s="17" t="s">
        <v>65</v>
      </c>
      <c r="C1754" s="18" t="s">
        <v>66</v>
      </c>
      <c r="D1754" s="17" t="s">
        <v>20</v>
      </c>
      <c r="E1754" s="17" t="s">
        <v>75</v>
      </c>
      <c r="F1754" s="17" t="s">
        <v>7502</v>
      </c>
      <c r="G1754" s="17" t="s">
        <v>4419</v>
      </c>
      <c r="H1754" s="17" t="s">
        <v>32</v>
      </c>
      <c r="I1754" s="17" t="s">
        <v>283</v>
      </c>
      <c r="J1754" s="17" t="s">
        <v>7515</v>
      </c>
      <c r="K1754" s="19"/>
      <c r="L1754" s="19"/>
      <c r="M1754" s="19"/>
      <c r="N1754" s="19"/>
      <c r="O1754" s="17" t="n">
        <v>3</v>
      </c>
      <c r="P1754" s="18" t="s">
        <v>8529</v>
      </c>
      <c r="Q1754" s="18" t="s">
        <v>7854</v>
      </c>
      <c r="R1754" s="18" t="s">
        <v>8423</v>
      </c>
      <c r="S1754" s="17" t="s">
        <v>7849</v>
      </c>
      <c r="T1754" s="18" t="s">
        <v>7856</v>
      </c>
      <c r="U1754" s="19"/>
      <c r="V1754" s="18" t="s">
        <v>7857</v>
      </c>
      <c r="W1754" s="17" t="s">
        <v>240</v>
      </c>
      <c r="X1754" s="17" t="s">
        <v>7858</v>
      </c>
      <c r="Y1754" s="17" t="s">
        <v>242</v>
      </c>
      <c r="Z1754" s="19"/>
      <c r="AA1754" s="19"/>
      <c r="AB1754" s="17"/>
      <c r="AC1754" s="19"/>
    </row>
    <row r="1755" customFormat="false" ht="32.8" hidden="false" customHeight="false" outlineLevel="0" collapsed="false">
      <c r="A1755" s="10" t="s">
        <v>8530</v>
      </c>
      <c r="B1755" s="17" t="s">
        <v>65</v>
      </c>
      <c r="C1755" s="18" t="s">
        <v>66</v>
      </c>
      <c r="D1755" s="17" t="s">
        <v>20</v>
      </c>
      <c r="E1755" s="17" t="s">
        <v>75</v>
      </c>
      <c r="F1755" s="17" t="s">
        <v>7502</v>
      </c>
      <c r="G1755" s="17" t="s">
        <v>4419</v>
      </c>
      <c r="H1755" s="17" t="s">
        <v>32</v>
      </c>
      <c r="I1755" s="17" t="s">
        <v>1413</v>
      </c>
      <c r="J1755" s="17" t="s">
        <v>7763</v>
      </c>
      <c r="K1755" s="19"/>
      <c r="L1755" s="19"/>
      <c r="M1755" s="19"/>
      <c r="N1755" s="19"/>
      <c r="O1755" s="17" t="n">
        <v>3</v>
      </c>
      <c r="P1755" s="18" t="s">
        <v>8529</v>
      </c>
      <c r="Q1755" s="18" t="s">
        <v>7860</v>
      </c>
      <c r="R1755" s="18" t="s">
        <v>8531</v>
      </c>
      <c r="S1755" s="17" t="s">
        <v>8532</v>
      </c>
      <c r="T1755" s="18" t="s">
        <v>8533</v>
      </c>
      <c r="U1755" s="19"/>
      <c r="V1755" s="18" t="s">
        <v>8534</v>
      </c>
      <c r="W1755" s="17" t="s">
        <v>240</v>
      </c>
      <c r="X1755" s="17" t="s">
        <v>8535</v>
      </c>
      <c r="Y1755" s="17" t="s">
        <v>242</v>
      </c>
      <c r="Z1755" s="19"/>
      <c r="AA1755" s="19"/>
      <c r="AB1755" s="17"/>
      <c r="AC1755" s="19"/>
    </row>
    <row r="1756" customFormat="false" ht="22.35" hidden="false" customHeight="false" outlineLevel="0" collapsed="false">
      <c r="A1756" s="10" t="s">
        <v>8536</v>
      </c>
      <c r="B1756" s="17" t="s">
        <v>65</v>
      </c>
      <c r="C1756" s="18" t="s">
        <v>66</v>
      </c>
      <c r="D1756" s="17" t="s">
        <v>20</v>
      </c>
      <c r="E1756" s="17" t="s">
        <v>75</v>
      </c>
      <c r="F1756" s="17" t="s">
        <v>7502</v>
      </c>
      <c r="G1756" s="17" t="s">
        <v>4419</v>
      </c>
      <c r="H1756" s="17" t="s">
        <v>32</v>
      </c>
      <c r="I1756" s="17" t="s">
        <v>1413</v>
      </c>
      <c r="J1756" s="17" t="s">
        <v>7763</v>
      </c>
      <c r="K1756" s="19"/>
      <c r="L1756" s="19"/>
      <c r="M1756" s="19"/>
      <c r="N1756" s="19"/>
      <c r="O1756" s="17" t="n">
        <v>3</v>
      </c>
      <c r="P1756" s="18" t="s">
        <v>8529</v>
      </c>
      <c r="Q1756" s="18" t="s">
        <v>7860</v>
      </c>
      <c r="R1756" s="18" t="s">
        <v>8537</v>
      </c>
      <c r="S1756" s="17" t="s">
        <v>8530</v>
      </c>
      <c r="T1756" s="18" t="s">
        <v>8538</v>
      </c>
      <c r="U1756" s="19"/>
      <c r="V1756" s="18" t="s">
        <v>8539</v>
      </c>
      <c r="W1756" s="17" t="s">
        <v>383</v>
      </c>
      <c r="X1756" s="17" t="s">
        <v>8540</v>
      </c>
      <c r="Y1756" s="17" t="s">
        <v>242</v>
      </c>
      <c r="Z1756" s="19"/>
      <c r="AA1756" s="19"/>
      <c r="AB1756" s="17"/>
      <c r="AC1756" s="19"/>
    </row>
    <row r="1757" customFormat="false" ht="22.35" hidden="false" customHeight="false" outlineLevel="0" collapsed="false">
      <c r="A1757" s="10" t="s">
        <v>8541</v>
      </c>
      <c r="B1757" s="17" t="s">
        <v>65</v>
      </c>
      <c r="C1757" s="18" t="s">
        <v>66</v>
      </c>
      <c r="D1757" s="17" t="s">
        <v>20</v>
      </c>
      <c r="E1757" s="17" t="s">
        <v>229</v>
      </c>
      <c r="F1757" s="17" t="s">
        <v>7502</v>
      </c>
      <c r="G1757" s="17" t="s">
        <v>4419</v>
      </c>
      <c r="H1757" s="17" t="s">
        <v>32</v>
      </c>
      <c r="I1757" s="17" t="s">
        <v>277</v>
      </c>
      <c r="J1757" s="17" t="s">
        <v>7530</v>
      </c>
      <c r="K1757" s="19"/>
      <c r="L1757" s="19"/>
      <c r="M1757" s="19"/>
      <c r="N1757" s="19"/>
      <c r="O1757" s="17" t="n">
        <v>3</v>
      </c>
      <c r="P1757" s="18" t="s">
        <v>8529</v>
      </c>
      <c r="Q1757" s="18" t="s">
        <v>7860</v>
      </c>
      <c r="R1757" s="18" t="s">
        <v>8542</v>
      </c>
      <c r="S1757" s="17" t="s">
        <v>8528</v>
      </c>
      <c r="T1757" s="18" t="s">
        <v>8543</v>
      </c>
      <c r="U1757" s="19"/>
      <c r="V1757" s="18" t="s">
        <v>8544</v>
      </c>
      <c r="W1757" s="17" t="s">
        <v>240</v>
      </c>
      <c r="X1757" s="17" t="s">
        <v>7786</v>
      </c>
      <c r="Y1757" s="17" t="s">
        <v>242</v>
      </c>
      <c r="Z1757" s="19"/>
      <c r="AA1757" s="19"/>
      <c r="AB1757" s="17"/>
      <c r="AC1757" s="19"/>
    </row>
    <row r="1758" customFormat="false" ht="22.35" hidden="false" customHeight="false" outlineLevel="0" collapsed="false">
      <c r="A1758" s="10" t="s">
        <v>8545</v>
      </c>
      <c r="B1758" s="17" t="s">
        <v>65</v>
      </c>
      <c r="C1758" s="18" t="s">
        <v>66</v>
      </c>
      <c r="D1758" s="17" t="s">
        <v>20</v>
      </c>
      <c r="E1758" s="17" t="s">
        <v>75</v>
      </c>
      <c r="F1758" s="17" t="s">
        <v>7502</v>
      </c>
      <c r="G1758" s="17" t="s">
        <v>4419</v>
      </c>
      <c r="H1758" s="17" t="s">
        <v>32</v>
      </c>
      <c r="I1758" s="17" t="s">
        <v>277</v>
      </c>
      <c r="J1758" s="17" t="s">
        <v>7515</v>
      </c>
      <c r="K1758" s="19"/>
      <c r="L1758" s="19"/>
      <c r="M1758" s="19"/>
      <c r="N1758" s="19"/>
      <c r="O1758" s="17" t="n">
        <v>3</v>
      </c>
      <c r="P1758" s="18" t="s">
        <v>8529</v>
      </c>
      <c r="Q1758" s="18" t="s">
        <v>7860</v>
      </c>
      <c r="R1758" s="18" t="s">
        <v>8546</v>
      </c>
      <c r="S1758" s="17" t="s">
        <v>8528</v>
      </c>
      <c r="T1758" s="18" t="s">
        <v>4524</v>
      </c>
      <c r="U1758" s="19"/>
      <c r="V1758" s="18" t="s">
        <v>8547</v>
      </c>
      <c r="W1758" s="17" t="s">
        <v>240</v>
      </c>
      <c r="X1758" s="17" t="s">
        <v>8548</v>
      </c>
      <c r="Y1758" s="17" t="s">
        <v>242</v>
      </c>
      <c r="Z1758" s="19"/>
      <c r="AA1758" s="19"/>
      <c r="AB1758" s="17"/>
      <c r="AC1758" s="19"/>
    </row>
    <row r="1759" customFormat="false" ht="22.35" hidden="false" customHeight="false" outlineLevel="0" collapsed="false">
      <c r="A1759" s="10" t="s">
        <v>8549</v>
      </c>
      <c r="B1759" s="17" t="s">
        <v>65</v>
      </c>
      <c r="C1759" s="18" t="s">
        <v>66</v>
      </c>
      <c r="D1759" s="17" t="s">
        <v>20</v>
      </c>
      <c r="E1759" s="17" t="s">
        <v>75</v>
      </c>
      <c r="F1759" s="17" t="s">
        <v>7502</v>
      </c>
      <c r="G1759" s="17" t="s">
        <v>4419</v>
      </c>
      <c r="H1759" s="17" t="s">
        <v>32</v>
      </c>
      <c r="I1759" s="17" t="s">
        <v>1413</v>
      </c>
      <c r="J1759" s="17" t="s">
        <v>7763</v>
      </c>
      <c r="K1759" s="19"/>
      <c r="L1759" s="19"/>
      <c r="M1759" s="19"/>
      <c r="N1759" s="19"/>
      <c r="O1759" s="17" t="n">
        <v>3</v>
      </c>
      <c r="P1759" s="18" t="s">
        <v>8529</v>
      </c>
      <c r="Q1759" s="18" t="s">
        <v>7860</v>
      </c>
      <c r="R1759" s="18" t="s">
        <v>8550</v>
      </c>
      <c r="S1759" s="17" t="s">
        <v>8530</v>
      </c>
      <c r="T1759" s="18" t="s">
        <v>8551</v>
      </c>
      <c r="U1759" s="19"/>
      <c r="V1759" s="18" t="s">
        <v>8552</v>
      </c>
      <c r="W1759" s="17" t="s">
        <v>240</v>
      </c>
      <c r="X1759" s="17" t="s">
        <v>8553</v>
      </c>
      <c r="Y1759" s="17" t="s">
        <v>242</v>
      </c>
      <c r="Z1759" s="19"/>
      <c r="AA1759" s="19"/>
      <c r="AB1759" s="17"/>
      <c r="AC1759" s="19"/>
    </row>
    <row r="1760" customFormat="false" ht="15" hidden="false" customHeight="false" outlineLevel="0" collapsed="false">
      <c r="A1760" s="10" t="s">
        <v>8554</v>
      </c>
      <c r="B1760" s="17" t="s">
        <v>65</v>
      </c>
      <c r="C1760" s="18" t="s">
        <v>66</v>
      </c>
      <c r="D1760" s="17" t="s">
        <v>20</v>
      </c>
      <c r="E1760" s="17" t="s">
        <v>75</v>
      </c>
      <c r="F1760" s="17" t="s">
        <v>7502</v>
      </c>
      <c r="G1760" s="17" t="s">
        <v>4419</v>
      </c>
      <c r="H1760" s="17" t="s">
        <v>32</v>
      </c>
      <c r="I1760" s="17" t="s">
        <v>283</v>
      </c>
      <c r="J1760" s="17" t="s">
        <v>7515</v>
      </c>
      <c r="K1760" s="19"/>
      <c r="L1760" s="19"/>
      <c r="M1760" s="19"/>
      <c r="N1760" s="19"/>
      <c r="O1760" s="17" t="n">
        <v>3</v>
      </c>
      <c r="P1760" s="18" t="s">
        <v>8529</v>
      </c>
      <c r="Q1760" s="18" t="s">
        <v>4948</v>
      </c>
      <c r="R1760" s="18" t="s">
        <v>8555</v>
      </c>
      <c r="S1760" s="17" t="s">
        <v>8556</v>
      </c>
      <c r="T1760" s="18" t="s">
        <v>8557</v>
      </c>
      <c r="U1760" s="19"/>
      <c r="V1760" s="18" t="s">
        <v>7560</v>
      </c>
      <c r="W1760" s="17" t="s">
        <v>240</v>
      </c>
      <c r="X1760" s="17" t="s">
        <v>7887</v>
      </c>
      <c r="Y1760" s="17" t="s">
        <v>242</v>
      </c>
      <c r="Z1760" s="19"/>
      <c r="AA1760" s="19"/>
      <c r="AB1760" s="17"/>
      <c r="AC1760" s="19"/>
    </row>
    <row r="1761" customFormat="false" ht="22.35" hidden="false" customHeight="false" outlineLevel="0" collapsed="false">
      <c r="A1761" s="10" t="s">
        <v>8558</v>
      </c>
      <c r="B1761" s="17" t="s">
        <v>106</v>
      </c>
      <c r="C1761" s="18" t="s">
        <v>107</v>
      </c>
      <c r="D1761" s="17" t="s">
        <v>20</v>
      </c>
      <c r="E1761" s="17" t="s">
        <v>75</v>
      </c>
      <c r="F1761" s="17" t="s">
        <v>7502</v>
      </c>
      <c r="G1761" s="17" t="s">
        <v>4607</v>
      </c>
      <c r="H1761" s="17" t="s">
        <v>29</v>
      </c>
      <c r="I1761" s="17" t="s">
        <v>283</v>
      </c>
      <c r="J1761" s="17" t="s">
        <v>7503</v>
      </c>
      <c r="K1761" s="19"/>
      <c r="L1761" s="19"/>
      <c r="M1761" s="19"/>
      <c r="N1761" s="19"/>
      <c r="O1761" s="17" t="n">
        <v>3</v>
      </c>
      <c r="P1761" s="18" t="s">
        <v>8559</v>
      </c>
      <c r="Q1761" s="18" t="s">
        <v>7854</v>
      </c>
      <c r="R1761" s="18" t="s">
        <v>8423</v>
      </c>
      <c r="S1761" s="17" t="s">
        <v>7849</v>
      </c>
      <c r="T1761" s="18" t="s">
        <v>7856</v>
      </c>
      <c r="U1761" s="19"/>
      <c r="V1761" s="18" t="s">
        <v>7857</v>
      </c>
      <c r="W1761" s="17" t="s">
        <v>240</v>
      </c>
      <c r="X1761" s="17" t="s">
        <v>7858</v>
      </c>
      <c r="Y1761" s="17" t="s">
        <v>242</v>
      </c>
      <c r="Z1761" s="19"/>
      <c r="AA1761" s="19"/>
      <c r="AB1761" s="17"/>
      <c r="AC1761" s="19"/>
    </row>
    <row r="1762" customFormat="false" ht="22.35" hidden="false" customHeight="false" outlineLevel="0" collapsed="false">
      <c r="A1762" s="10" t="s">
        <v>8560</v>
      </c>
      <c r="B1762" s="17" t="s">
        <v>106</v>
      </c>
      <c r="C1762" s="18" t="s">
        <v>107</v>
      </c>
      <c r="D1762" s="17" t="s">
        <v>20</v>
      </c>
      <c r="E1762" s="17" t="s">
        <v>75</v>
      </c>
      <c r="F1762" s="17" t="s">
        <v>7502</v>
      </c>
      <c r="G1762" s="17" t="s">
        <v>4607</v>
      </c>
      <c r="H1762" s="17" t="s">
        <v>29</v>
      </c>
      <c r="I1762" s="17" t="s">
        <v>277</v>
      </c>
      <c r="J1762" s="17" t="s">
        <v>7569</v>
      </c>
      <c r="K1762" s="19"/>
      <c r="L1762" s="19"/>
      <c r="M1762" s="19"/>
      <c r="N1762" s="19"/>
      <c r="O1762" s="17" t="n">
        <v>3</v>
      </c>
      <c r="P1762" s="18" t="s">
        <v>8559</v>
      </c>
      <c r="Q1762" s="18" t="s">
        <v>7860</v>
      </c>
      <c r="R1762" s="18" t="s">
        <v>8561</v>
      </c>
      <c r="S1762" s="17" t="s">
        <v>8558</v>
      </c>
      <c r="T1762" s="18" t="s">
        <v>8185</v>
      </c>
      <c r="U1762" s="19"/>
      <c r="V1762" s="18" t="s">
        <v>8562</v>
      </c>
      <c r="W1762" s="17" t="s">
        <v>240</v>
      </c>
      <c r="X1762" s="17" t="s">
        <v>8563</v>
      </c>
      <c r="Y1762" s="17" t="s">
        <v>242</v>
      </c>
      <c r="Z1762" s="19"/>
      <c r="AA1762" s="19"/>
      <c r="AB1762" s="17"/>
      <c r="AC1762" s="19"/>
    </row>
    <row r="1763" customFormat="false" ht="15" hidden="false" customHeight="false" outlineLevel="0" collapsed="false">
      <c r="A1763" s="10" t="s">
        <v>8564</v>
      </c>
      <c r="B1763" s="17" t="s">
        <v>106</v>
      </c>
      <c r="C1763" s="18" t="s">
        <v>107</v>
      </c>
      <c r="D1763" s="17" t="s">
        <v>20</v>
      </c>
      <c r="E1763" s="17" t="s">
        <v>75</v>
      </c>
      <c r="F1763" s="17" t="s">
        <v>7502</v>
      </c>
      <c r="G1763" s="17" t="s">
        <v>4607</v>
      </c>
      <c r="H1763" s="17" t="s">
        <v>29</v>
      </c>
      <c r="I1763" s="17" t="s">
        <v>277</v>
      </c>
      <c r="J1763" s="17" t="s">
        <v>7503</v>
      </c>
      <c r="K1763" s="19"/>
      <c r="L1763" s="19"/>
      <c r="M1763" s="19"/>
      <c r="N1763" s="19"/>
      <c r="O1763" s="17" t="n">
        <v>3</v>
      </c>
      <c r="P1763" s="18" t="s">
        <v>8559</v>
      </c>
      <c r="Q1763" s="18" t="s">
        <v>7860</v>
      </c>
      <c r="R1763" s="18" t="s">
        <v>8565</v>
      </c>
      <c r="S1763" s="17" t="s">
        <v>8558</v>
      </c>
      <c r="T1763" s="18" t="s">
        <v>8172</v>
      </c>
      <c r="U1763" s="19"/>
      <c r="V1763" s="18" t="s">
        <v>8566</v>
      </c>
      <c r="W1763" s="17" t="s">
        <v>240</v>
      </c>
      <c r="X1763" s="17" t="s">
        <v>8563</v>
      </c>
      <c r="Y1763" s="17" t="s">
        <v>242</v>
      </c>
      <c r="Z1763" s="19"/>
      <c r="AA1763" s="19"/>
      <c r="AB1763" s="17"/>
      <c r="AC1763" s="19"/>
    </row>
    <row r="1764" customFormat="false" ht="22.35" hidden="false" customHeight="false" outlineLevel="0" collapsed="false">
      <c r="A1764" s="10" t="s">
        <v>8567</v>
      </c>
      <c r="B1764" s="17" t="s">
        <v>106</v>
      </c>
      <c r="C1764" s="18" t="s">
        <v>107</v>
      </c>
      <c r="D1764" s="17" t="s">
        <v>20</v>
      </c>
      <c r="E1764" s="17" t="s">
        <v>75</v>
      </c>
      <c r="F1764" s="17" t="s">
        <v>7502</v>
      </c>
      <c r="G1764" s="17" t="s">
        <v>4607</v>
      </c>
      <c r="H1764" s="17" t="s">
        <v>29</v>
      </c>
      <c r="I1764" s="17" t="s">
        <v>277</v>
      </c>
      <c r="J1764" s="17" t="s">
        <v>7503</v>
      </c>
      <c r="K1764" s="19"/>
      <c r="L1764" s="19"/>
      <c r="M1764" s="19"/>
      <c r="N1764" s="19"/>
      <c r="O1764" s="17" t="n">
        <v>3</v>
      </c>
      <c r="P1764" s="18" t="s">
        <v>8559</v>
      </c>
      <c r="Q1764" s="18" t="s">
        <v>7860</v>
      </c>
      <c r="R1764" s="18" t="s">
        <v>8568</v>
      </c>
      <c r="S1764" s="17" t="s">
        <v>8558</v>
      </c>
      <c r="T1764" s="18" t="s">
        <v>6399</v>
      </c>
      <c r="U1764" s="19"/>
      <c r="V1764" s="18" t="s">
        <v>8569</v>
      </c>
      <c r="W1764" s="17" t="s">
        <v>240</v>
      </c>
      <c r="X1764" s="17" t="s">
        <v>8174</v>
      </c>
      <c r="Y1764" s="17" t="s">
        <v>242</v>
      </c>
      <c r="Z1764" s="19"/>
      <c r="AA1764" s="19"/>
      <c r="AB1764" s="17"/>
      <c r="AC1764" s="19"/>
    </row>
    <row r="1765" customFormat="false" ht="22.35" hidden="false" customHeight="false" outlineLevel="0" collapsed="false">
      <c r="A1765" s="10" t="s">
        <v>8570</v>
      </c>
      <c r="B1765" s="17" t="s">
        <v>106</v>
      </c>
      <c r="C1765" s="18" t="s">
        <v>107</v>
      </c>
      <c r="D1765" s="17" t="s">
        <v>20</v>
      </c>
      <c r="E1765" s="17" t="s">
        <v>75</v>
      </c>
      <c r="F1765" s="17" t="s">
        <v>7502</v>
      </c>
      <c r="G1765" s="17" t="s">
        <v>4607</v>
      </c>
      <c r="H1765" s="17" t="s">
        <v>29</v>
      </c>
      <c r="I1765" s="17" t="s">
        <v>277</v>
      </c>
      <c r="J1765" s="17" t="s">
        <v>7503</v>
      </c>
      <c r="K1765" s="19"/>
      <c r="L1765" s="19"/>
      <c r="M1765" s="19"/>
      <c r="N1765" s="19"/>
      <c r="O1765" s="17" t="n">
        <v>3</v>
      </c>
      <c r="P1765" s="18" t="s">
        <v>8559</v>
      </c>
      <c r="Q1765" s="18" t="s">
        <v>7860</v>
      </c>
      <c r="R1765" s="18" t="s">
        <v>8571</v>
      </c>
      <c r="S1765" s="17" t="s">
        <v>8558</v>
      </c>
      <c r="T1765" s="18" t="s">
        <v>8177</v>
      </c>
      <c r="U1765" s="19"/>
      <c r="V1765" s="18" t="s">
        <v>8572</v>
      </c>
      <c r="W1765" s="17" t="s">
        <v>240</v>
      </c>
      <c r="X1765" s="17" t="s">
        <v>8174</v>
      </c>
      <c r="Y1765" s="17" t="s">
        <v>242</v>
      </c>
      <c r="Z1765" s="19"/>
      <c r="AA1765" s="19"/>
      <c r="AB1765" s="17"/>
      <c r="AC1765" s="19"/>
    </row>
    <row r="1766" customFormat="false" ht="22.35" hidden="false" customHeight="false" outlineLevel="0" collapsed="false">
      <c r="A1766" s="10" t="s">
        <v>8573</v>
      </c>
      <c r="B1766" s="17" t="s">
        <v>106</v>
      </c>
      <c r="C1766" s="18" t="s">
        <v>107</v>
      </c>
      <c r="D1766" s="17" t="s">
        <v>20</v>
      </c>
      <c r="E1766" s="17" t="s">
        <v>75</v>
      </c>
      <c r="F1766" s="17" t="s">
        <v>7502</v>
      </c>
      <c r="G1766" s="17" t="s">
        <v>4607</v>
      </c>
      <c r="H1766" s="17" t="s">
        <v>29</v>
      </c>
      <c r="I1766" s="17" t="s">
        <v>1413</v>
      </c>
      <c r="J1766" s="17" t="s">
        <v>7763</v>
      </c>
      <c r="K1766" s="19"/>
      <c r="L1766" s="19"/>
      <c r="M1766" s="19"/>
      <c r="N1766" s="19"/>
      <c r="O1766" s="17" t="n">
        <v>3</v>
      </c>
      <c r="P1766" s="18" t="s">
        <v>8559</v>
      </c>
      <c r="Q1766" s="18" t="s">
        <v>7860</v>
      </c>
      <c r="R1766" s="18" t="s">
        <v>8574</v>
      </c>
      <c r="S1766" s="17" t="s">
        <v>8558</v>
      </c>
      <c r="T1766" s="18" t="s">
        <v>8575</v>
      </c>
      <c r="U1766" s="19"/>
      <c r="V1766" s="18" t="s">
        <v>8576</v>
      </c>
      <c r="W1766" s="17" t="s">
        <v>383</v>
      </c>
      <c r="X1766" s="17" t="s">
        <v>8174</v>
      </c>
      <c r="Y1766" s="17" t="s">
        <v>242</v>
      </c>
      <c r="Z1766" s="19"/>
      <c r="AA1766" s="19"/>
      <c r="AB1766" s="17"/>
      <c r="AC1766" s="19"/>
    </row>
    <row r="1767" customFormat="false" ht="15" hidden="false" customHeight="false" outlineLevel="0" collapsed="false">
      <c r="A1767" s="10" t="s">
        <v>8577</v>
      </c>
      <c r="B1767" s="17" t="s">
        <v>106</v>
      </c>
      <c r="C1767" s="18" t="s">
        <v>107</v>
      </c>
      <c r="D1767" s="17" t="s">
        <v>20</v>
      </c>
      <c r="E1767" s="17" t="s">
        <v>75</v>
      </c>
      <c r="F1767" s="17" t="s">
        <v>7502</v>
      </c>
      <c r="G1767" s="17" t="s">
        <v>4607</v>
      </c>
      <c r="H1767" s="17" t="s">
        <v>29</v>
      </c>
      <c r="I1767" s="17" t="s">
        <v>283</v>
      </c>
      <c r="J1767" s="17" t="s">
        <v>7503</v>
      </c>
      <c r="K1767" s="19"/>
      <c r="L1767" s="19"/>
      <c r="M1767" s="19"/>
      <c r="N1767" s="19"/>
      <c r="O1767" s="17" t="n">
        <v>3</v>
      </c>
      <c r="P1767" s="18" t="s">
        <v>8559</v>
      </c>
      <c r="Q1767" s="18" t="s">
        <v>4948</v>
      </c>
      <c r="R1767" s="18" t="s">
        <v>8578</v>
      </c>
      <c r="S1767" s="17" t="s">
        <v>8579</v>
      </c>
      <c r="T1767" s="18" t="s">
        <v>8580</v>
      </c>
      <c r="U1767" s="19"/>
      <c r="V1767" s="18" t="s">
        <v>7560</v>
      </c>
      <c r="W1767" s="17" t="s">
        <v>240</v>
      </c>
      <c r="X1767" s="17" t="s">
        <v>7887</v>
      </c>
      <c r="Y1767" s="17" t="s">
        <v>242</v>
      </c>
      <c r="Z1767" s="19"/>
      <c r="AA1767" s="19"/>
      <c r="AB1767" s="17"/>
      <c r="AC1767" s="19"/>
    </row>
    <row r="1768" customFormat="false" ht="22.35" hidden="false" customHeight="false" outlineLevel="0" collapsed="false">
      <c r="A1768" s="10" t="s">
        <v>8581</v>
      </c>
      <c r="B1768" s="17" t="s">
        <v>109</v>
      </c>
      <c r="C1768" s="18" t="s">
        <v>110</v>
      </c>
      <c r="D1768" s="17" t="s">
        <v>20</v>
      </c>
      <c r="E1768" s="17" t="s">
        <v>75</v>
      </c>
      <c r="F1768" s="17" t="s">
        <v>7502</v>
      </c>
      <c r="G1768" s="17" t="s">
        <v>4730</v>
      </c>
      <c r="H1768" s="17" t="s">
        <v>29</v>
      </c>
      <c r="I1768" s="17" t="s">
        <v>283</v>
      </c>
      <c r="J1768" s="17" t="s">
        <v>7503</v>
      </c>
      <c r="K1768" s="19"/>
      <c r="L1768" s="19"/>
      <c r="M1768" s="19"/>
      <c r="N1768" s="19"/>
      <c r="O1768" s="17" t="n">
        <v>3</v>
      </c>
      <c r="P1768" s="18" t="s">
        <v>8582</v>
      </c>
      <c r="Q1768" s="18" t="s">
        <v>7854</v>
      </c>
      <c r="R1768" s="18" t="s">
        <v>8423</v>
      </c>
      <c r="S1768" s="17" t="s">
        <v>7849</v>
      </c>
      <c r="T1768" s="18" t="s">
        <v>7856</v>
      </c>
      <c r="U1768" s="19"/>
      <c r="V1768" s="18" t="s">
        <v>7857</v>
      </c>
      <c r="W1768" s="17" t="s">
        <v>240</v>
      </c>
      <c r="X1768" s="17" t="s">
        <v>7858</v>
      </c>
      <c r="Y1768" s="17" t="s">
        <v>242</v>
      </c>
      <c r="Z1768" s="19"/>
      <c r="AA1768" s="19"/>
      <c r="AB1768" s="17"/>
      <c r="AC1768" s="19"/>
    </row>
    <row r="1769" customFormat="false" ht="22.35" hidden="false" customHeight="false" outlineLevel="0" collapsed="false">
      <c r="A1769" s="10" t="s">
        <v>8583</v>
      </c>
      <c r="B1769" s="17" t="s">
        <v>109</v>
      </c>
      <c r="C1769" s="18" t="s">
        <v>110</v>
      </c>
      <c r="D1769" s="17" t="s">
        <v>20</v>
      </c>
      <c r="E1769" s="17" t="s">
        <v>229</v>
      </c>
      <c r="F1769" s="17" t="s">
        <v>7502</v>
      </c>
      <c r="G1769" s="17" t="s">
        <v>4730</v>
      </c>
      <c r="H1769" s="17" t="s">
        <v>29</v>
      </c>
      <c r="I1769" s="17" t="s">
        <v>283</v>
      </c>
      <c r="J1769" s="17" t="s">
        <v>7763</v>
      </c>
      <c r="K1769" s="19"/>
      <c r="L1769" s="19"/>
      <c r="M1769" s="19"/>
      <c r="N1769" s="19"/>
      <c r="O1769" s="17" t="n">
        <v>3</v>
      </c>
      <c r="P1769" s="18" t="s">
        <v>8582</v>
      </c>
      <c r="Q1769" s="18" t="s">
        <v>7860</v>
      </c>
      <c r="R1769" s="18" t="s">
        <v>8584</v>
      </c>
      <c r="S1769" s="17" t="s">
        <v>8585</v>
      </c>
      <c r="T1769" s="18" t="s">
        <v>8149</v>
      </c>
      <c r="U1769" s="19"/>
      <c r="V1769" s="18" t="s">
        <v>8586</v>
      </c>
      <c r="W1769" s="17" t="s">
        <v>240</v>
      </c>
      <c r="X1769" s="17" t="s">
        <v>7786</v>
      </c>
      <c r="Y1769" s="17" t="s">
        <v>242</v>
      </c>
      <c r="Z1769" s="19"/>
      <c r="AA1769" s="19"/>
      <c r="AB1769" s="17"/>
      <c r="AC1769" s="19"/>
    </row>
    <row r="1770" customFormat="false" ht="32.8" hidden="false" customHeight="false" outlineLevel="0" collapsed="false">
      <c r="A1770" s="10" t="s">
        <v>8587</v>
      </c>
      <c r="B1770" s="17" t="s">
        <v>109</v>
      </c>
      <c r="C1770" s="18" t="s">
        <v>110</v>
      </c>
      <c r="D1770" s="17" t="s">
        <v>20</v>
      </c>
      <c r="E1770" s="17" t="s">
        <v>229</v>
      </c>
      <c r="F1770" s="17" t="s">
        <v>7502</v>
      </c>
      <c r="G1770" s="17" t="s">
        <v>4730</v>
      </c>
      <c r="H1770" s="17" t="s">
        <v>29</v>
      </c>
      <c r="I1770" s="17" t="s">
        <v>277</v>
      </c>
      <c r="J1770" s="17" t="s">
        <v>7575</v>
      </c>
      <c r="K1770" s="19"/>
      <c r="L1770" s="19"/>
      <c r="M1770" s="19"/>
      <c r="N1770" s="19"/>
      <c r="O1770" s="17" t="n">
        <v>3</v>
      </c>
      <c r="P1770" s="18" t="s">
        <v>8582</v>
      </c>
      <c r="Q1770" s="18" t="s">
        <v>7860</v>
      </c>
      <c r="R1770" s="18" t="s">
        <v>8588</v>
      </c>
      <c r="S1770" s="17" t="s">
        <v>8581</v>
      </c>
      <c r="T1770" s="18" t="s">
        <v>8589</v>
      </c>
      <c r="U1770" s="19"/>
      <c r="V1770" s="18" t="s">
        <v>8590</v>
      </c>
      <c r="W1770" s="17" t="s">
        <v>383</v>
      </c>
      <c r="X1770" s="17" t="s">
        <v>7961</v>
      </c>
      <c r="Y1770" s="17" t="s">
        <v>242</v>
      </c>
      <c r="Z1770" s="19"/>
      <c r="AA1770" s="19"/>
      <c r="AB1770" s="17"/>
      <c r="AC1770" s="19"/>
    </row>
    <row r="1771" customFormat="false" ht="22.35" hidden="false" customHeight="false" outlineLevel="0" collapsed="false">
      <c r="A1771" s="10" t="s">
        <v>8591</v>
      </c>
      <c r="B1771" s="17" t="s">
        <v>109</v>
      </c>
      <c r="C1771" s="18" t="s">
        <v>110</v>
      </c>
      <c r="D1771" s="17" t="s">
        <v>20</v>
      </c>
      <c r="E1771" s="17" t="s">
        <v>75</v>
      </c>
      <c r="F1771" s="17" t="s">
        <v>7502</v>
      </c>
      <c r="G1771" s="17" t="s">
        <v>4730</v>
      </c>
      <c r="H1771" s="17" t="s">
        <v>29</v>
      </c>
      <c r="I1771" s="17" t="s">
        <v>277</v>
      </c>
      <c r="J1771" s="17" t="s">
        <v>7763</v>
      </c>
      <c r="K1771" s="19"/>
      <c r="L1771" s="19"/>
      <c r="M1771" s="19"/>
      <c r="N1771" s="19"/>
      <c r="O1771" s="17" t="n">
        <v>3</v>
      </c>
      <c r="P1771" s="18" t="s">
        <v>8582</v>
      </c>
      <c r="Q1771" s="18" t="s">
        <v>7860</v>
      </c>
      <c r="R1771" s="18" t="s">
        <v>8592</v>
      </c>
      <c r="S1771" s="17" t="s">
        <v>8581</v>
      </c>
      <c r="T1771" s="18" t="s">
        <v>8593</v>
      </c>
      <c r="U1771" s="19"/>
      <c r="V1771" s="18" t="s">
        <v>8594</v>
      </c>
      <c r="W1771" s="17" t="s">
        <v>240</v>
      </c>
      <c r="X1771" s="17" t="s">
        <v>8595</v>
      </c>
      <c r="Y1771" s="17" t="s">
        <v>242</v>
      </c>
      <c r="Z1771" s="19"/>
      <c r="AA1771" s="19"/>
      <c r="AB1771" s="17"/>
      <c r="AC1771" s="19"/>
    </row>
    <row r="1772" customFormat="false" ht="22.35" hidden="false" customHeight="false" outlineLevel="0" collapsed="false">
      <c r="A1772" s="10" t="s">
        <v>8596</v>
      </c>
      <c r="B1772" s="17" t="s">
        <v>109</v>
      </c>
      <c r="C1772" s="18" t="s">
        <v>110</v>
      </c>
      <c r="D1772" s="17" t="s">
        <v>20</v>
      </c>
      <c r="E1772" s="17" t="s">
        <v>229</v>
      </c>
      <c r="F1772" s="17" t="s">
        <v>7502</v>
      </c>
      <c r="G1772" s="17" t="s">
        <v>4730</v>
      </c>
      <c r="H1772" s="17" t="s">
        <v>29</v>
      </c>
      <c r="I1772" s="17" t="s">
        <v>277</v>
      </c>
      <c r="J1772" s="17" t="s">
        <v>7503</v>
      </c>
      <c r="K1772" s="19"/>
      <c r="L1772" s="19"/>
      <c r="M1772" s="19"/>
      <c r="N1772" s="19"/>
      <c r="O1772" s="17" t="n">
        <v>3</v>
      </c>
      <c r="P1772" s="18" t="s">
        <v>8582</v>
      </c>
      <c r="Q1772" s="18" t="s">
        <v>7860</v>
      </c>
      <c r="R1772" s="18" t="s">
        <v>8597</v>
      </c>
      <c r="S1772" s="17" t="s">
        <v>8581</v>
      </c>
      <c r="T1772" s="18" t="s">
        <v>8598</v>
      </c>
      <c r="U1772" s="19"/>
      <c r="V1772" s="18" t="s">
        <v>8599</v>
      </c>
      <c r="W1772" s="17" t="s">
        <v>240</v>
      </c>
      <c r="X1772" s="17" t="s">
        <v>8600</v>
      </c>
      <c r="Y1772" s="17" t="s">
        <v>242</v>
      </c>
      <c r="Z1772" s="19"/>
      <c r="AA1772" s="19"/>
      <c r="AB1772" s="17"/>
      <c r="AC1772" s="19"/>
    </row>
    <row r="1773" customFormat="false" ht="15" hidden="false" customHeight="false" outlineLevel="0" collapsed="false">
      <c r="A1773" s="10" t="s">
        <v>8601</v>
      </c>
      <c r="B1773" s="17" t="s">
        <v>109</v>
      </c>
      <c r="C1773" s="18" t="s">
        <v>110</v>
      </c>
      <c r="D1773" s="17" t="s">
        <v>20</v>
      </c>
      <c r="E1773" s="17" t="s">
        <v>75</v>
      </c>
      <c r="F1773" s="17" t="s">
        <v>7502</v>
      </c>
      <c r="G1773" s="17" t="s">
        <v>4730</v>
      </c>
      <c r="H1773" s="17" t="s">
        <v>29</v>
      </c>
      <c r="I1773" s="17" t="s">
        <v>283</v>
      </c>
      <c r="J1773" s="17" t="s">
        <v>7503</v>
      </c>
      <c r="K1773" s="19"/>
      <c r="L1773" s="19"/>
      <c r="M1773" s="19"/>
      <c r="N1773" s="19"/>
      <c r="O1773" s="17" t="n">
        <v>3</v>
      </c>
      <c r="P1773" s="18" t="s">
        <v>8582</v>
      </c>
      <c r="Q1773" s="18" t="s">
        <v>4948</v>
      </c>
      <c r="R1773" s="18" t="s">
        <v>8602</v>
      </c>
      <c r="S1773" s="17" t="s">
        <v>8603</v>
      </c>
      <c r="T1773" s="18" t="s">
        <v>8604</v>
      </c>
      <c r="U1773" s="19"/>
      <c r="V1773" s="18" t="s">
        <v>7560</v>
      </c>
      <c r="W1773" s="17" t="s">
        <v>240</v>
      </c>
      <c r="X1773" s="17" t="s">
        <v>7887</v>
      </c>
      <c r="Y1773" s="17" t="s">
        <v>242</v>
      </c>
      <c r="Z1773" s="19"/>
      <c r="AA1773" s="19"/>
      <c r="AB1773" s="17"/>
      <c r="AC1773" s="19"/>
    </row>
    <row r="1774" customFormat="false" ht="15" hidden="false" customHeight="false" outlineLevel="0" collapsed="false">
      <c r="A1774" s="10" t="s">
        <v>8605</v>
      </c>
      <c r="B1774" s="17" t="s">
        <v>121</v>
      </c>
      <c r="C1774" s="18" t="s">
        <v>122</v>
      </c>
      <c r="D1774" s="17" t="s">
        <v>20</v>
      </c>
      <c r="E1774" s="17" t="s">
        <v>75</v>
      </c>
      <c r="F1774" s="17" t="s">
        <v>7502</v>
      </c>
      <c r="G1774" s="17" t="s">
        <v>5160</v>
      </c>
      <c r="H1774" s="17" t="s">
        <v>30</v>
      </c>
      <c r="I1774" s="17" t="s">
        <v>283</v>
      </c>
      <c r="J1774" s="17" t="s">
        <v>7503</v>
      </c>
      <c r="K1774" s="19"/>
      <c r="L1774" s="19"/>
      <c r="M1774" s="19"/>
      <c r="N1774" s="19"/>
      <c r="O1774" s="17" t="n">
        <v>4</v>
      </c>
      <c r="P1774" s="18" t="s">
        <v>8606</v>
      </c>
      <c r="Q1774" s="18" t="s">
        <v>7854</v>
      </c>
      <c r="R1774" s="18" t="s">
        <v>7855</v>
      </c>
      <c r="S1774" s="17" t="s">
        <v>7849</v>
      </c>
      <c r="T1774" s="18" t="s">
        <v>7856</v>
      </c>
      <c r="U1774" s="19"/>
      <c r="V1774" s="18" t="s">
        <v>7857</v>
      </c>
      <c r="W1774" s="17" t="s">
        <v>240</v>
      </c>
      <c r="X1774" s="17" t="s">
        <v>7858</v>
      </c>
      <c r="Y1774" s="17" t="s">
        <v>242</v>
      </c>
      <c r="Z1774" s="19"/>
      <c r="AA1774" s="19"/>
      <c r="AB1774" s="17"/>
      <c r="AC1774" s="19"/>
    </row>
    <row r="1775" customFormat="false" ht="22.35" hidden="false" customHeight="false" outlineLevel="0" collapsed="false">
      <c r="A1775" s="10" t="s">
        <v>8607</v>
      </c>
      <c r="B1775" s="17" t="s">
        <v>121</v>
      </c>
      <c r="C1775" s="18" t="s">
        <v>122</v>
      </c>
      <c r="D1775" s="17" t="s">
        <v>20</v>
      </c>
      <c r="E1775" s="17" t="s">
        <v>75</v>
      </c>
      <c r="F1775" s="17" t="s">
        <v>7502</v>
      </c>
      <c r="G1775" s="17" t="s">
        <v>5160</v>
      </c>
      <c r="H1775" s="17" t="s">
        <v>30</v>
      </c>
      <c r="I1775" s="17" t="s">
        <v>974</v>
      </c>
      <c r="J1775" s="17" t="s">
        <v>7580</v>
      </c>
      <c r="K1775" s="19"/>
      <c r="L1775" s="19"/>
      <c r="M1775" s="19"/>
      <c r="N1775" s="19"/>
      <c r="O1775" s="17" t="n">
        <v>4</v>
      </c>
      <c r="P1775" s="18" t="s">
        <v>8606</v>
      </c>
      <c r="Q1775" s="18" t="s">
        <v>7860</v>
      </c>
      <c r="R1775" s="18" t="s">
        <v>8608</v>
      </c>
      <c r="S1775" s="17" t="s">
        <v>8605</v>
      </c>
      <c r="T1775" s="18" t="s">
        <v>8609</v>
      </c>
      <c r="U1775" s="19"/>
      <c r="V1775" s="18" t="s">
        <v>8610</v>
      </c>
      <c r="W1775" s="17" t="s">
        <v>240</v>
      </c>
      <c r="X1775" s="17" t="s">
        <v>8005</v>
      </c>
      <c r="Y1775" s="17" t="s">
        <v>242</v>
      </c>
      <c r="Z1775" s="19"/>
      <c r="AA1775" s="19"/>
      <c r="AB1775" s="17"/>
      <c r="AC1775" s="19"/>
    </row>
    <row r="1776" customFormat="false" ht="32.8" hidden="false" customHeight="false" outlineLevel="0" collapsed="false">
      <c r="A1776" s="10" t="s">
        <v>8611</v>
      </c>
      <c r="B1776" s="17" t="s">
        <v>121</v>
      </c>
      <c r="C1776" s="18" t="s">
        <v>122</v>
      </c>
      <c r="D1776" s="17" t="s">
        <v>20</v>
      </c>
      <c r="E1776" s="17" t="s">
        <v>229</v>
      </c>
      <c r="F1776" s="17" t="s">
        <v>7502</v>
      </c>
      <c r="G1776" s="17" t="s">
        <v>5160</v>
      </c>
      <c r="H1776" s="17" t="s">
        <v>30</v>
      </c>
      <c r="I1776" s="17" t="s">
        <v>333</v>
      </c>
      <c r="J1776" s="17" t="s">
        <v>7569</v>
      </c>
      <c r="K1776" s="19"/>
      <c r="L1776" s="19"/>
      <c r="M1776" s="19"/>
      <c r="N1776" s="19"/>
      <c r="O1776" s="17" t="n">
        <v>4</v>
      </c>
      <c r="P1776" s="18" t="s">
        <v>8606</v>
      </c>
      <c r="Q1776" s="18" t="s">
        <v>7860</v>
      </c>
      <c r="R1776" s="18" t="s">
        <v>8612</v>
      </c>
      <c r="S1776" s="17" t="s">
        <v>8613</v>
      </c>
      <c r="T1776" s="18" t="s">
        <v>2558</v>
      </c>
      <c r="U1776" s="19"/>
      <c r="V1776" s="18" t="s">
        <v>8614</v>
      </c>
      <c r="W1776" s="17" t="s">
        <v>240</v>
      </c>
      <c r="X1776" s="17" t="s">
        <v>5087</v>
      </c>
      <c r="Y1776" s="17" t="s">
        <v>242</v>
      </c>
      <c r="Z1776" s="19"/>
      <c r="AA1776" s="19"/>
      <c r="AB1776" s="17"/>
      <c r="AC1776" s="19"/>
    </row>
    <row r="1777" customFormat="false" ht="22.35" hidden="false" customHeight="false" outlineLevel="0" collapsed="false">
      <c r="A1777" s="10" t="s">
        <v>8615</v>
      </c>
      <c r="B1777" s="17" t="s">
        <v>121</v>
      </c>
      <c r="C1777" s="18" t="s">
        <v>122</v>
      </c>
      <c r="D1777" s="17" t="s">
        <v>20</v>
      </c>
      <c r="E1777" s="17" t="s">
        <v>75</v>
      </c>
      <c r="F1777" s="17" t="s">
        <v>7502</v>
      </c>
      <c r="G1777" s="17" t="s">
        <v>5160</v>
      </c>
      <c r="H1777" s="17" t="s">
        <v>30</v>
      </c>
      <c r="I1777" s="17" t="s">
        <v>277</v>
      </c>
      <c r="J1777" s="17" t="s">
        <v>7525</v>
      </c>
      <c r="K1777" s="19"/>
      <c r="L1777" s="19"/>
      <c r="M1777" s="19"/>
      <c r="N1777" s="19"/>
      <c r="O1777" s="17" t="n">
        <v>4</v>
      </c>
      <c r="P1777" s="18" t="s">
        <v>8606</v>
      </c>
      <c r="Q1777" s="18" t="s">
        <v>7860</v>
      </c>
      <c r="R1777" s="18" t="s">
        <v>8616</v>
      </c>
      <c r="S1777" s="17" t="s">
        <v>8605</v>
      </c>
      <c r="T1777" s="18" t="s">
        <v>665</v>
      </c>
      <c r="U1777" s="19"/>
      <c r="V1777" s="18" t="s">
        <v>8617</v>
      </c>
      <c r="W1777" s="17" t="s">
        <v>240</v>
      </c>
      <c r="X1777" s="17" t="s">
        <v>8618</v>
      </c>
      <c r="Y1777" s="17" t="s">
        <v>242</v>
      </c>
      <c r="Z1777" s="19"/>
      <c r="AA1777" s="19"/>
      <c r="AB1777" s="17"/>
      <c r="AC1777" s="19"/>
    </row>
    <row r="1778" customFormat="false" ht="22.35" hidden="false" customHeight="false" outlineLevel="0" collapsed="false">
      <c r="A1778" s="10" t="s">
        <v>8619</v>
      </c>
      <c r="B1778" s="17" t="s">
        <v>121</v>
      </c>
      <c r="C1778" s="18" t="s">
        <v>122</v>
      </c>
      <c r="D1778" s="17" t="s">
        <v>20</v>
      </c>
      <c r="E1778" s="17" t="s">
        <v>229</v>
      </c>
      <c r="F1778" s="17" t="s">
        <v>7502</v>
      </c>
      <c r="G1778" s="17" t="s">
        <v>5160</v>
      </c>
      <c r="H1778" s="17" t="s">
        <v>30</v>
      </c>
      <c r="I1778" s="17" t="s">
        <v>974</v>
      </c>
      <c r="J1778" s="17" t="s">
        <v>7503</v>
      </c>
      <c r="K1778" s="19"/>
      <c r="L1778" s="19"/>
      <c r="M1778" s="19"/>
      <c r="N1778" s="19"/>
      <c r="O1778" s="17" t="n">
        <v>4</v>
      </c>
      <c r="P1778" s="18" t="s">
        <v>8606</v>
      </c>
      <c r="Q1778" s="18" t="s">
        <v>7860</v>
      </c>
      <c r="R1778" s="18" t="s">
        <v>8620</v>
      </c>
      <c r="S1778" s="17" t="s">
        <v>8605</v>
      </c>
      <c r="T1778" s="18" t="s">
        <v>8621</v>
      </c>
      <c r="U1778" s="19"/>
      <c r="V1778" s="18" t="s">
        <v>8622</v>
      </c>
      <c r="W1778" s="17" t="s">
        <v>240</v>
      </c>
      <c r="X1778" s="17" t="s">
        <v>7961</v>
      </c>
      <c r="Y1778" s="17" t="s">
        <v>242</v>
      </c>
      <c r="Z1778" s="19"/>
      <c r="AA1778" s="19"/>
      <c r="AB1778" s="17"/>
      <c r="AC1778" s="19"/>
    </row>
    <row r="1779" customFormat="false" ht="22.35" hidden="false" customHeight="false" outlineLevel="0" collapsed="false">
      <c r="A1779" s="10" t="s">
        <v>8623</v>
      </c>
      <c r="B1779" s="17" t="s">
        <v>121</v>
      </c>
      <c r="C1779" s="18" t="s">
        <v>122</v>
      </c>
      <c r="D1779" s="17" t="s">
        <v>20</v>
      </c>
      <c r="E1779" s="17" t="s">
        <v>75</v>
      </c>
      <c r="F1779" s="17" t="s">
        <v>7502</v>
      </c>
      <c r="G1779" s="17" t="s">
        <v>5160</v>
      </c>
      <c r="H1779" s="17" t="s">
        <v>30</v>
      </c>
      <c r="I1779" s="17" t="s">
        <v>289</v>
      </c>
      <c r="J1779" s="17" t="s">
        <v>7575</v>
      </c>
      <c r="K1779" s="19"/>
      <c r="L1779" s="19"/>
      <c r="M1779" s="19"/>
      <c r="N1779" s="19"/>
      <c r="O1779" s="17" t="n">
        <v>4</v>
      </c>
      <c r="P1779" s="18" t="s">
        <v>8606</v>
      </c>
      <c r="Q1779" s="18" t="s">
        <v>7860</v>
      </c>
      <c r="R1779" s="18" t="s">
        <v>8624</v>
      </c>
      <c r="S1779" s="17" t="s">
        <v>8605</v>
      </c>
      <c r="T1779" s="18" t="s">
        <v>8625</v>
      </c>
      <c r="U1779" s="19"/>
      <c r="V1779" s="18" t="s">
        <v>8626</v>
      </c>
      <c r="W1779" s="17" t="s">
        <v>383</v>
      </c>
      <c r="X1779" s="17" t="s">
        <v>8627</v>
      </c>
      <c r="Y1779" s="17" t="s">
        <v>242</v>
      </c>
      <c r="Z1779" s="19"/>
      <c r="AA1779" s="19"/>
      <c r="AB1779" s="17"/>
      <c r="AC1779" s="19"/>
    </row>
    <row r="1780" customFormat="false" ht="15" hidden="false" customHeight="false" outlineLevel="0" collapsed="false">
      <c r="A1780" s="10" t="s">
        <v>8628</v>
      </c>
      <c r="B1780" s="17" t="s">
        <v>121</v>
      </c>
      <c r="C1780" s="18" t="s">
        <v>122</v>
      </c>
      <c r="D1780" s="17" t="s">
        <v>20</v>
      </c>
      <c r="E1780" s="17" t="s">
        <v>75</v>
      </c>
      <c r="F1780" s="17" t="s">
        <v>7502</v>
      </c>
      <c r="G1780" s="17" t="s">
        <v>5160</v>
      </c>
      <c r="H1780" s="17" t="s">
        <v>30</v>
      </c>
      <c r="I1780" s="17" t="s">
        <v>283</v>
      </c>
      <c r="J1780" s="17" t="s">
        <v>7503</v>
      </c>
      <c r="K1780" s="19"/>
      <c r="L1780" s="19"/>
      <c r="M1780" s="19"/>
      <c r="N1780" s="19"/>
      <c r="O1780" s="17" t="n">
        <v>4</v>
      </c>
      <c r="P1780" s="18" t="s">
        <v>8606</v>
      </c>
      <c r="Q1780" s="18" t="s">
        <v>4948</v>
      </c>
      <c r="R1780" s="18" t="s">
        <v>8629</v>
      </c>
      <c r="S1780" s="17" t="s">
        <v>8630</v>
      </c>
      <c r="T1780" s="18" t="s">
        <v>8631</v>
      </c>
      <c r="U1780" s="19"/>
      <c r="V1780" s="18" t="s">
        <v>7560</v>
      </c>
      <c r="W1780" s="17" t="s">
        <v>240</v>
      </c>
      <c r="X1780" s="17" t="s">
        <v>7887</v>
      </c>
      <c r="Y1780" s="17" t="s">
        <v>242</v>
      </c>
      <c r="Z1780" s="19"/>
      <c r="AA1780" s="19"/>
      <c r="AB1780" s="17"/>
      <c r="AC1780" s="19"/>
    </row>
    <row r="1781" customFormat="false" ht="15" hidden="false" customHeight="false" outlineLevel="0" collapsed="false">
      <c r="A1781" s="10" t="s">
        <v>8632</v>
      </c>
      <c r="B1781" s="17" t="s">
        <v>116</v>
      </c>
      <c r="C1781" s="18" t="s">
        <v>117</v>
      </c>
      <c r="D1781" s="17" t="s">
        <v>20</v>
      </c>
      <c r="E1781" s="17" t="s">
        <v>75</v>
      </c>
      <c r="F1781" s="17" t="s">
        <v>7502</v>
      </c>
      <c r="G1781" s="17" t="s">
        <v>118</v>
      </c>
      <c r="H1781" s="17" t="s">
        <v>31</v>
      </c>
      <c r="I1781" s="17" t="s">
        <v>283</v>
      </c>
      <c r="J1781" s="17" t="s">
        <v>7503</v>
      </c>
      <c r="K1781" s="19"/>
      <c r="L1781" s="19"/>
      <c r="M1781" s="19"/>
      <c r="N1781" s="19"/>
      <c r="O1781" s="17" t="n">
        <v>3</v>
      </c>
      <c r="P1781" s="18" t="s">
        <v>8633</v>
      </c>
      <c r="Q1781" s="18" t="s">
        <v>7854</v>
      </c>
      <c r="R1781" s="18" t="s">
        <v>7855</v>
      </c>
      <c r="S1781" s="17" t="s">
        <v>7849</v>
      </c>
      <c r="T1781" s="18" t="s">
        <v>7856</v>
      </c>
      <c r="U1781" s="19"/>
      <c r="V1781" s="18" t="s">
        <v>7857</v>
      </c>
      <c r="W1781" s="17" t="s">
        <v>240</v>
      </c>
      <c r="X1781" s="17" t="s">
        <v>7858</v>
      </c>
      <c r="Y1781" s="17" t="s">
        <v>242</v>
      </c>
      <c r="Z1781" s="19"/>
      <c r="AA1781" s="19"/>
      <c r="AB1781" s="17"/>
      <c r="AC1781" s="19"/>
    </row>
    <row r="1782" customFormat="false" ht="22.35" hidden="false" customHeight="false" outlineLevel="0" collapsed="false">
      <c r="A1782" s="10" t="s">
        <v>8634</v>
      </c>
      <c r="B1782" s="17" t="s">
        <v>116</v>
      </c>
      <c r="C1782" s="18" t="s">
        <v>117</v>
      </c>
      <c r="D1782" s="17" t="s">
        <v>20</v>
      </c>
      <c r="E1782" s="17" t="s">
        <v>229</v>
      </c>
      <c r="F1782" s="17" t="s">
        <v>7502</v>
      </c>
      <c r="G1782" s="17" t="s">
        <v>118</v>
      </c>
      <c r="H1782" s="17" t="s">
        <v>31</v>
      </c>
      <c r="I1782" s="17" t="s">
        <v>277</v>
      </c>
      <c r="J1782" s="17" t="s">
        <v>7580</v>
      </c>
      <c r="K1782" s="19"/>
      <c r="L1782" s="19"/>
      <c r="M1782" s="19"/>
      <c r="N1782" s="19"/>
      <c r="O1782" s="17" t="n">
        <v>3</v>
      </c>
      <c r="P1782" s="18" t="s">
        <v>8633</v>
      </c>
      <c r="Q1782" s="18" t="s">
        <v>7860</v>
      </c>
      <c r="R1782" s="18" t="s">
        <v>8635</v>
      </c>
      <c r="S1782" s="17" t="s">
        <v>8632</v>
      </c>
      <c r="T1782" s="18" t="s">
        <v>8636</v>
      </c>
      <c r="U1782" s="19"/>
      <c r="V1782" s="18" t="s">
        <v>8637</v>
      </c>
      <c r="W1782" s="17" t="s">
        <v>240</v>
      </c>
      <c r="X1782" s="17" t="s">
        <v>7961</v>
      </c>
      <c r="Y1782" s="17" t="s">
        <v>242</v>
      </c>
      <c r="Z1782" s="19"/>
      <c r="AA1782" s="19"/>
      <c r="AB1782" s="17"/>
      <c r="AC1782" s="19"/>
    </row>
    <row r="1783" customFormat="false" ht="22.35" hidden="false" customHeight="false" outlineLevel="0" collapsed="false">
      <c r="A1783" s="10" t="s">
        <v>8638</v>
      </c>
      <c r="B1783" s="17" t="s">
        <v>116</v>
      </c>
      <c r="C1783" s="18" t="s">
        <v>117</v>
      </c>
      <c r="D1783" s="17" t="s">
        <v>20</v>
      </c>
      <c r="E1783" s="17" t="s">
        <v>229</v>
      </c>
      <c r="F1783" s="17" t="s">
        <v>7502</v>
      </c>
      <c r="G1783" s="17" t="s">
        <v>118</v>
      </c>
      <c r="H1783" s="17" t="s">
        <v>31</v>
      </c>
      <c r="I1783" s="17" t="s">
        <v>277</v>
      </c>
      <c r="J1783" s="17" t="s">
        <v>7580</v>
      </c>
      <c r="K1783" s="19"/>
      <c r="L1783" s="19"/>
      <c r="M1783" s="19"/>
      <c r="N1783" s="19"/>
      <c r="O1783" s="17" t="n">
        <v>3</v>
      </c>
      <c r="P1783" s="18" t="s">
        <v>8633</v>
      </c>
      <c r="Q1783" s="18" t="s">
        <v>7860</v>
      </c>
      <c r="R1783" s="18" t="s">
        <v>8639</v>
      </c>
      <c r="S1783" s="17" t="s">
        <v>8632</v>
      </c>
      <c r="T1783" s="18" t="s">
        <v>8640</v>
      </c>
      <c r="U1783" s="19"/>
      <c r="V1783" s="18" t="s">
        <v>8641</v>
      </c>
      <c r="W1783" s="17" t="s">
        <v>240</v>
      </c>
      <c r="X1783" s="17" t="s">
        <v>7961</v>
      </c>
      <c r="Y1783" s="17" t="s">
        <v>242</v>
      </c>
      <c r="Z1783" s="19"/>
      <c r="AA1783" s="19"/>
      <c r="AB1783" s="17"/>
      <c r="AC1783" s="19"/>
    </row>
    <row r="1784" customFormat="false" ht="22.35" hidden="false" customHeight="false" outlineLevel="0" collapsed="false">
      <c r="A1784" s="10" t="s">
        <v>8642</v>
      </c>
      <c r="B1784" s="17" t="s">
        <v>116</v>
      </c>
      <c r="C1784" s="18" t="s">
        <v>117</v>
      </c>
      <c r="D1784" s="17" t="s">
        <v>20</v>
      </c>
      <c r="E1784" s="17" t="s">
        <v>229</v>
      </c>
      <c r="F1784" s="17" t="s">
        <v>7502</v>
      </c>
      <c r="G1784" s="17" t="s">
        <v>118</v>
      </c>
      <c r="H1784" s="17" t="s">
        <v>31</v>
      </c>
      <c r="I1784" s="17" t="s">
        <v>450</v>
      </c>
      <c r="J1784" s="17" t="s">
        <v>7580</v>
      </c>
      <c r="K1784" s="19"/>
      <c r="L1784" s="19"/>
      <c r="M1784" s="19"/>
      <c r="N1784" s="19"/>
      <c r="O1784" s="17" t="n">
        <v>3</v>
      </c>
      <c r="P1784" s="18" t="s">
        <v>8633</v>
      </c>
      <c r="Q1784" s="18" t="s">
        <v>7860</v>
      </c>
      <c r="R1784" s="18" t="s">
        <v>8643</v>
      </c>
      <c r="S1784" s="17" t="s">
        <v>8632</v>
      </c>
      <c r="T1784" s="18" t="s">
        <v>8287</v>
      </c>
      <c r="U1784" s="19"/>
      <c r="V1784" s="18" t="s">
        <v>8644</v>
      </c>
      <c r="W1784" s="17" t="s">
        <v>383</v>
      </c>
      <c r="X1784" s="17" t="s">
        <v>7961</v>
      </c>
      <c r="Y1784" s="17" t="s">
        <v>242</v>
      </c>
      <c r="Z1784" s="19"/>
      <c r="AA1784" s="19"/>
      <c r="AB1784" s="17"/>
      <c r="AC1784" s="19"/>
    </row>
    <row r="1785" customFormat="false" ht="22.35" hidden="false" customHeight="false" outlineLevel="0" collapsed="false">
      <c r="A1785" s="10" t="s">
        <v>8645</v>
      </c>
      <c r="B1785" s="17" t="s">
        <v>116</v>
      </c>
      <c r="C1785" s="18" t="s">
        <v>117</v>
      </c>
      <c r="D1785" s="17" t="s">
        <v>20</v>
      </c>
      <c r="E1785" s="17" t="s">
        <v>75</v>
      </c>
      <c r="F1785" s="17" t="s">
        <v>7502</v>
      </c>
      <c r="G1785" s="17" t="s">
        <v>118</v>
      </c>
      <c r="H1785" s="17" t="s">
        <v>31</v>
      </c>
      <c r="I1785" s="17" t="s">
        <v>333</v>
      </c>
      <c r="J1785" s="17" t="s">
        <v>7503</v>
      </c>
      <c r="K1785" s="19"/>
      <c r="L1785" s="19"/>
      <c r="M1785" s="19"/>
      <c r="N1785" s="19"/>
      <c r="O1785" s="17" t="n">
        <v>3</v>
      </c>
      <c r="P1785" s="18" t="s">
        <v>8633</v>
      </c>
      <c r="Q1785" s="18" t="s">
        <v>7860</v>
      </c>
      <c r="R1785" s="18" t="s">
        <v>8646</v>
      </c>
      <c r="S1785" s="17" t="s">
        <v>8632</v>
      </c>
      <c r="T1785" s="18" t="s">
        <v>8647</v>
      </c>
      <c r="U1785" s="19"/>
      <c r="V1785" s="18" t="s">
        <v>8648</v>
      </c>
      <c r="W1785" s="17" t="s">
        <v>240</v>
      </c>
      <c r="X1785" s="17" t="s">
        <v>8649</v>
      </c>
      <c r="Y1785" s="17" t="s">
        <v>242</v>
      </c>
      <c r="Z1785" s="19"/>
      <c r="AA1785" s="19"/>
      <c r="AB1785" s="17"/>
      <c r="AC1785" s="19"/>
    </row>
    <row r="1786" customFormat="false" ht="22.35" hidden="false" customHeight="false" outlineLevel="0" collapsed="false">
      <c r="A1786" s="10" t="s">
        <v>8650</v>
      </c>
      <c r="B1786" s="17" t="s">
        <v>116</v>
      </c>
      <c r="C1786" s="18" t="s">
        <v>117</v>
      </c>
      <c r="D1786" s="17" t="s">
        <v>20</v>
      </c>
      <c r="E1786" s="17" t="s">
        <v>75</v>
      </c>
      <c r="F1786" s="17" t="s">
        <v>7502</v>
      </c>
      <c r="G1786" s="17" t="s">
        <v>118</v>
      </c>
      <c r="H1786" s="17" t="s">
        <v>31</v>
      </c>
      <c r="I1786" s="17" t="s">
        <v>333</v>
      </c>
      <c r="J1786" s="17" t="s">
        <v>7569</v>
      </c>
      <c r="K1786" s="19"/>
      <c r="L1786" s="19"/>
      <c r="M1786" s="19"/>
      <c r="N1786" s="19"/>
      <c r="O1786" s="17" t="n">
        <v>3</v>
      </c>
      <c r="P1786" s="18" t="s">
        <v>8633</v>
      </c>
      <c r="Q1786" s="18" t="s">
        <v>7860</v>
      </c>
      <c r="R1786" s="18" t="s">
        <v>8651</v>
      </c>
      <c r="S1786" s="17" t="s">
        <v>8632</v>
      </c>
      <c r="T1786" s="18" t="s">
        <v>8652</v>
      </c>
      <c r="U1786" s="19"/>
      <c r="V1786" s="18" t="s">
        <v>8653</v>
      </c>
      <c r="W1786" s="17" t="s">
        <v>383</v>
      </c>
      <c r="X1786" s="17" t="s">
        <v>8649</v>
      </c>
      <c r="Y1786" s="17" t="s">
        <v>242</v>
      </c>
      <c r="Z1786" s="19"/>
      <c r="AA1786" s="19"/>
      <c r="AB1786" s="17"/>
      <c r="AC1786" s="19"/>
    </row>
    <row r="1787" customFormat="false" ht="15" hidden="false" customHeight="false" outlineLevel="0" collapsed="false">
      <c r="A1787" s="10" t="s">
        <v>8654</v>
      </c>
      <c r="B1787" s="17" t="s">
        <v>116</v>
      </c>
      <c r="C1787" s="18" t="s">
        <v>117</v>
      </c>
      <c r="D1787" s="17" t="s">
        <v>20</v>
      </c>
      <c r="E1787" s="17" t="s">
        <v>75</v>
      </c>
      <c r="F1787" s="17" t="s">
        <v>7502</v>
      </c>
      <c r="G1787" s="17" t="s">
        <v>118</v>
      </c>
      <c r="H1787" s="17" t="s">
        <v>31</v>
      </c>
      <c r="I1787" s="17" t="s">
        <v>283</v>
      </c>
      <c r="J1787" s="17" t="s">
        <v>7503</v>
      </c>
      <c r="K1787" s="19"/>
      <c r="L1787" s="19"/>
      <c r="M1787" s="19"/>
      <c r="N1787" s="19"/>
      <c r="O1787" s="17" t="n">
        <v>3</v>
      </c>
      <c r="P1787" s="18" t="s">
        <v>8633</v>
      </c>
      <c r="Q1787" s="18" t="s">
        <v>4948</v>
      </c>
      <c r="R1787" s="18" t="s">
        <v>8655</v>
      </c>
      <c r="S1787" s="17" t="s">
        <v>8656</v>
      </c>
      <c r="T1787" s="18" t="s">
        <v>8657</v>
      </c>
      <c r="U1787" s="19"/>
      <c r="V1787" s="18" t="s">
        <v>7560</v>
      </c>
      <c r="W1787" s="17" t="s">
        <v>240</v>
      </c>
      <c r="X1787" s="17" t="s">
        <v>7887</v>
      </c>
      <c r="Y1787" s="17" t="s">
        <v>242</v>
      </c>
      <c r="Z1787" s="19"/>
      <c r="AA1787" s="19"/>
      <c r="AB1787" s="17"/>
      <c r="AC1787" s="19"/>
    </row>
    <row r="1788" customFormat="false" ht="15" hidden="false" customHeight="false" outlineLevel="0" collapsed="false">
      <c r="A1788" s="10" t="s">
        <v>8658</v>
      </c>
      <c r="B1788" s="17" t="s">
        <v>124</v>
      </c>
      <c r="C1788" s="18" t="s">
        <v>125</v>
      </c>
      <c r="D1788" s="17" t="s">
        <v>20</v>
      </c>
      <c r="E1788" s="17" t="s">
        <v>75</v>
      </c>
      <c r="F1788" s="17" t="s">
        <v>7502</v>
      </c>
      <c r="G1788" s="17" t="s">
        <v>5997</v>
      </c>
      <c r="H1788" s="17" t="s">
        <v>34</v>
      </c>
      <c r="I1788" s="17" t="s">
        <v>283</v>
      </c>
      <c r="J1788" s="17" t="s">
        <v>7503</v>
      </c>
      <c r="K1788" s="19"/>
      <c r="L1788" s="19"/>
      <c r="M1788" s="19"/>
      <c r="N1788" s="19"/>
      <c r="O1788" s="17" t="n">
        <v>3</v>
      </c>
      <c r="P1788" s="18" t="s">
        <v>8659</v>
      </c>
      <c r="Q1788" s="18" t="s">
        <v>7854</v>
      </c>
      <c r="R1788" s="18" t="s">
        <v>7855</v>
      </c>
      <c r="S1788" s="17" t="s">
        <v>7849</v>
      </c>
      <c r="T1788" s="18" t="s">
        <v>7856</v>
      </c>
      <c r="U1788" s="19"/>
      <c r="V1788" s="18" t="s">
        <v>7857</v>
      </c>
      <c r="W1788" s="17" t="s">
        <v>240</v>
      </c>
      <c r="X1788" s="17" t="s">
        <v>7858</v>
      </c>
      <c r="Y1788" s="17" t="s">
        <v>242</v>
      </c>
      <c r="Z1788" s="19"/>
      <c r="AA1788" s="19"/>
      <c r="AB1788" s="17"/>
      <c r="AC1788" s="19"/>
    </row>
    <row r="1789" customFormat="false" ht="22.35" hidden="false" customHeight="false" outlineLevel="0" collapsed="false">
      <c r="A1789" s="10" t="s">
        <v>8660</v>
      </c>
      <c r="B1789" s="17" t="s">
        <v>124</v>
      </c>
      <c r="C1789" s="18" t="s">
        <v>125</v>
      </c>
      <c r="D1789" s="17" t="s">
        <v>20</v>
      </c>
      <c r="E1789" s="17" t="s">
        <v>229</v>
      </c>
      <c r="F1789" s="17" t="s">
        <v>7502</v>
      </c>
      <c r="G1789" s="17" t="s">
        <v>5997</v>
      </c>
      <c r="H1789" s="17" t="s">
        <v>34</v>
      </c>
      <c r="I1789" s="17" t="s">
        <v>2638</v>
      </c>
      <c r="J1789" s="17" t="s">
        <v>7503</v>
      </c>
      <c r="K1789" s="19"/>
      <c r="L1789" s="19"/>
      <c r="M1789" s="19"/>
      <c r="N1789" s="19"/>
      <c r="O1789" s="17" t="n">
        <v>3</v>
      </c>
      <c r="P1789" s="18" t="s">
        <v>8659</v>
      </c>
      <c r="Q1789" s="18" t="s">
        <v>7860</v>
      </c>
      <c r="R1789" s="18" t="s">
        <v>8661</v>
      </c>
      <c r="S1789" s="17" t="s">
        <v>8658</v>
      </c>
      <c r="T1789" s="18" t="s">
        <v>8662</v>
      </c>
      <c r="U1789" s="19"/>
      <c r="V1789" s="18" t="s">
        <v>8663</v>
      </c>
      <c r="W1789" s="17" t="s">
        <v>240</v>
      </c>
      <c r="X1789" s="17" t="s">
        <v>2673</v>
      </c>
      <c r="Y1789" s="17" t="s">
        <v>242</v>
      </c>
      <c r="Z1789" s="19"/>
      <c r="AA1789" s="19"/>
      <c r="AB1789" s="17"/>
      <c r="AC1789" s="19"/>
    </row>
    <row r="1790" customFormat="false" ht="22.35" hidden="false" customHeight="false" outlineLevel="0" collapsed="false">
      <c r="A1790" s="10" t="s">
        <v>8664</v>
      </c>
      <c r="B1790" s="17" t="s">
        <v>124</v>
      </c>
      <c r="C1790" s="18" t="s">
        <v>125</v>
      </c>
      <c r="D1790" s="17" t="s">
        <v>20</v>
      </c>
      <c r="E1790" s="17" t="s">
        <v>229</v>
      </c>
      <c r="F1790" s="17" t="s">
        <v>7502</v>
      </c>
      <c r="G1790" s="17" t="s">
        <v>5997</v>
      </c>
      <c r="H1790" s="17" t="s">
        <v>34</v>
      </c>
      <c r="I1790" s="17" t="s">
        <v>2638</v>
      </c>
      <c r="J1790" s="17" t="s">
        <v>7525</v>
      </c>
      <c r="K1790" s="19"/>
      <c r="L1790" s="19"/>
      <c r="M1790" s="19"/>
      <c r="N1790" s="19"/>
      <c r="O1790" s="17" t="n">
        <v>3</v>
      </c>
      <c r="P1790" s="18" t="s">
        <v>8659</v>
      </c>
      <c r="Q1790" s="18" t="s">
        <v>7860</v>
      </c>
      <c r="R1790" s="18" t="s">
        <v>8665</v>
      </c>
      <c r="S1790" s="17" t="s">
        <v>8666</v>
      </c>
      <c r="T1790" s="18" t="s">
        <v>8667</v>
      </c>
      <c r="U1790" s="19"/>
      <c r="V1790" s="18" t="s">
        <v>8668</v>
      </c>
      <c r="W1790" s="17" t="s">
        <v>240</v>
      </c>
      <c r="X1790" s="17" t="s">
        <v>2673</v>
      </c>
      <c r="Y1790" s="17" t="s">
        <v>242</v>
      </c>
      <c r="Z1790" s="19"/>
      <c r="AA1790" s="19"/>
      <c r="AB1790" s="17"/>
      <c r="AC1790" s="19"/>
    </row>
    <row r="1791" customFormat="false" ht="22.35" hidden="false" customHeight="false" outlineLevel="0" collapsed="false">
      <c r="A1791" s="10" t="s">
        <v>8669</v>
      </c>
      <c r="B1791" s="17" t="s">
        <v>124</v>
      </c>
      <c r="C1791" s="18" t="s">
        <v>125</v>
      </c>
      <c r="D1791" s="17" t="s">
        <v>20</v>
      </c>
      <c r="E1791" s="17" t="s">
        <v>75</v>
      </c>
      <c r="F1791" s="17" t="s">
        <v>7502</v>
      </c>
      <c r="G1791" s="17" t="s">
        <v>5997</v>
      </c>
      <c r="H1791" s="17" t="s">
        <v>34</v>
      </c>
      <c r="I1791" s="17" t="s">
        <v>333</v>
      </c>
      <c r="J1791" s="17" t="s">
        <v>7569</v>
      </c>
      <c r="K1791" s="19"/>
      <c r="L1791" s="19"/>
      <c r="M1791" s="19"/>
      <c r="N1791" s="19"/>
      <c r="O1791" s="17" t="n">
        <v>3</v>
      </c>
      <c r="P1791" s="18" t="s">
        <v>8659</v>
      </c>
      <c r="Q1791" s="18" t="s">
        <v>7860</v>
      </c>
      <c r="R1791" s="18" t="s">
        <v>8670</v>
      </c>
      <c r="S1791" s="17" t="s">
        <v>8658</v>
      </c>
      <c r="T1791" s="18" t="s">
        <v>8671</v>
      </c>
      <c r="U1791" s="19"/>
      <c r="V1791" s="18" t="s">
        <v>8672</v>
      </c>
      <c r="W1791" s="17" t="s">
        <v>5511</v>
      </c>
      <c r="X1791" s="17" t="s">
        <v>8673</v>
      </c>
      <c r="Y1791" s="17" t="s">
        <v>242</v>
      </c>
      <c r="Z1791" s="19"/>
      <c r="AA1791" s="19"/>
      <c r="AB1791" s="17"/>
      <c r="AC1791" s="19"/>
    </row>
    <row r="1792" customFormat="false" ht="22.35" hidden="false" customHeight="false" outlineLevel="0" collapsed="false">
      <c r="A1792" s="10" t="s">
        <v>8674</v>
      </c>
      <c r="B1792" s="17" t="s">
        <v>124</v>
      </c>
      <c r="C1792" s="18" t="s">
        <v>125</v>
      </c>
      <c r="D1792" s="17" t="s">
        <v>20</v>
      </c>
      <c r="E1792" s="17" t="s">
        <v>75</v>
      </c>
      <c r="F1792" s="17" t="s">
        <v>7502</v>
      </c>
      <c r="G1792" s="17" t="s">
        <v>5997</v>
      </c>
      <c r="H1792" s="17" t="s">
        <v>34</v>
      </c>
      <c r="I1792" s="17" t="s">
        <v>2638</v>
      </c>
      <c r="J1792" s="17" t="s">
        <v>7503</v>
      </c>
      <c r="K1792" s="19"/>
      <c r="L1792" s="19"/>
      <c r="M1792" s="19"/>
      <c r="N1792" s="19"/>
      <c r="O1792" s="17" t="n">
        <v>3</v>
      </c>
      <c r="P1792" s="18" t="s">
        <v>8659</v>
      </c>
      <c r="Q1792" s="18" t="s">
        <v>7860</v>
      </c>
      <c r="R1792" s="18" t="s">
        <v>8675</v>
      </c>
      <c r="S1792" s="17" t="s">
        <v>8658</v>
      </c>
      <c r="T1792" s="18" t="s">
        <v>8676</v>
      </c>
      <c r="U1792" s="19"/>
      <c r="V1792" s="18" t="s">
        <v>8677</v>
      </c>
      <c r="W1792" s="17" t="s">
        <v>240</v>
      </c>
      <c r="X1792" s="17" t="s">
        <v>8082</v>
      </c>
      <c r="Y1792" s="17" t="s">
        <v>242</v>
      </c>
      <c r="Z1792" s="19"/>
      <c r="AA1792" s="19"/>
      <c r="AB1792" s="17"/>
      <c r="AC1792" s="19"/>
    </row>
    <row r="1793" customFormat="false" ht="15" hidden="false" customHeight="false" outlineLevel="0" collapsed="false">
      <c r="A1793" s="10" t="s">
        <v>8678</v>
      </c>
      <c r="B1793" s="17" t="s">
        <v>124</v>
      </c>
      <c r="C1793" s="18" t="s">
        <v>125</v>
      </c>
      <c r="D1793" s="17" t="s">
        <v>20</v>
      </c>
      <c r="E1793" s="17" t="s">
        <v>75</v>
      </c>
      <c r="F1793" s="17" t="s">
        <v>7502</v>
      </c>
      <c r="G1793" s="17" t="s">
        <v>5997</v>
      </c>
      <c r="H1793" s="17" t="s">
        <v>34</v>
      </c>
      <c r="I1793" s="17" t="s">
        <v>283</v>
      </c>
      <c r="J1793" s="17" t="s">
        <v>7503</v>
      </c>
      <c r="K1793" s="19"/>
      <c r="L1793" s="19"/>
      <c r="M1793" s="19"/>
      <c r="N1793" s="19"/>
      <c r="O1793" s="17" t="n">
        <v>3</v>
      </c>
      <c r="P1793" s="18" t="s">
        <v>8659</v>
      </c>
      <c r="Q1793" s="18" t="s">
        <v>4948</v>
      </c>
      <c r="R1793" s="18" t="s">
        <v>8679</v>
      </c>
      <c r="S1793" s="17" t="s">
        <v>8680</v>
      </c>
      <c r="T1793" s="18" t="s">
        <v>8681</v>
      </c>
      <c r="U1793" s="19"/>
      <c r="V1793" s="18" t="s">
        <v>7560</v>
      </c>
      <c r="W1793" s="17" t="s">
        <v>240</v>
      </c>
      <c r="X1793" s="17" t="s">
        <v>7887</v>
      </c>
      <c r="Y1793" s="17" t="s">
        <v>242</v>
      </c>
      <c r="Z1793" s="19"/>
      <c r="AA1793" s="19"/>
      <c r="AB1793" s="17"/>
      <c r="AC1793" s="19"/>
    </row>
    <row r="1794" customFormat="false" ht="22.35" hidden="false" customHeight="false" outlineLevel="0" collapsed="false">
      <c r="A1794" s="10" t="s">
        <v>8682</v>
      </c>
      <c r="B1794" s="17" t="s">
        <v>127</v>
      </c>
      <c r="C1794" s="18" t="s">
        <v>128</v>
      </c>
      <c r="D1794" s="17" t="s">
        <v>20</v>
      </c>
      <c r="E1794" s="17" t="s">
        <v>75</v>
      </c>
      <c r="F1794" s="17" t="s">
        <v>7502</v>
      </c>
      <c r="G1794" s="17" t="s">
        <v>199</v>
      </c>
      <c r="H1794" s="17" t="s">
        <v>34</v>
      </c>
      <c r="I1794" s="17" t="s">
        <v>283</v>
      </c>
      <c r="J1794" s="17" t="s">
        <v>7503</v>
      </c>
      <c r="K1794" s="19"/>
      <c r="L1794" s="19"/>
      <c r="M1794" s="19"/>
      <c r="N1794" s="19"/>
      <c r="O1794" s="17" t="n">
        <v>4</v>
      </c>
      <c r="P1794" s="18" t="s">
        <v>8683</v>
      </c>
      <c r="Q1794" s="18" t="s">
        <v>7854</v>
      </c>
      <c r="R1794" s="18" t="s">
        <v>8684</v>
      </c>
      <c r="S1794" s="17" t="s">
        <v>7849</v>
      </c>
      <c r="T1794" s="18" t="s">
        <v>7856</v>
      </c>
      <c r="U1794" s="19"/>
      <c r="V1794" s="18" t="s">
        <v>7857</v>
      </c>
      <c r="W1794" s="17" t="s">
        <v>5511</v>
      </c>
      <c r="X1794" s="17" t="s">
        <v>7858</v>
      </c>
      <c r="Y1794" s="17" t="s">
        <v>242</v>
      </c>
      <c r="Z1794" s="19"/>
      <c r="AA1794" s="19"/>
      <c r="AB1794" s="17"/>
      <c r="AC1794" s="19"/>
    </row>
    <row r="1795" customFormat="false" ht="22.35" hidden="false" customHeight="false" outlineLevel="0" collapsed="false">
      <c r="A1795" s="10" t="s">
        <v>8685</v>
      </c>
      <c r="B1795" s="17" t="s">
        <v>127</v>
      </c>
      <c r="C1795" s="18" t="s">
        <v>128</v>
      </c>
      <c r="D1795" s="17" t="s">
        <v>20</v>
      </c>
      <c r="E1795" s="17" t="s">
        <v>75</v>
      </c>
      <c r="F1795" s="17" t="s">
        <v>7502</v>
      </c>
      <c r="G1795" s="17" t="s">
        <v>199</v>
      </c>
      <c r="H1795" s="17" t="s">
        <v>34</v>
      </c>
      <c r="I1795" s="17" t="s">
        <v>5507</v>
      </c>
      <c r="J1795" s="17" t="s">
        <v>7503</v>
      </c>
      <c r="K1795" s="19"/>
      <c r="L1795" s="19"/>
      <c r="M1795" s="19"/>
      <c r="N1795" s="19"/>
      <c r="O1795" s="17" t="n">
        <v>4</v>
      </c>
      <c r="P1795" s="18" t="s">
        <v>8683</v>
      </c>
      <c r="Q1795" s="18" t="s">
        <v>7860</v>
      </c>
      <c r="R1795" s="18" t="s">
        <v>8686</v>
      </c>
      <c r="S1795" s="17" t="s">
        <v>8682</v>
      </c>
      <c r="T1795" s="18" t="s">
        <v>8687</v>
      </c>
      <c r="U1795" s="19"/>
      <c r="V1795" s="18" t="s">
        <v>8688</v>
      </c>
      <c r="W1795" s="17" t="s">
        <v>5511</v>
      </c>
      <c r="X1795" s="17" t="s">
        <v>8689</v>
      </c>
      <c r="Y1795" s="17" t="s">
        <v>242</v>
      </c>
      <c r="Z1795" s="19"/>
      <c r="AA1795" s="19"/>
      <c r="AB1795" s="17"/>
      <c r="AC1795" s="19"/>
    </row>
    <row r="1796" customFormat="false" ht="22.35" hidden="false" customHeight="false" outlineLevel="0" collapsed="false">
      <c r="A1796" s="10" t="s">
        <v>8690</v>
      </c>
      <c r="B1796" s="17" t="s">
        <v>127</v>
      </c>
      <c r="C1796" s="18" t="s">
        <v>128</v>
      </c>
      <c r="D1796" s="17" t="s">
        <v>20</v>
      </c>
      <c r="E1796" s="17" t="s">
        <v>75</v>
      </c>
      <c r="F1796" s="17" t="s">
        <v>7502</v>
      </c>
      <c r="G1796" s="17" t="s">
        <v>199</v>
      </c>
      <c r="H1796" s="17" t="s">
        <v>34</v>
      </c>
      <c r="I1796" s="17" t="s">
        <v>5507</v>
      </c>
      <c r="J1796" s="17" t="s">
        <v>7575</v>
      </c>
      <c r="K1796" s="19"/>
      <c r="L1796" s="19"/>
      <c r="M1796" s="19"/>
      <c r="N1796" s="19"/>
      <c r="O1796" s="17" t="n">
        <v>4</v>
      </c>
      <c r="P1796" s="18" t="s">
        <v>8683</v>
      </c>
      <c r="Q1796" s="18" t="s">
        <v>7860</v>
      </c>
      <c r="R1796" s="18" t="s">
        <v>8691</v>
      </c>
      <c r="S1796" s="17" t="s">
        <v>8682</v>
      </c>
      <c r="T1796" s="18" t="s">
        <v>8692</v>
      </c>
      <c r="U1796" s="19"/>
      <c r="V1796" s="18" t="s">
        <v>8693</v>
      </c>
      <c r="W1796" s="17" t="s">
        <v>5511</v>
      </c>
      <c r="X1796" s="17" t="s">
        <v>8689</v>
      </c>
      <c r="Y1796" s="17" t="s">
        <v>242</v>
      </c>
      <c r="Z1796" s="19"/>
      <c r="AA1796" s="19"/>
      <c r="AB1796" s="17"/>
      <c r="AC1796" s="19"/>
    </row>
    <row r="1797" customFormat="false" ht="32.8" hidden="false" customHeight="false" outlineLevel="0" collapsed="false">
      <c r="A1797" s="10" t="s">
        <v>8694</v>
      </c>
      <c r="B1797" s="17" t="s">
        <v>127</v>
      </c>
      <c r="C1797" s="18" t="s">
        <v>128</v>
      </c>
      <c r="D1797" s="17" t="s">
        <v>20</v>
      </c>
      <c r="E1797" s="17" t="s">
        <v>229</v>
      </c>
      <c r="F1797" s="17" t="s">
        <v>7502</v>
      </c>
      <c r="G1797" s="17" t="s">
        <v>199</v>
      </c>
      <c r="H1797" s="17" t="s">
        <v>34</v>
      </c>
      <c r="I1797" s="17" t="s">
        <v>5507</v>
      </c>
      <c r="J1797" s="17" t="s">
        <v>7503</v>
      </c>
      <c r="K1797" s="19"/>
      <c r="L1797" s="19"/>
      <c r="M1797" s="19"/>
      <c r="N1797" s="19"/>
      <c r="O1797" s="17" t="n">
        <v>4</v>
      </c>
      <c r="P1797" s="18" t="s">
        <v>8683</v>
      </c>
      <c r="Q1797" s="18" t="s">
        <v>7860</v>
      </c>
      <c r="R1797" s="18" t="s">
        <v>8695</v>
      </c>
      <c r="S1797" s="17" t="s">
        <v>8682</v>
      </c>
      <c r="T1797" s="18" t="s">
        <v>8696</v>
      </c>
      <c r="U1797" s="19"/>
      <c r="V1797" s="18" t="s">
        <v>8697</v>
      </c>
      <c r="W1797" s="17" t="s">
        <v>5511</v>
      </c>
      <c r="X1797" s="17" t="s">
        <v>8698</v>
      </c>
      <c r="Y1797" s="17" t="s">
        <v>242</v>
      </c>
      <c r="Z1797" s="19"/>
      <c r="AA1797" s="19"/>
      <c r="AB1797" s="17"/>
      <c r="AC1797" s="19"/>
    </row>
    <row r="1798" customFormat="false" ht="32.8" hidden="false" customHeight="false" outlineLevel="0" collapsed="false">
      <c r="A1798" s="10" t="s">
        <v>8699</v>
      </c>
      <c r="B1798" s="17" t="s">
        <v>127</v>
      </c>
      <c r="C1798" s="18" t="s">
        <v>128</v>
      </c>
      <c r="D1798" s="17" t="s">
        <v>20</v>
      </c>
      <c r="E1798" s="17" t="s">
        <v>229</v>
      </c>
      <c r="F1798" s="17" t="s">
        <v>7502</v>
      </c>
      <c r="G1798" s="17" t="s">
        <v>199</v>
      </c>
      <c r="H1798" s="17" t="s">
        <v>34</v>
      </c>
      <c r="I1798" s="17" t="s">
        <v>289</v>
      </c>
      <c r="J1798" s="17" t="s">
        <v>7575</v>
      </c>
      <c r="K1798" s="19"/>
      <c r="L1798" s="19"/>
      <c r="M1798" s="19"/>
      <c r="N1798" s="19"/>
      <c r="O1798" s="17" t="n">
        <v>4</v>
      </c>
      <c r="P1798" s="18" t="s">
        <v>8683</v>
      </c>
      <c r="Q1798" s="18" t="s">
        <v>7860</v>
      </c>
      <c r="R1798" s="18" t="s">
        <v>8700</v>
      </c>
      <c r="S1798" s="17" t="s">
        <v>8682</v>
      </c>
      <c r="T1798" s="18" t="s">
        <v>8701</v>
      </c>
      <c r="U1798" s="19"/>
      <c r="V1798" s="18" t="s">
        <v>8702</v>
      </c>
      <c r="W1798" s="17" t="s">
        <v>383</v>
      </c>
      <c r="X1798" s="17" t="s">
        <v>8493</v>
      </c>
      <c r="Y1798" s="17" t="s">
        <v>242</v>
      </c>
      <c r="Z1798" s="19"/>
      <c r="AA1798" s="19"/>
      <c r="AB1798" s="17"/>
      <c r="AC1798" s="19"/>
    </row>
    <row r="1799" customFormat="false" ht="22.35" hidden="false" customHeight="false" outlineLevel="0" collapsed="false">
      <c r="A1799" s="10" t="s">
        <v>8703</v>
      </c>
      <c r="B1799" s="17" t="s">
        <v>127</v>
      </c>
      <c r="C1799" s="18" t="s">
        <v>128</v>
      </c>
      <c r="D1799" s="17" t="s">
        <v>20</v>
      </c>
      <c r="E1799" s="17" t="s">
        <v>75</v>
      </c>
      <c r="F1799" s="17" t="s">
        <v>7502</v>
      </c>
      <c r="G1799" s="17" t="s">
        <v>199</v>
      </c>
      <c r="H1799" s="17" t="s">
        <v>34</v>
      </c>
      <c r="I1799" s="17" t="s">
        <v>5507</v>
      </c>
      <c r="J1799" s="17" t="s">
        <v>7503</v>
      </c>
      <c r="K1799" s="19"/>
      <c r="L1799" s="19"/>
      <c r="M1799" s="19"/>
      <c r="N1799" s="19"/>
      <c r="O1799" s="17" t="n">
        <v>4</v>
      </c>
      <c r="P1799" s="18" t="s">
        <v>8683</v>
      </c>
      <c r="Q1799" s="18" t="s">
        <v>7860</v>
      </c>
      <c r="R1799" s="18" t="s">
        <v>8704</v>
      </c>
      <c r="S1799" s="17" t="s">
        <v>8682</v>
      </c>
      <c r="T1799" s="18" t="s">
        <v>8705</v>
      </c>
      <c r="U1799" s="19"/>
      <c r="V1799" s="18" t="s">
        <v>8706</v>
      </c>
      <c r="W1799" s="17" t="s">
        <v>5511</v>
      </c>
      <c r="X1799" s="17" t="s">
        <v>8707</v>
      </c>
      <c r="Y1799" s="17" t="s">
        <v>242</v>
      </c>
      <c r="Z1799" s="19"/>
      <c r="AA1799" s="19"/>
      <c r="AB1799" s="17"/>
      <c r="AC1799" s="19"/>
    </row>
    <row r="1800" customFormat="false" ht="22.35" hidden="false" customHeight="false" outlineLevel="0" collapsed="false">
      <c r="A1800" s="10" t="s">
        <v>8708</v>
      </c>
      <c r="B1800" s="17" t="s">
        <v>127</v>
      </c>
      <c r="C1800" s="18" t="s">
        <v>128</v>
      </c>
      <c r="D1800" s="17" t="s">
        <v>20</v>
      </c>
      <c r="E1800" s="17" t="s">
        <v>75</v>
      </c>
      <c r="F1800" s="17" t="s">
        <v>7502</v>
      </c>
      <c r="G1800" s="17" t="s">
        <v>199</v>
      </c>
      <c r="H1800" s="17" t="s">
        <v>34</v>
      </c>
      <c r="I1800" s="17" t="s">
        <v>283</v>
      </c>
      <c r="J1800" s="17" t="s">
        <v>7503</v>
      </c>
      <c r="K1800" s="19"/>
      <c r="L1800" s="19"/>
      <c r="M1800" s="19"/>
      <c r="N1800" s="19"/>
      <c r="O1800" s="17" t="n">
        <v>4</v>
      </c>
      <c r="P1800" s="18" t="s">
        <v>8683</v>
      </c>
      <c r="Q1800" s="18" t="s">
        <v>4948</v>
      </c>
      <c r="R1800" s="18" t="s">
        <v>8709</v>
      </c>
      <c r="S1800" s="17" t="s">
        <v>8710</v>
      </c>
      <c r="T1800" s="18" t="s">
        <v>8711</v>
      </c>
      <c r="U1800" s="19"/>
      <c r="V1800" s="18" t="s">
        <v>8712</v>
      </c>
      <c r="W1800" s="17" t="s">
        <v>5511</v>
      </c>
      <c r="X1800" s="17" t="s">
        <v>7887</v>
      </c>
      <c r="Y1800" s="17" t="s">
        <v>242</v>
      </c>
      <c r="Z1800" s="19"/>
      <c r="AA1800" s="19"/>
      <c r="AB1800" s="17"/>
      <c r="AC1800" s="19"/>
    </row>
    <row r="1801" customFormat="false" ht="22.35" hidden="false" customHeight="false" outlineLevel="0" collapsed="false">
      <c r="A1801" s="10" t="s">
        <v>8713</v>
      </c>
      <c r="B1801" s="17" t="s">
        <v>132</v>
      </c>
      <c r="C1801" s="18" t="s">
        <v>133</v>
      </c>
      <c r="D1801" s="17" t="s">
        <v>20</v>
      </c>
      <c r="E1801" s="17" t="s">
        <v>75</v>
      </c>
      <c r="F1801" s="17" t="s">
        <v>7502</v>
      </c>
      <c r="G1801" s="17" t="s">
        <v>134</v>
      </c>
      <c r="H1801" s="17" t="s">
        <v>34</v>
      </c>
      <c r="I1801" s="17" t="s">
        <v>283</v>
      </c>
      <c r="J1801" s="17" t="s">
        <v>7503</v>
      </c>
      <c r="K1801" s="19"/>
      <c r="L1801" s="19"/>
      <c r="M1801" s="19"/>
      <c r="N1801" s="19"/>
      <c r="O1801" s="17" t="n">
        <v>5</v>
      </c>
      <c r="P1801" s="18" t="s">
        <v>8714</v>
      </c>
      <c r="Q1801" s="18" t="s">
        <v>7854</v>
      </c>
      <c r="R1801" s="18" t="s">
        <v>8684</v>
      </c>
      <c r="S1801" s="17" t="s">
        <v>8715</v>
      </c>
      <c r="T1801" s="18" t="s">
        <v>7856</v>
      </c>
      <c r="U1801" s="19"/>
      <c r="V1801" s="18" t="s">
        <v>7857</v>
      </c>
      <c r="W1801" s="17" t="s">
        <v>5511</v>
      </c>
      <c r="X1801" s="17" t="s">
        <v>7858</v>
      </c>
      <c r="Y1801" s="17" t="s">
        <v>242</v>
      </c>
      <c r="Z1801" s="19"/>
      <c r="AA1801" s="19"/>
      <c r="AB1801" s="17"/>
      <c r="AC1801" s="19"/>
    </row>
    <row r="1802" customFormat="false" ht="22.35" hidden="false" customHeight="false" outlineLevel="0" collapsed="false">
      <c r="A1802" s="10" t="s">
        <v>8716</v>
      </c>
      <c r="B1802" s="17" t="s">
        <v>132</v>
      </c>
      <c r="C1802" s="18" t="s">
        <v>133</v>
      </c>
      <c r="D1802" s="17" t="s">
        <v>20</v>
      </c>
      <c r="E1802" s="17" t="s">
        <v>75</v>
      </c>
      <c r="F1802" s="17" t="s">
        <v>7502</v>
      </c>
      <c r="G1802" s="17" t="s">
        <v>134</v>
      </c>
      <c r="H1802" s="17" t="s">
        <v>34</v>
      </c>
      <c r="I1802" s="17" t="s">
        <v>5507</v>
      </c>
      <c r="J1802" s="17" t="s">
        <v>7503</v>
      </c>
      <c r="K1802" s="19"/>
      <c r="L1802" s="19"/>
      <c r="M1802" s="19"/>
      <c r="N1802" s="19"/>
      <c r="O1802" s="17" t="n">
        <v>5</v>
      </c>
      <c r="P1802" s="18" t="s">
        <v>8714</v>
      </c>
      <c r="Q1802" s="18" t="s">
        <v>7860</v>
      </c>
      <c r="R1802" s="18" t="s">
        <v>8717</v>
      </c>
      <c r="S1802" s="17" t="s">
        <v>8713</v>
      </c>
      <c r="T1802" s="18" t="s">
        <v>8718</v>
      </c>
      <c r="U1802" s="19"/>
      <c r="V1802" s="18" t="s">
        <v>8719</v>
      </c>
      <c r="W1802" s="17" t="s">
        <v>5511</v>
      </c>
      <c r="X1802" s="17" t="s">
        <v>8720</v>
      </c>
      <c r="Y1802" s="17" t="s">
        <v>242</v>
      </c>
      <c r="Z1802" s="19"/>
      <c r="AA1802" s="19"/>
      <c r="AB1802" s="17"/>
      <c r="AC1802" s="19"/>
    </row>
    <row r="1803" customFormat="false" ht="22.35" hidden="false" customHeight="false" outlineLevel="0" collapsed="false">
      <c r="A1803" s="10" t="s">
        <v>8721</v>
      </c>
      <c r="B1803" s="17" t="s">
        <v>132</v>
      </c>
      <c r="C1803" s="18" t="s">
        <v>133</v>
      </c>
      <c r="D1803" s="17" t="s">
        <v>20</v>
      </c>
      <c r="E1803" s="17" t="s">
        <v>229</v>
      </c>
      <c r="F1803" s="17" t="s">
        <v>7502</v>
      </c>
      <c r="G1803" s="17" t="s">
        <v>134</v>
      </c>
      <c r="H1803" s="17" t="s">
        <v>34</v>
      </c>
      <c r="I1803" s="17" t="s">
        <v>5507</v>
      </c>
      <c r="J1803" s="17" t="s">
        <v>7763</v>
      </c>
      <c r="K1803" s="19"/>
      <c r="L1803" s="19"/>
      <c r="M1803" s="19"/>
      <c r="N1803" s="19"/>
      <c r="O1803" s="17" t="n">
        <v>5</v>
      </c>
      <c r="P1803" s="18" t="s">
        <v>8714</v>
      </c>
      <c r="Q1803" s="18" t="s">
        <v>7860</v>
      </c>
      <c r="R1803" s="18" t="s">
        <v>8722</v>
      </c>
      <c r="S1803" s="17" t="s">
        <v>8713</v>
      </c>
      <c r="T1803" s="18" t="s">
        <v>8723</v>
      </c>
      <c r="U1803" s="19"/>
      <c r="V1803" s="18" t="s">
        <v>8724</v>
      </c>
      <c r="W1803" s="17" t="s">
        <v>5511</v>
      </c>
      <c r="X1803" s="17" t="s">
        <v>8698</v>
      </c>
      <c r="Y1803" s="17" t="s">
        <v>242</v>
      </c>
      <c r="Z1803" s="19"/>
      <c r="AA1803" s="19"/>
      <c r="AB1803" s="17"/>
      <c r="AC1803" s="19"/>
    </row>
    <row r="1804" customFormat="false" ht="22.35" hidden="false" customHeight="false" outlineLevel="0" collapsed="false">
      <c r="A1804" s="10" t="s">
        <v>8725</v>
      </c>
      <c r="B1804" s="17" t="s">
        <v>132</v>
      </c>
      <c r="C1804" s="18" t="s">
        <v>133</v>
      </c>
      <c r="D1804" s="17" t="s">
        <v>20</v>
      </c>
      <c r="E1804" s="17" t="s">
        <v>229</v>
      </c>
      <c r="F1804" s="17" t="s">
        <v>7502</v>
      </c>
      <c r="G1804" s="17" t="s">
        <v>134</v>
      </c>
      <c r="H1804" s="17" t="s">
        <v>34</v>
      </c>
      <c r="I1804" s="17" t="s">
        <v>974</v>
      </c>
      <c r="J1804" s="17" t="s">
        <v>7503</v>
      </c>
      <c r="K1804" s="19"/>
      <c r="L1804" s="19"/>
      <c r="M1804" s="19"/>
      <c r="N1804" s="19"/>
      <c r="O1804" s="17" t="n">
        <v>5</v>
      </c>
      <c r="P1804" s="18" t="s">
        <v>8714</v>
      </c>
      <c r="Q1804" s="18" t="s">
        <v>7860</v>
      </c>
      <c r="R1804" s="18" t="s">
        <v>8726</v>
      </c>
      <c r="S1804" s="17" t="s">
        <v>8713</v>
      </c>
      <c r="T1804" s="18" t="s">
        <v>8727</v>
      </c>
      <c r="U1804" s="19"/>
      <c r="V1804" s="18" t="s">
        <v>8728</v>
      </c>
      <c r="W1804" s="17" t="s">
        <v>5511</v>
      </c>
      <c r="X1804" s="17" t="s">
        <v>8698</v>
      </c>
      <c r="Y1804" s="17" t="s">
        <v>242</v>
      </c>
      <c r="Z1804" s="19"/>
      <c r="AA1804" s="19"/>
      <c r="AB1804" s="17"/>
      <c r="AC1804" s="19"/>
    </row>
    <row r="1805" customFormat="false" ht="22.35" hidden="false" customHeight="false" outlineLevel="0" collapsed="false">
      <c r="A1805" s="10" t="s">
        <v>8729</v>
      </c>
      <c r="B1805" s="17" t="s">
        <v>132</v>
      </c>
      <c r="C1805" s="18" t="s">
        <v>133</v>
      </c>
      <c r="D1805" s="17" t="s">
        <v>20</v>
      </c>
      <c r="E1805" s="17" t="s">
        <v>229</v>
      </c>
      <c r="F1805" s="17" t="s">
        <v>7502</v>
      </c>
      <c r="G1805" s="17" t="s">
        <v>134</v>
      </c>
      <c r="H1805" s="17" t="s">
        <v>34</v>
      </c>
      <c r="I1805" s="17" t="s">
        <v>5507</v>
      </c>
      <c r="J1805" s="17" t="s">
        <v>7503</v>
      </c>
      <c r="K1805" s="19"/>
      <c r="L1805" s="19"/>
      <c r="M1805" s="19"/>
      <c r="N1805" s="19"/>
      <c r="O1805" s="17" t="n">
        <v>5</v>
      </c>
      <c r="P1805" s="18" t="s">
        <v>8714</v>
      </c>
      <c r="Q1805" s="18" t="s">
        <v>7860</v>
      </c>
      <c r="R1805" s="18" t="s">
        <v>8730</v>
      </c>
      <c r="S1805" s="17" t="s">
        <v>8713</v>
      </c>
      <c r="T1805" s="18" t="s">
        <v>8731</v>
      </c>
      <c r="U1805" s="19"/>
      <c r="V1805" s="18" t="s">
        <v>8732</v>
      </c>
      <c r="W1805" s="17" t="s">
        <v>5511</v>
      </c>
      <c r="X1805" s="17" t="s">
        <v>8698</v>
      </c>
      <c r="Y1805" s="17" t="s">
        <v>242</v>
      </c>
      <c r="Z1805" s="19"/>
      <c r="AA1805" s="19"/>
      <c r="AB1805" s="17"/>
      <c r="AC1805" s="19"/>
    </row>
    <row r="1806" customFormat="false" ht="15" hidden="false" customHeight="false" outlineLevel="0" collapsed="false">
      <c r="A1806" s="10" t="s">
        <v>8733</v>
      </c>
      <c r="B1806" s="17" t="s">
        <v>132</v>
      </c>
      <c r="C1806" s="18" t="s">
        <v>133</v>
      </c>
      <c r="D1806" s="17" t="s">
        <v>20</v>
      </c>
      <c r="E1806" s="17" t="s">
        <v>75</v>
      </c>
      <c r="F1806" s="17" t="s">
        <v>7502</v>
      </c>
      <c r="G1806" s="17" t="s">
        <v>134</v>
      </c>
      <c r="H1806" s="17" t="s">
        <v>34</v>
      </c>
      <c r="I1806" s="17" t="s">
        <v>283</v>
      </c>
      <c r="J1806" s="17" t="s">
        <v>7503</v>
      </c>
      <c r="K1806" s="19"/>
      <c r="L1806" s="19"/>
      <c r="M1806" s="19"/>
      <c r="N1806" s="19"/>
      <c r="O1806" s="17" t="n">
        <v>5</v>
      </c>
      <c r="P1806" s="18" t="s">
        <v>8714</v>
      </c>
      <c r="Q1806" s="18" t="s">
        <v>4948</v>
      </c>
      <c r="R1806" s="18" t="s">
        <v>8734</v>
      </c>
      <c r="S1806" s="17" t="s">
        <v>8735</v>
      </c>
      <c r="T1806" s="18" t="s">
        <v>8736</v>
      </c>
      <c r="U1806" s="19"/>
      <c r="V1806" s="18" t="s">
        <v>7560</v>
      </c>
      <c r="W1806" s="17" t="s">
        <v>5511</v>
      </c>
      <c r="X1806" s="17" t="s">
        <v>7887</v>
      </c>
      <c r="Y1806" s="17" t="s">
        <v>242</v>
      </c>
      <c r="Z1806" s="19"/>
      <c r="AA1806" s="19"/>
      <c r="AB1806" s="17"/>
      <c r="AC1806" s="19"/>
    </row>
    <row r="1807" customFormat="false" ht="22.35" hidden="false" customHeight="false" outlineLevel="0" collapsed="false">
      <c r="A1807" s="10" t="s">
        <v>8737</v>
      </c>
      <c r="B1807" s="17" t="s">
        <v>137</v>
      </c>
      <c r="C1807" s="18" t="s">
        <v>138</v>
      </c>
      <c r="D1807" s="17" t="s">
        <v>20</v>
      </c>
      <c r="E1807" s="17" t="s">
        <v>75</v>
      </c>
      <c r="F1807" s="17" t="s">
        <v>7502</v>
      </c>
      <c r="G1807" s="17" t="s">
        <v>139</v>
      </c>
      <c r="H1807" s="17" t="s">
        <v>34</v>
      </c>
      <c r="I1807" s="17" t="s">
        <v>283</v>
      </c>
      <c r="J1807" s="17" t="s">
        <v>7503</v>
      </c>
      <c r="K1807" s="19"/>
      <c r="L1807" s="19"/>
      <c r="M1807" s="19"/>
      <c r="N1807" s="19"/>
      <c r="O1807" s="17" t="n">
        <v>4</v>
      </c>
      <c r="P1807" s="18" t="s">
        <v>8738</v>
      </c>
      <c r="Q1807" s="18" t="s">
        <v>7854</v>
      </c>
      <c r="R1807" s="18" t="s">
        <v>8423</v>
      </c>
      <c r="S1807" s="17" t="s">
        <v>7849</v>
      </c>
      <c r="T1807" s="18" t="s">
        <v>7856</v>
      </c>
      <c r="U1807" s="19"/>
      <c r="V1807" s="18" t="s">
        <v>7857</v>
      </c>
      <c r="W1807" s="17" t="s">
        <v>240</v>
      </c>
      <c r="X1807" s="17" t="s">
        <v>7858</v>
      </c>
      <c r="Y1807" s="17" t="s">
        <v>242</v>
      </c>
      <c r="Z1807" s="19"/>
      <c r="AA1807" s="19"/>
      <c r="AB1807" s="17"/>
      <c r="AC1807" s="19"/>
    </row>
    <row r="1808" customFormat="false" ht="32.8" hidden="false" customHeight="false" outlineLevel="0" collapsed="false">
      <c r="A1808" s="10" t="s">
        <v>8739</v>
      </c>
      <c r="B1808" s="17" t="s">
        <v>137</v>
      </c>
      <c r="C1808" s="18" t="s">
        <v>138</v>
      </c>
      <c r="D1808" s="17" t="s">
        <v>20</v>
      </c>
      <c r="E1808" s="17" t="s">
        <v>75</v>
      </c>
      <c r="F1808" s="17" t="s">
        <v>7502</v>
      </c>
      <c r="G1808" s="17" t="s">
        <v>139</v>
      </c>
      <c r="H1808" s="17" t="s">
        <v>34</v>
      </c>
      <c r="I1808" s="17" t="s">
        <v>1413</v>
      </c>
      <c r="J1808" s="17" t="s">
        <v>7763</v>
      </c>
      <c r="K1808" s="19"/>
      <c r="L1808" s="19"/>
      <c r="M1808" s="19"/>
      <c r="N1808" s="19"/>
      <c r="O1808" s="17" t="n">
        <v>4</v>
      </c>
      <c r="P1808" s="18" t="s">
        <v>8738</v>
      </c>
      <c r="Q1808" s="18" t="s">
        <v>7860</v>
      </c>
      <c r="R1808" s="18" t="s">
        <v>8740</v>
      </c>
      <c r="S1808" s="17" t="s">
        <v>8737</v>
      </c>
      <c r="T1808" s="18" t="s">
        <v>8741</v>
      </c>
      <c r="U1808" s="19"/>
      <c r="V1808" s="18" t="s">
        <v>8742</v>
      </c>
      <c r="W1808" s="17" t="s">
        <v>240</v>
      </c>
      <c r="X1808" s="17" t="s">
        <v>8743</v>
      </c>
      <c r="Y1808" s="17" t="s">
        <v>242</v>
      </c>
      <c r="Z1808" s="19"/>
      <c r="AA1808" s="19"/>
      <c r="AB1808" s="17"/>
      <c r="AC1808" s="19"/>
    </row>
    <row r="1809" customFormat="false" ht="53.7" hidden="false" customHeight="false" outlineLevel="0" collapsed="false">
      <c r="A1809" s="10" t="s">
        <v>8744</v>
      </c>
      <c r="B1809" s="17" t="s">
        <v>137</v>
      </c>
      <c r="C1809" s="18" t="s">
        <v>138</v>
      </c>
      <c r="D1809" s="17" t="s">
        <v>20</v>
      </c>
      <c r="E1809" s="17" t="s">
        <v>229</v>
      </c>
      <c r="F1809" s="17" t="s">
        <v>7502</v>
      </c>
      <c r="G1809" s="17" t="s">
        <v>139</v>
      </c>
      <c r="H1809" s="17" t="s">
        <v>34</v>
      </c>
      <c r="I1809" s="17" t="s">
        <v>277</v>
      </c>
      <c r="J1809" s="17" t="s">
        <v>7575</v>
      </c>
      <c r="K1809" s="19"/>
      <c r="L1809" s="19"/>
      <c r="M1809" s="19"/>
      <c r="N1809" s="19"/>
      <c r="O1809" s="17" t="n">
        <v>4</v>
      </c>
      <c r="P1809" s="18" t="s">
        <v>8738</v>
      </c>
      <c r="Q1809" s="18" t="s">
        <v>7860</v>
      </c>
      <c r="R1809" s="18" t="s">
        <v>8745</v>
      </c>
      <c r="S1809" s="17" t="s">
        <v>8737</v>
      </c>
      <c r="T1809" s="18" t="s">
        <v>8746</v>
      </c>
      <c r="U1809" s="19"/>
      <c r="V1809" s="18" t="s">
        <v>8747</v>
      </c>
      <c r="W1809" s="17" t="s">
        <v>240</v>
      </c>
      <c r="X1809" s="17" t="s">
        <v>8600</v>
      </c>
      <c r="Y1809" s="17" t="s">
        <v>242</v>
      </c>
      <c r="Z1809" s="19"/>
      <c r="AA1809" s="19"/>
      <c r="AB1809" s="17"/>
      <c r="AC1809" s="19"/>
    </row>
    <row r="1810" customFormat="false" ht="22.35" hidden="false" customHeight="false" outlineLevel="0" collapsed="false">
      <c r="A1810" s="10" t="s">
        <v>8748</v>
      </c>
      <c r="B1810" s="17" t="s">
        <v>137</v>
      </c>
      <c r="C1810" s="18" t="s">
        <v>138</v>
      </c>
      <c r="D1810" s="17" t="s">
        <v>20</v>
      </c>
      <c r="E1810" s="17" t="s">
        <v>229</v>
      </c>
      <c r="F1810" s="17" t="s">
        <v>7502</v>
      </c>
      <c r="G1810" s="17" t="s">
        <v>139</v>
      </c>
      <c r="H1810" s="17" t="s">
        <v>34</v>
      </c>
      <c r="I1810" s="17" t="s">
        <v>333</v>
      </c>
      <c r="J1810" s="17" t="s">
        <v>7503</v>
      </c>
      <c r="K1810" s="19"/>
      <c r="L1810" s="19"/>
      <c r="M1810" s="19"/>
      <c r="N1810" s="19"/>
      <c r="O1810" s="17" t="n">
        <v>4</v>
      </c>
      <c r="P1810" s="18" t="s">
        <v>8738</v>
      </c>
      <c r="Q1810" s="18" t="s">
        <v>7860</v>
      </c>
      <c r="R1810" s="18" t="s">
        <v>8749</v>
      </c>
      <c r="S1810" s="17" t="s">
        <v>8737</v>
      </c>
      <c r="T1810" s="18" t="s">
        <v>8750</v>
      </c>
      <c r="U1810" s="19"/>
      <c r="V1810" s="18" t="s">
        <v>8751</v>
      </c>
      <c r="W1810" s="17" t="s">
        <v>240</v>
      </c>
      <c r="X1810" s="17" t="s">
        <v>8600</v>
      </c>
      <c r="Y1810" s="17" t="s">
        <v>242</v>
      </c>
      <c r="Z1810" s="19"/>
      <c r="AA1810" s="19"/>
      <c r="AB1810" s="17"/>
      <c r="AC1810" s="19"/>
    </row>
    <row r="1811" customFormat="false" ht="22.35" hidden="false" customHeight="false" outlineLevel="0" collapsed="false">
      <c r="A1811" s="10" t="s">
        <v>8752</v>
      </c>
      <c r="B1811" s="17" t="s">
        <v>137</v>
      </c>
      <c r="C1811" s="18" t="s">
        <v>138</v>
      </c>
      <c r="D1811" s="17" t="s">
        <v>20</v>
      </c>
      <c r="E1811" s="17" t="s">
        <v>75</v>
      </c>
      <c r="F1811" s="17" t="s">
        <v>7502</v>
      </c>
      <c r="G1811" s="17" t="s">
        <v>139</v>
      </c>
      <c r="H1811" s="17" t="s">
        <v>34</v>
      </c>
      <c r="I1811" s="17" t="s">
        <v>277</v>
      </c>
      <c r="J1811" s="17" t="s">
        <v>7763</v>
      </c>
      <c r="K1811" s="19"/>
      <c r="L1811" s="19"/>
      <c r="M1811" s="19"/>
      <c r="N1811" s="19"/>
      <c r="O1811" s="17" t="n">
        <v>4</v>
      </c>
      <c r="P1811" s="18" t="s">
        <v>8738</v>
      </c>
      <c r="Q1811" s="18" t="s">
        <v>7860</v>
      </c>
      <c r="R1811" s="18" t="s">
        <v>8753</v>
      </c>
      <c r="S1811" s="17" t="s">
        <v>8737</v>
      </c>
      <c r="T1811" s="18" t="s">
        <v>3081</v>
      </c>
      <c r="U1811" s="19"/>
      <c r="V1811" s="18" t="s">
        <v>8754</v>
      </c>
      <c r="W1811" s="17" t="s">
        <v>240</v>
      </c>
      <c r="X1811" s="17" t="s">
        <v>8755</v>
      </c>
      <c r="Y1811" s="17" t="s">
        <v>242</v>
      </c>
      <c r="Z1811" s="19"/>
      <c r="AA1811" s="19"/>
      <c r="AB1811" s="17"/>
      <c r="AC1811" s="19"/>
    </row>
    <row r="1812" customFormat="false" ht="22.35" hidden="false" customHeight="false" outlineLevel="0" collapsed="false">
      <c r="A1812" s="10" t="s">
        <v>8756</v>
      </c>
      <c r="B1812" s="17" t="s">
        <v>137</v>
      </c>
      <c r="C1812" s="18" t="s">
        <v>138</v>
      </c>
      <c r="D1812" s="17" t="s">
        <v>20</v>
      </c>
      <c r="E1812" s="17" t="s">
        <v>229</v>
      </c>
      <c r="F1812" s="17" t="s">
        <v>7502</v>
      </c>
      <c r="G1812" s="17" t="s">
        <v>139</v>
      </c>
      <c r="H1812" s="17" t="s">
        <v>34</v>
      </c>
      <c r="I1812" s="17" t="s">
        <v>450</v>
      </c>
      <c r="J1812" s="17" t="s">
        <v>7569</v>
      </c>
      <c r="K1812" s="19"/>
      <c r="L1812" s="19"/>
      <c r="M1812" s="19"/>
      <c r="N1812" s="19"/>
      <c r="O1812" s="17" t="n">
        <v>4</v>
      </c>
      <c r="P1812" s="18" t="s">
        <v>8738</v>
      </c>
      <c r="Q1812" s="18" t="s">
        <v>7860</v>
      </c>
      <c r="R1812" s="18" t="s">
        <v>8757</v>
      </c>
      <c r="S1812" s="17" t="s">
        <v>8737</v>
      </c>
      <c r="T1812" s="18" t="s">
        <v>8758</v>
      </c>
      <c r="U1812" s="19"/>
      <c r="V1812" s="18" t="s">
        <v>8759</v>
      </c>
      <c r="W1812" s="17" t="s">
        <v>240</v>
      </c>
      <c r="X1812" s="17" t="s">
        <v>8600</v>
      </c>
      <c r="Y1812" s="17" t="s">
        <v>242</v>
      </c>
      <c r="Z1812" s="19"/>
      <c r="AA1812" s="19"/>
      <c r="AB1812" s="17"/>
      <c r="AC1812" s="19"/>
    </row>
    <row r="1813" customFormat="false" ht="15" hidden="false" customHeight="false" outlineLevel="0" collapsed="false">
      <c r="A1813" s="10" t="s">
        <v>8760</v>
      </c>
      <c r="B1813" s="17" t="s">
        <v>137</v>
      </c>
      <c r="C1813" s="18" t="s">
        <v>138</v>
      </c>
      <c r="D1813" s="17" t="s">
        <v>20</v>
      </c>
      <c r="E1813" s="17" t="s">
        <v>75</v>
      </c>
      <c r="F1813" s="17" t="s">
        <v>7502</v>
      </c>
      <c r="G1813" s="17" t="s">
        <v>139</v>
      </c>
      <c r="H1813" s="17" t="s">
        <v>34</v>
      </c>
      <c r="I1813" s="17" t="s">
        <v>283</v>
      </c>
      <c r="J1813" s="17" t="s">
        <v>7503</v>
      </c>
      <c r="K1813" s="19"/>
      <c r="L1813" s="19"/>
      <c r="M1813" s="19"/>
      <c r="N1813" s="19"/>
      <c r="O1813" s="17" t="n">
        <v>4</v>
      </c>
      <c r="P1813" s="18" t="s">
        <v>8738</v>
      </c>
      <c r="Q1813" s="18" t="s">
        <v>4948</v>
      </c>
      <c r="R1813" s="18" t="s">
        <v>8761</v>
      </c>
      <c r="S1813" s="17" t="s">
        <v>8762</v>
      </c>
      <c r="T1813" s="18" t="s">
        <v>8763</v>
      </c>
      <c r="U1813" s="19"/>
      <c r="V1813" s="18" t="s">
        <v>7560</v>
      </c>
      <c r="W1813" s="17" t="s">
        <v>240</v>
      </c>
      <c r="X1813" s="17" t="s">
        <v>7887</v>
      </c>
      <c r="Y1813" s="17" t="s">
        <v>242</v>
      </c>
      <c r="Z1813" s="19"/>
      <c r="AA1813" s="19"/>
      <c r="AB1813" s="17"/>
      <c r="AC1813" s="19"/>
    </row>
    <row r="1814" customFormat="false" ht="15" hidden="false" customHeight="false" outlineLevel="0" collapsed="false">
      <c r="A1814" s="10" t="s">
        <v>8764</v>
      </c>
      <c r="B1814" s="17" t="s">
        <v>140</v>
      </c>
      <c r="C1814" s="18" t="s">
        <v>141</v>
      </c>
      <c r="D1814" s="17" t="s">
        <v>20</v>
      </c>
      <c r="E1814" s="17" t="s">
        <v>75</v>
      </c>
      <c r="F1814" s="17" t="s">
        <v>7502</v>
      </c>
      <c r="G1814" s="17" t="s">
        <v>6463</v>
      </c>
      <c r="H1814" s="17" t="s">
        <v>29</v>
      </c>
      <c r="I1814" s="17" t="s">
        <v>283</v>
      </c>
      <c r="J1814" s="17" t="s">
        <v>7503</v>
      </c>
      <c r="K1814" s="19"/>
      <c r="L1814" s="19"/>
      <c r="M1814" s="19"/>
      <c r="N1814" s="19"/>
      <c r="O1814" s="17" t="n">
        <v>4</v>
      </c>
      <c r="P1814" s="18" t="s">
        <v>8765</v>
      </c>
      <c r="Q1814" s="18" t="s">
        <v>7854</v>
      </c>
      <c r="R1814" s="18" t="s">
        <v>7855</v>
      </c>
      <c r="S1814" s="17" t="s">
        <v>7849</v>
      </c>
      <c r="T1814" s="18" t="s">
        <v>7856</v>
      </c>
      <c r="U1814" s="19"/>
      <c r="V1814" s="18" t="s">
        <v>7857</v>
      </c>
      <c r="W1814" s="17" t="s">
        <v>240</v>
      </c>
      <c r="X1814" s="17" t="s">
        <v>7858</v>
      </c>
      <c r="Y1814" s="17" t="s">
        <v>242</v>
      </c>
      <c r="Z1814" s="19"/>
      <c r="AA1814" s="19"/>
      <c r="AB1814" s="17"/>
      <c r="AC1814" s="19"/>
    </row>
    <row r="1815" customFormat="false" ht="22.35" hidden="false" customHeight="false" outlineLevel="0" collapsed="false">
      <c r="A1815" s="10" t="s">
        <v>8766</v>
      </c>
      <c r="B1815" s="17" t="s">
        <v>140</v>
      </c>
      <c r="C1815" s="18" t="s">
        <v>141</v>
      </c>
      <c r="D1815" s="17" t="s">
        <v>20</v>
      </c>
      <c r="E1815" s="17" t="s">
        <v>75</v>
      </c>
      <c r="F1815" s="17" t="s">
        <v>7502</v>
      </c>
      <c r="G1815" s="17" t="s">
        <v>6463</v>
      </c>
      <c r="H1815" s="17" t="s">
        <v>29</v>
      </c>
      <c r="I1815" s="17" t="s">
        <v>277</v>
      </c>
      <c r="J1815" s="17" t="s">
        <v>7503</v>
      </c>
      <c r="K1815" s="19"/>
      <c r="L1815" s="19"/>
      <c r="M1815" s="19"/>
      <c r="N1815" s="19"/>
      <c r="O1815" s="17" t="n">
        <v>4</v>
      </c>
      <c r="P1815" s="18" t="s">
        <v>8765</v>
      </c>
      <c r="Q1815" s="18" t="s">
        <v>7860</v>
      </c>
      <c r="R1815" s="18" t="s">
        <v>8767</v>
      </c>
      <c r="S1815" s="17" t="s">
        <v>8764</v>
      </c>
      <c r="T1815" s="18" t="s">
        <v>8768</v>
      </c>
      <c r="U1815" s="19"/>
      <c r="V1815" s="18" t="s">
        <v>8769</v>
      </c>
      <c r="W1815" s="17" t="s">
        <v>240</v>
      </c>
      <c r="X1815" s="17" t="s">
        <v>8770</v>
      </c>
      <c r="Y1815" s="17" t="s">
        <v>242</v>
      </c>
      <c r="Z1815" s="19"/>
      <c r="AA1815" s="19"/>
      <c r="AB1815" s="17"/>
      <c r="AC1815" s="19"/>
    </row>
    <row r="1816" customFormat="false" ht="22.35" hidden="false" customHeight="false" outlineLevel="0" collapsed="false">
      <c r="A1816" s="10" t="s">
        <v>8771</v>
      </c>
      <c r="B1816" s="17" t="s">
        <v>140</v>
      </c>
      <c r="C1816" s="18" t="s">
        <v>141</v>
      </c>
      <c r="D1816" s="17" t="s">
        <v>20</v>
      </c>
      <c r="E1816" s="17" t="s">
        <v>75</v>
      </c>
      <c r="F1816" s="17" t="s">
        <v>7502</v>
      </c>
      <c r="G1816" s="17" t="s">
        <v>6463</v>
      </c>
      <c r="H1816" s="17" t="s">
        <v>29</v>
      </c>
      <c r="I1816" s="17" t="s">
        <v>2896</v>
      </c>
      <c r="J1816" s="17" t="s">
        <v>7515</v>
      </c>
      <c r="K1816" s="19"/>
      <c r="L1816" s="19"/>
      <c r="M1816" s="19"/>
      <c r="N1816" s="19"/>
      <c r="O1816" s="17" t="n">
        <v>4</v>
      </c>
      <c r="P1816" s="18" t="s">
        <v>8765</v>
      </c>
      <c r="Q1816" s="18" t="s">
        <v>7860</v>
      </c>
      <c r="R1816" s="18" t="s">
        <v>8772</v>
      </c>
      <c r="S1816" s="17" t="s">
        <v>8764</v>
      </c>
      <c r="T1816" s="18" t="s">
        <v>8773</v>
      </c>
      <c r="U1816" s="19"/>
      <c r="V1816" s="18" t="s">
        <v>8774</v>
      </c>
      <c r="W1816" s="17" t="s">
        <v>240</v>
      </c>
      <c r="X1816" s="17" t="s">
        <v>8775</v>
      </c>
      <c r="Y1816" s="17" t="s">
        <v>242</v>
      </c>
      <c r="Z1816" s="19"/>
      <c r="AA1816" s="19"/>
      <c r="AB1816" s="17"/>
      <c r="AC1816" s="19"/>
    </row>
    <row r="1817" customFormat="false" ht="22.35" hidden="false" customHeight="false" outlineLevel="0" collapsed="false">
      <c r="A1817" s="10" t="s">
        <v>8776</v>
      </c>
      <c r="B1817" s="17" t="s">
        <v>140</v>
      </c>
      <c r="C1817" s="18" t="s">
        <v>141</v>
      </c>
      <c r="D1817" s="17" t="s">
        <v>20</v>
      </c>
      <c r="E1817" s="17" t="s">
        <v>75</v>
      </c>
      <c r="F1817" s="17" t="s">
        <v>7502</v>
      </c>
      <c r="G1817" s="17" t="s">
        <v>6463</v>
      </c>
      <c r="H1817" s="17" t="s">
        <v>29</v>
      </c>
      <c r="I1817" s="17" t="s">
        <v>277</v>
      </c>
      <c r="J1817" s="17" t="s">
        <v>7580</v>
      </c>
      <c r="K1817" s="19"/>
      <c r="L1817" s="19"/>
      <c r="M1817" s="19"/>
      <c r="N1817" s="19"/>
      <c r="O1817" s="17" t="n">
        <v>4</v>
      </c>
      <c r="P1817" s="18" t="s">
        <v>8765</v>
      </c>
      <c r="Q1817" s="18" t="s">
        <v>7860</v>
      </c>
      <c r="R1817" s="18" t="s">
        <v>8777</v>
      </c>
      <c r="S1817" s="17" t="s">
        <v>8764</v>
      </c>
      <c r="T1817" s="18" t="s">
        <v>8778</v>
      </c>
      <c r="U1817" s="19"/>
      <c r="V1817" s="18" t="s">
        <v>8779</v>
      </c>
      <c r="W1817" s="17" t="s">
        <v>240</v>
      </c>
      <c r="X1817" s="17" t="s">
        <v>8780</v>
      </c>
      <c r="Y1817" s="17" t="s">
        <v>242</v>
      </c>
      <c r="Z1817" s="19"/>
      <c r="AA1817" s="19"/>
      <c r="AB1817" s="17"/>
      <c r="AC1817" s="19"/>
    </row>
    <row r="1818" customFormat="false" ht="22.35" hidden="false" customHeight="false" outlineLevel="0" collapsed="false">
      <c r="A1818" s="10" t="s">
        <v>8781</v>
      </c>
      <c r="B1818" s="17" t="s">
        <v>140</v>
      </c>
      <c r="C1818" s="18" t="s">
        <v>141</v>
      </c>
      <c r="D1818" s="17" t="s">
        <v>20</v>
      </c>
      <c r="E1818" s="17" t="s">
        <v>75</v>
      </c>
      <c r="F1818" s="17" t="s">
        <v>7502</v>
      </c>
      <c r="G1818" s="17" t="s">
        <v>6463</v>
      </c>
      <c r="H1818" s="17" t="s">
        <v>29</v>
      </c>
      <c r="I1818" s="17" t="s">
        <v>277</v>
      </c>
      <c r="J1818" s="17" t="s">
        <v>7763</v>
      </c>
      <c r="K1818" s="19"/>
      <c r="L1818" s="19"/>
      <c r="M1818" s="19"/>
      <c r="N1818" s="19"/>
      <c r="O1818" s="17" t="n">
        <v>4</v>
      </c>
      <c r="P1818" s="18" t="s">
        <v>8765</v>
      </c>
      <c r="Q1818" s="18" t="s">
        <v>7860</v>
      </c>
      <c r="R1818" s="18" t="s">
        <v>8782</v>
      </c>
      <c r="S1818" s="17" t="s">
        <v>8783</v>
      </c>
      <c r="T1818" s="18" t="s">
        <v>8593</v>
      </c>
      <c r="U1818" s="19"/>
      <c r="V1818" s="18" t="s">
        <v>8784</v>
      </c>
      <c r="W1818" s="17" t="s">
        <v>240</v>
      </c>
      <c r="X1818" s="17" t="s">
        <v>8785</v>
      </c>
      <c r="Y1818" s="17" t="s">
        <v>242</v>
      </c>
      <c r="Z1818" s="19"/>
      <c r="AA1818" s="19"/>
      <c r="AB1818" s="17"/>
      <c r="AC1818" s="19"/>
    </row>
    <row r="1819" customFormat="false" ht="15" hidden="false" customHeight="false" outlineLevel="0" collapsed="false">
      <c r="A1819" s="10" t="s">
        <v>8786</v>
      </c>
      <c r="B1819" s="17" t="s">
        <v>140</v>
      </c>
      <c r="C1819" s="18" t="s">
        <v>141</v>
      </c>
      <c r="D1819" s="17" t="s">
        <v>20</v>
      </c>
      <c r="E1819" s="17" t="s">
        <v>75</v>
      </c>
      <c r="F1819" s="17" t="s">
        <v>7502</v>
      </c>
      <c r="G1819" s="17" t="s">
        <v>6463</v>
      </c>
      <c r="H1819" s="17" t="s">
        <v>29</v>
      </c>
      <c r="I1819" s="17" t="s">
        <v>283</v>
      </c>
      <c r="J1819" s="17" t="s">
        <v>7503</v>
      </c>
      <c r="K1819" s="19"/>
      <c r="L1819" s="19"/>
      <c r="M1819" s="19"/>
      <c r="N1819" s="19"/>
      <c r="O1819" s="17" t="n">
        <v>4</v>
      </c>
      <c r="P1819" s="18" t="s">
        <v>8765</v>
      </c>
      <c r="Q1819" s="18" t="s">
        <v>4948</v>
      </c>
      <c r="R1819" s="18" t="s">
        <v>8787</v>
      </c>
      <c r="S1819" s="17" t="s">
        <v>8788</v>
      </c>
      <c r="T1819" s="18" t="s">
        <v>8789</v>
      </c>
      <c r="U1819" s="19"/>
      <c r="V1819" s="18" t="s">
        <v>7560</v>
      </c>
      <c r="W1819" s="17" t="s">
        <v>240</v>
      </c>
      <c r="X1819" s="17" t="s">
        <v>7887</v>
      </c>
      <c r="Y1819" s="17" t="s">
        <v>242</v>
      </c>
      <c r="Z1819" s="19"/>
      <c r="AA1819" s="19"/>
      <c r="AB1819" s="17"/>
      <c r="AC1819" s="19"/>
    </row>
    <row r="1820" customFormat="false" ht="15" hidden="false" customHeight="false" outlineLevel="0" collapsed="false">
      <c r="A1820" s="10" t="s">
        <v>8790</v>
      </c>
      <c r="B1820" s="17" t="s">
        <v>143</v>
      </c>
      <c r="C1820" s="18" t="s">
        <v>144</v>
      </c>
      <c r="D1820" s="17" t="s">
        <v>20</v>
      </c>
      <c r="E1820" s="17" t="s">
        <v>75</v>
      </c>
      <c r="F1820" s="17" t="s">
        <v>7502</v>
      </c>
      <c r="G1820" s="17" t="s">
        <v>6522</v>
      </c>
      <c r="H1820" s="17" t="s">
        <v>34</v>
      </c>
      <c r="I1820" s="17" t="s">
        <v>283</v>
      </c>
      <c r="J1820" s="17" t="s">
        <v>7503</v>
      </c>
      <c r="K1820" s="19"/>
      <c r="L1820" s="19"/>
      <c r="M1820" s="19"/>
      <c r="N1820" s="19"/>
      <c r="O1820" s="17" t="n">
        <v>4</v>
      </c>
      <c r="P1820" s="18" t="s">
        <v>8791</v>
      </c>
      <c r="Q1820" s="18" t="s">
        <v>7854</v>
      </c>
      <c r="R1820" s="18" t="s">
        <v>7855</v>
      </c>
      <c r="S1820" s="17" t="s">
        <v>7849</v>
      </c>
      <c r="T1820" s="18" t="s">
        <v>7856</v>
      </c>
      <c r="U1820" s="19"/>
      <c r="V1820" s="18" t="s">
        <v>7857</v>
      </c>
      <c r="W1820" s="17" t="s">
        <v>240</v>
      </c>
      <c r="X1820" s="17" t="s">
        <v>7858</v>
      </c>
      <c r="Y1820" s="17" t="s">
        <v>242</v>
      </c>
      <c r="Z1820" s="19"/>
      <c r="AA1820" s="19"/>
      <c r="AB1820" s="17"/>
      <c r="AC1820" s="19"/>
    </row>
    <row r="1821" customFormat="false" ht="22.35" hidden="false" customHeight="false" outlineLevel="0" collapsed="false">
      <c r="A1821" s="10" t="s">
        <v>8792</v>
      </c>
      <c r="B1821" s="17" t="s">
        <v>143</v>
      </c>
      <c r="C1821" s="18" t="s">
        <v>144</v>
      </c>
      <c r="D1821" s="17" t="s">
        <v>20</v>
      </c>
      <c r="E1821" s="17" t="s">
        <v>229</v>
      </c>
      <c r="F1821" s="17" t="s">
        <v>7502</v>
      </c>
      <c r="G1821" s="17" t="s">
        <v>6522</v>
      </c>
      <c r="H1821" s="17" t="s">
        <v>34</v>
      </c>
      <c r="I1821" s="17" t="s">
        <v>2638</v>
      </c>
      <c r="J1821" s="17" t="s">
        <v>7580</v>
      </c>
      <c r="K1821" s="19"/>
      <c r="L1821" s="19"/>
      <c r="M1821" s="19"/>
      <c r="N1821" s="19"/>
      <c r="O1821" s="17" t="n">
        <v>4</v>
      </c>
      <c r="P1821" s="18" t="s">
        <v>8791</v>
      </c>
      <c r="Q1821" s="18" t="s">
        <v>7860</v>
      </c>
      <c r="R1821" s="18" t="s">
        <v>8793</v>
      </c>
      <c r="S1821" s="17" t="s">
        <v>8790</v>
      </c>
      <c r="T1821" s="18" t="s">
        <v>8794</v>
      </c>
      <c r="U1821" s="19"/>
      <c r="V1821" s="18" t="s">
        <v>8795</v>
      </c>
      <c r="W1821" s="17" t="s">
        <v>240</v>
      </c>
      <c r="X1821" s="17" t="s">
        <v>2673</v>
      </c>
      <c r="Y1821" s="17" t="s">
        <v>242</v>
      </c>
      <c r="Z1821" s="19"/>
      <c r="AA1821" s="19"/>
      <c r="AB1821" s="17"/>
      <c r="AC1821" s="19"/>
    </row>
    <row r="1822" customFormat="false" ht="22.35" hidden="false" customHeight="false" outlineLevel="0" collapsed="false">
      <c r="A1822" s="10" t="s">
        <v>8796</v>
      </c>
      <c r="B1822" s="17" t="s">
        <v>143</v>
      </c>
      <c r="C1822" s="18" t="s">
        <v>144</v>
      </c>
      <c r="D1822" s="17" t="s">
        <v>20</v>
      </c>
      <c r="E1822" s="17" t="s">
        <v>75</v>
      </c>
      <c r="F1822" s="17" t="s">
        <v>7502</v>
      </c>
      <c r="G1822" s="17" t="s">
        <v>6522</v>
      </c>
      <c r="H1822" s="17" t="s">
        <v>34</v>
      </c>
      <c r="I1822" s="17" t="s">
        <v>2638</v>
      </c>
      <c r="J1822" s="17" t="s">
        <v>7503</v>
      </c>
      <c r="K1822" s="19"/>
      <c r="L1822" s="19"/>
      <c r="M1822" s="19"/>
      <c r="N1822" s="19"/>
      <c r="O1822" s="17" t="n">
        <v>4</v>
      </c>
      <c r="P1822" s="18" t="s">
        <v>8791</v>
      </c>
      <c r="Q1822" s="18" t="s">
        <v>7860</v>
      </c>
      <c r="R1822" s="18" t="s">
        <v>8797</v>
      </c>
      <c r="S1822" s="17" t="s">
        <v>8790</v>
      </c>
      <c r="T1822" s="18" t="s">
        <v>8798</v>
      </c>
      <c r="U1822" s="19"/>
      <c r="V1822" s="18" t="s">
        <v>8799</v>
      </c>
      <c r="W1822" s="17" t="s">
        <v>240</v>
      </c>
      <c r="X1822" s="17" t="s">
        <v>8800</v>
      </c>
      <c r="Y1822" s="17" t="s">
        <v>242</v>
      </c>
      <c r="Z1822" s="19"/>
      <c r="AA1822" s="19"/>
      <c r="AB1822" s="17"/>
      <c r="AC1822" s="19"/>
    </row>
    <row r="1823" customFormat="false" ht="22.35" hidden="false" customHeight="false" outlineLevel="0" collapsed="false">
      <c r="A1823" s="10" t="s">
        <v>8801</v>
      </c>
      <c r="B1823" s="17" t="s">
        <v>143</v>
      </c>
      <c r="C1823" s="18" t="s">
        <v>144</v>
      </c>
      <c r="D1823" s="17" t="s">
        <v>20</v>
      </c>
      <c r="E1823" s="17" t="s">
        <v>75</v>
      </c>
      <c r="F1823" s="17" t="s">
        <v>7502</v>
      </c>
      <c r="G1823" s="17" t="s">
        <v>6522</v>
      </c>
      <c r="H1823" s="17" t="s">
        <v>34</v>
      </c>
      <c r="I1823" s="17" t="s">
        <v>2638</v>
      </c>
      <c r="J1823" s="17" t="s">
        <v>7503</v>
      </c>
      <c r="K1823" s="19"/>
      <c r="L1823" s="19"/>
      <c r="M1823" s="19"/>
      <c r="N1823" s="19"/>
      <c r="O1823" s="17" t="n">
        <v>4</v>
      </c>
      <c r="P1823" s="18" t="s">
        <v>8791</v>
      </c>
      <c r="Q1823" s="18" t="s">
        <v>7860</v>
      </c>
      <c r="R1823" s="18" t="s">
        <v>8802</v>
      </c>
      <c r="S1823" s="17" t="s">
        <v>8790</v>
      </c>
      <c r="T1823" s="18" t="s">
        <v>8803</v>
      </c>
      <c r="U1823" s="19"/>
      <c r="V1823" s="18" t="s">
        <v>8804</v>
      </c>
      <c r="W1823" s="17" t="s">
        <v>240</v>
      </c>
      <c r="X1823" s="17" t="s">
        <v>8805</v>
      </c>
      <c r="Y1823" s="17" t="s">
        <v>242</v>
      </c>
      <c r="Z1823" s="19"/>
      <c r="AA1823" s="19"/>
      <c r="AB1823" s="17"/>
      <c r="AC1823" s="19"/>
    </row>
    <row r="1824" customFormat="false" ht="22.35" hidden="false" customHeight="false" outlineLevel="0" collapsed="false">
      <c r="A1824" s="10" t="s">
        <v>8806</v>
      </c>
      <c r="B1824" s="17" t="s">
        <v>143</v>
      </c>
      <c r="C1824" s="18" t="s">
        <v>144</v>
      </c>
      <c r="D1824" s="17" t="s">
        <v>20</v>
      </c>
      <c r="E1824" s="17" t="s">
        <v>75</v>
      </c>
      <c r="F1824" s="17" t="s">
        <v>7502</v>
      </c>
      <c r="G1824" s="17" t="s">
        <v>6522</v>
      </c>
      <c r="H1824" s="17" t="s">
        <v>34</v>
      </c>
      <c r="I1824" s="17" t="s">
        <v>333</v>
      </c>
      <c r="J1824" s="17" t="s">
        <v>7503</v>
      </c>
      <c r="K1824" s="19"/>
      <c r="L1824" s="19"/>
      <c r="M1824" s="19"/>
      <c r="N1824" s="19"/>
      <c r="O1824" s="17" t="n">
        <v>4</v>
      </c>
      <c r="P1824" s="18" t="s">
        <v>8791</v>
      </c>
      <c r="Q1824" s="18" t="s">
        <v>7860</v>
      </c>
      <c r="R1824" s="18" t="s">
        <v>8807</v>
      </c>
      <c r="S1824" s="17" t="s">
        <v>8790</v>
      </c>
      <c r="T1824" s="18" t="s">
        <v>8808</v>
      </c>
      <c r="U1824" s="19"/>
      <c r="V1824" s="18" t="s">
        <v>8809</v>
      </c>
      <c r="W1824" s="17" t="s">
        <v>240</v>
      </c>
      <c r="X1824" s="17" t="s">
        <v>8810</v>
      </c>
      <c r="Y1824" s="17" t="s">
        <v>242</v>
      </c>
      <c r="Z1824" s="19"/>
      <c r="AA1824" s="19"/>
      <c r="AB1824" s="17"/>
      <c r="AC1824" s="19"/>
    </row>
    <row r="1825" customFormat="false" ht="15" hidden="false" customHeight="false" outlineLevel="0" collapsed="false">
      <c r="A1825" s="10" t="s">
        <v>8811</v>
      </c>
      <c r="B1825" s="17" t="s">
        <v>143</v>
      </c>
      <c r="C1825" s="18" t="s">
        <v>144</v>
      </c>
      <c r="D1825" s="17" t="s">
        <v>20</v>
      </c>
      <c r="E1825" s="17" t="s">
        <v>75</v>
      </c>
      <c r="F1825" s="17" t="s">
        <v>7502</v>
      </c>
      <c r="G1825" s="17" t="s">
        <v>6522</v>
      </c>
      <c r="H1825" s="17" t="s">
        <v>34</v>
      </c>
      <c r="I1825" s="17" t="s">
        <v>283</v>
      </c>
      <c r="J1825" s="17" t="s">
        <v>7503</v>
      </c>
      <c r="K1825" s="19"/>
      <c r="L1825" s="19"/>
      <c r="M1825" s="19"/>
      <c r="N1825" s="19"/>
      <c r="O1825" s="17" t="n">
        <v>4</v>
      </c>
      <c r="P1825" s="18" t="s">
        <v>8791</v>
      </c>
      <c r="Q1825" s="18" t="s">
        <v>4948</v>
      </c>
      <c r="R1825" s="18" t="s">
        <v>8812</v>
      </c>
      <c r="S1825" s="17" t="s">
        <v>8813</v>
      </c>
      <c r="T1825" s="18" t="s">
        <v>8814</v>
      </c>
      <c r="U1825" s="19"/>
      <c r="V1825" s="18" t="s">
        <v>7560</v>
      </c>
      <c r="W1825" s="17" t="s">
        <v>240</v>
      </c>
      <c r="X1825" s="17" t="s">
        <v>7887</v>
      </c>
      <c r="Y1825" s="17" t="s">
        <v>242</v>
      </c>
      <c r="Z1825" s="19"/>
      <c r="AA1825" s="19"/>
      <c r="AB1825" s="17"/>
      <c r="AC1825" s="19"/>
    </row>
    <row r="1826" customFormat="false" ht="22.35" hidden="false" customHeight="false" outlineLevel="0" collapsed="false">
      <c r="A1826" s="10" t="s">
        <v>8815</v>
      </c>
      <c r="B1826" s="17" t="s">
        <v>150</v>
      </c>
      <c r="C1826" s="18" t="s">
        <v>151</v>
      </c>
      <c r="D1826" s="17" t="s">
        <v>20</v>
      </c>
      <c r="E1826" s="17" t="s">
        <v>75</v>
      </c>
      <c r="F1826" s="17" t="s">
        <v>7502</v>
      </c>
      <c r="G1826" s="17" t="s">
        <v>152</v>
      </c>
      <c r="H1826" s="17" t="s">
        <v>34</v>
      </c>
      <c r="I1826" s="17" t="s">
        <v>283</v>
      </c>
      <c r="J1826" s="17" t="s">
        <v>7503</v>
      </c>
      <c r="K1826" s="19"/>
      <c r="L1826" s="19"/>
      <c r="M1826" s="19"/>
      <c r="N1826" s="19"/>
      <c r="O1826" s="17" t="n">
        <v>4</v>
      </c>
      <c r="P1826" s="18" t="s">
        <v>8816</v>
      </c>
      <c r="Q1826" s="18" t="s">
        <v>7854</v>
      </c>
      <c r="R1826" s="18" t="s">
        <v>7855</v>
      </c>
      <c r="S1826" s="17" t="s">
        <v>7849</v>
      </c>
      <c r="T1826" s="18" t="s">
        <v>7856</v>
      </c>
      <c r="U1826" s="19"/>
      <c r="V1826" s="18" t="s">
        <v>7857</v>
      </c>
      <c r="W1826" s="17" t="s">
        <v>240</v>
      </c>
      <c r="X1826" s="17" t="s">
        <v>7858</v>
      </c>
      <c r="Y1826" s="17" t="s">
        <v>242</v>
      </c>
      <c r="Z1826" s="19"/>
      <c r="AA1826" s="19"/>
      <c r="AB1826" s="17"/>
      <c r="AC1826" s="19"/>
    </row>
    <row r="1827" customFormat="false" ht="22.35" hidden="false" customHeight="false" outlineLevel="0" collapsed="false">
      <c r="A1827" s="10" t="s">
        <v>8817</v>
      </c>
      <c r="B1827" s="17" t="s">
        <v>150</v>
      </c>
      <c r="C1827" s="18" t="s">
        <v>151</v>
      </c>
      <c r="D1827" s="17" t="s">
        <v>20</v>
      </c>
      <c r="E1827" s="17" t="s">
        <v>75</v>
      </c>
      <c r="F1827" s="17" t="s">
        <v>7502</v>
      </c>
      <c r="G1827" s="17" t="s">
        <v>152</v>
      </c>
      <c r="H1827" s="17" t="s">
        <v>34</v>
      </c>
      <c r="I1827" s="17" t="s">
        <v>2896</v>
      </c>
      <c r="J1827" s="17" t="s">
        <v>7503</v>
      </c>
      <c r="K1827" s="19"/>
      <c r="L1827" s="19"/>
      <c r="M1827" s="19"/>
      <c r="N1827" s="19"/>
      <c r="O1827" s="17" t="n">
        <v>4</v>
      </c>
      <c r="P1827" s="18" t="s">
        <v>8816</v>
      </c>
      <c r="Q1827" s="18" t="s">
        <v>7860</v>
      </c>
      <c r="R1827" s="18" t="s">
        <v>8818</v>
      </c>
      <c r="S1827" s="17" t="s">
        <v>8815</v>
      </c>
      <c r="T1827" s="18" t="s">
        <v>8819</v>
      </c>
      <c r="U1827" s="19"/>
      <c r="V1827" s="18" t="s">
        <v>8820</v>
      </c>
      <c r="W1827" s="17" t="s">
        <v>240</v>
      </c>
      <c r="X1827" s="17" t="s">
        <v>8821</v>
      </c>
      <c r="Y1827" s="17" t="s">
        <v>242</v>
      </c>
      <c r="Z1827" s="19"/>
      <c r="AA1827" s="19"/>
      <c r="AB1827" s="17"/>
      <c r="AC1827" s="19"/>
    </row>
    <row r="1828" customFormat="false" ht="22.35" hidden="false" customHeight="false" outlineLevel="0" collapsed="false">
      <c r="A1828" s="10" t="s">
        <v>8822</v>
      </c>
      <c r="B1828" s="17" t="s">
        <v>150</v>
      </c>
      <c r="C1828" s="18" t="s">
        <v>151</v>
      </c>
      <c r="D1828" s="17" t="s">
        <v>20</v>
      </c>
      <c r="E1828" s="17" t="s">
        <v>75</v>
      </c>
      <c r="F1828" s="17" t="s">
        <v>7502</v>
      </c>
      <c r="G1828" s="17" t="s">
        <v>152</v>
      </c>
      <c r="H1828" s="17" t="s">
        <v>34</v>
      </c>
      <c r="I1828" s="17" t="s">
        <v>277</v>
      </c>
      <c r="J1828" s="17" t="s">
        <v>7580</v>
      </c>
      <c r="K1828" s="19"/>
      <c r="L1828" s="19"/>
      <c r="M1828" s="19"/>
      <c r="N1828" s="19"/>
      <c r="O1828" s="17" t="n">
        <v>4</v>
      </c>
      <c r="P1828" s="18" t="s">
        <v>8816</v>
      </c>
      <c r="Q1828" s="18" t="s">
        <v>7860</v>
      </c>
      <c r="R1828" s="18" t="s">
        <v>8823</v>
      </c>
      <c r="S1828" s="17" t="s">
        <v>8815</v>
      </c>
      <c r="T1828" s="18" t="s">
        <v>3604</v>
      </c>
      <c r="U1828" s="19"/>
      <c r="V1828" s="18" t="s">
        <v>8824</v>
      </c>
      <c r="W1828" s="17" t="s">
        <v>240</v>
      </c>
      <c r="X1828" s="17" t="s">
        <v>8821</v>
      </c>
      <c r="Y1828" s="17" t="s">
        <v>242</v>
      </c>
      <c r="Z1828" s="19"/>
      <c r="AA1828" s="19"/>
      <c r="AB1828" s="17"/>
      <c r="AC1828" s="19"/>
    </row>
    <row r="1829" customFormat="false" ht="22.35" hidden="false" customHeight="false" outlineLevel="0" collapsed="false">
      <c r="A1829" s="10" t="s">
        <v>8825</v>
      </c>
      <c r="B1829" s="17" t="s">
        <v>150</v>
      </c>
      <c r="C1829" s="18" t="s">
        <v>151</v>
      </c>
      <c r="D1829" s="17" t="s">
        <v>20</v>
      </c>
      <c r="E1829" s="17" t="s">
        <v>75</v>
      </c>
      <c r="F1829" s="17" t="s">
        <v>7502</v>
      </c>
      <c r="G1829" s="17" t="s">
        <v>152</v>
      </c>
      <c r="H1829" s="17" t="s">
        <v>34</v>
      </c>
      <c r="I1829" s="17" t="s">
        <v>2896</v>
      </c>
      <c r="J1829" s="17" t="s">
        <v>7503</v>
      </c>
      <c r="K1829" s="19"/>
      <c r="L1829" s="19"/>
      <c r="M1829" s="19"/>
      <c r="N1829" s="19"/>
      <c r="O1829" s="17" t="n">
        <v>4</v>
      </c>
      <c r="P1829" s="18" t="s">
        <v>8816</v>
      </c>
      <c r="Q1829" s="18" t="s">
        <v>7860</v>
      </c>
      <c r="R1829" s="18" t="s">
        <v>8826</v>
      </c>
      <c r="S1829" s="17" t="s">
        <v>8815</v>
      </c>
      <c r="T1829" s="18" t="s">
        <v>8827</v>
      </c>
      <c r="U1829" s="19"/>
      <c r="V1829" s="18" t="s">
        <v>8828</v>
      </c>
      <c r="W1829" s="17" t="s">
        <v>240</v>
      </c>
      <c r="X1829" s="17" t="s">
        <v>8829</v>
      </c>
      <c r="Y1829" s="17" t="s">
        <v>242</v>
      </c>
      <c r="Z1829" s="19"/>
      <c r="AA1829" s="19"/>
      <c r="AB1829" s="17"/>
      <c r="AC1829" s="19"/>
    </row>
    <row r="1830" customFormat="false" ht="22.35" hidden="false" customHeight="false" outlineLevel="0" collapsed="false">
      <c r="A1830" s="10" t="s">
        <v>8830</v>
      </c>
      <c r="B1830" s="17" t="s">
        <v>150</v>
      </c>
      <c r="C1830" s="18" t="s">
        <v>151</v>
      </c>
      <c r="D1830" s="17" t="s">
        <v>20</v>
      </c>
      <c r="E1830" s="17" t="s">
        <v>75</v>
      </c>
      <c r="F1830" s="17" t="s">
        <v>7502</v>
      </c>
      <c r="G1830" s="17" t="s">
        <v>152</v>
      </c>
      <c r="H1830" s="17" t="s">
        <v>34</v>
      </c>
      <c r="I1830" s="17" t="s">
        <v>1028</v>
      </c>
      <c r="J1830" s="17" t="s">
        <v>7515</v>
      </c>
      <c r="K1830" s="19"/>
      <c r="L1830" s="19"/>
      <c r="M1830" s="19"/>
      <c r="N1830" s="19"/>
      <c r="O1830" s="17" t="n">
        <v>4</v>
      </c>
      <c r="P1830" s="18" t="s">
        <v>8816</v>
      </c>
      <c r="Q1830" s="18" t="s">
        <v>7860</v>
      </c>
      <c r="R1830" s="18" t="s">
        <v>8831</v>
      </c>
      <c r="S1830" s="17" t="s">
        <v>8815</v>
      </c>
      <c r="T1830" s="18" t="s">
        <v>8832</v>
      </c>
      <c r="U1830" s="19"/>
      <c r="V1830" s="18" t="s">
        <v>8833</v>
      </c>
      <c r="W1830" s="17" t="s">
        <v>5511</v>
      </c>
      <c r="X1830" s="17" t="s">
        <v>8834</v>
      </c>
      <c r="Y1830" s="17" t="s">
        <v>242</v>
      </c>
      <c r="Z1830" s="19"/>
      <c r="AA1830" s="19"/>
      <c r="AB1830" s="17"/>
      <c r="AC1830" s="19"/>
    </row>
    <row r="1831" customFormat="false" ht="22.35" hidden="false" customHeight="false" outlineLevel="0" collapsed="false">
      <c r="A1831" s="10" t="s">
        <v>8835</v>
      </c>
      <c r="B1831" s="17" t="s">
        <v>150</v>
      </c>
      <c r="C1831" s="18" t="s">
        <v>151</v>
      </c>
      <c r="D1831" s="17" t="s">
        <v>20</v>
      </c>
      <c r="E1831" s="17" t="s">
        <v>75</v>
      </c>
      <c r="F1831" s="17" t="s">
        <v>7502</v>
      </c>
      <c r="G1831" s="17" t="s">
        <v>152</v>
      </c>
      <c r="H1831" s="17" t="s">
        <v>34</v>
      </c>
      <c r="I1831" s="17" t="s">
        <v>283</v>
      </c>
      <c r="J1831" s="17" t="s">
        <v>7503</v>
      </c>
      <c r="K1831" s="19"/>
      <c r="L1831" s="19"/>
      <c r="M1831" s="19"/>
      <c r="N1831" s="19"/>
      <c r="O1831" s="17" t="n">
        <v>4</v>
      </c>
      <c r="P1831" s="18" t="s">
        <v>8816</v>
      </c>
      <c r="Q1831" s="18" t="s">
        <v>4948</v>
      </c>
      <c r="R1831" s="18" t="s">
        <v>8836</v>
      </c>
      <c r="S1831" s="17" t="s">
        <v>8837</v>
      </c>
      <c r="T1831" s="18" t="s">
        <v>8838</v>
      </c>
      <c r="U1831" s="19"/>
      <c r="V1831" s="18" t="s">
        <v>7560</v>
      </c>
      <c r="W1831" s="17" t="s">
        <v>240</v>
      </c>
      <c r="X1831" s="17" t="s">
        <v>7887</v>
      </c>
      <c r="Y1831" s="17" t="s">
        <v>242</v>
      </c>
      <c r="Z1831" s="19"/>
      <c r="AA1831" s="19"/>
      <c r="AB1831" s="17"/>
      <c r="AC1831" s="19"/>
    </row>
    <row r="1832" customFormat="false" ht="43.25" hidden="false" customHeight="false" outlineLevel="0" collapsed="false">
      <c r="A1832" s="10" t="s">
        <v>8839</v>
      </c>
      <c r="B1832" s="17" t="s">
        <v>127</v>
      </c>
      <c r="C1832" s="18" t="s">
        <v>128</v>
      </c>
      <c r="D1832" s="17" t="s">
        <v>19</v>
      </c>
      <c r="E1832" s="17" t="s">
        <v>75</v>
      </c>
      <c r="F1832" s="17" t="s">
        <v>5996</v>
      </c>
      <c r="G1832" s="17" t="s">
        <v>199</v>
      </c>
      <c r="H1832" s="17" t="s">
        <v>34</v>
      </c>
      <c r="I1832" s="17" t="s">
        <v>232</v>
      </c>
      <c r="J1832" s="17" t="s">
        <v>233</v>
      </c>
      <c r="K1832" s="19"/>
      <c r="L1832" s="19"/>
      <c r="M1832" s="19"/>
      <c r="N1832" s="19"/>
      <c r="O1832" s="17" t="n">
        <v>3</v>
      </c>
      <c r="P1832" s="18" t="s">
        <v>8840</v>
      </c>
      <c r="Q1832" s="18" t="s">
        <v>8841</v>
      </c>
      <c r="R1832" s="18" t="s">
        <v>8842</v>
      </c>
      <c r="S1832" s="17" t="s">
        <v>6136</v>
      </c>
      <c r="T1832" s="18" t="s">
        <v>8843</v>
      </c>
      <c r="U1832" s="19"/>
      <c r="V1832" s="18" t="s">
        <v>8844</v>
      </c>
      <c r="W1832" s="17" t="s">
        <v>5511</v>
      </c>
      <c r="X1832" s="17" t="s">
        <v>8845</v>
      </c>
      <c r="Y1832" s="17" t="s">
        <v>242</v>
      </c>
      <c r="Z1832" s="19"/>
      <c r="AA1832" s="19"/>
      <c r="AB1832" s="17"/>
      <c r="AC1832" s="19"/>
    </row>
    <row r="1833" customFormat="false" ht="32.8" hidden="false" customHeight="false" outlineLevel="0" collapsed="false">
      <c r="A1833" s="10" t="s">
        <v>8846</v>
      </c>
      <c r="B1833" s="17" t="s">
        <v>127</v>
      </c>
      <c r="C1833" s="18" t="s">
        <v>128</v>
      </c>
      <c r="D1833" s="17" t="s">
        <v>19</v>
      </c>
      <c r="E1833" s="17" t="s">
        <v>75</v>
      </c>
      <c r="F1833" s="17" t="s">
        <v>5996</v>
      </c>
      <c r="G1833" s="17" t="s">
        <v>199</v>
      </c>
      <c r="H1833" s="17" t="s">
        <v>34</v>
      </c>
      <c r="I1833" s="17" t="s">
        <v>283</v>
      </c>
      <c r="J1833" s="17" t="s">
        <v>233</v>
      </c>
      <c r="K1833" s="19"/>
      <c r="L1833" s="19"/>
      <c r="M1833" s="19"/>
      <c r="N1833" s="19"/>
      <c r="O1833" s="17" t="n">
        <v>4</v>
      </c>
      <c r="P1833" s="18" t="s">
        <v>8840</v>
      </c>
      <c r="Q1833" s="18" t="s">
        <v>8841</v>
      </c>
      <c r="R1833" s="18" t="s">
        <v>8847</v>
      </c>
      <c r="S1833" s="17" t="s">
        <v>8848</v>
      </c>
      <c r="T1833" s="18" t="s">
        <v>8849</v>
      </c>
      <c r="U1833" s="19"/>
      <c r="V1833" s="18" t="s">
        <v>8850</v>
      </c>
      <c r="W1833" s="17" t="s">
        <v>5511</v>
      </c>
      <c r="X1833" s="17" t="s">
        <v>8845</v>
      </c>
      <c r="Y1833" s="17" t="s">
        <v>242</v>
      </c>
      <c r="Z1833" s="19"/>
      <c r="AA1833" s="19"/>
      <c r="AB1833" s="17"/>
      <c r="AC1833" s="19"/>
    </row>
    <row r="1834" customFormat="false" ht="32.8" hidden="false" customHeight="false" outlineLevel="0" collapsed="false">
      <c r="A1834" s="10" t="s">
        <v>8851</v>
      </c>
      <c r="B1834" s="17" t="s">
        <v>127</v>
      </c>
      <c r="C1834" s="18" t="s">
        <v>128</v>
      </c>
      <c r="D1834" s="17" t="s">
        <v>19</v>
      </c>
      <c r="E1834" s="17" t="s">
        <v>75</v>
      </c>
      <c r="F1834" s="17" t="s">
        <v>5996</v>
      </c>
      <c r="G1834" s="17" t="s">
        <v>199</v>
      </c>
      <c r="H1834" s="17" t="s">
        <v>34</v>
      </c>
      <c r="I1834" s="17" t="s">
        <v>1028</v>
      </c>
      <c r="J1834" s="17" t="s">
        <v>233</v>
      </c>
      <c r="K1834" s="19"/>
      <c r="L1834" s="19"/>
      <c r="M1834" s="19"/>
      <c r="N1834" s="19"/>
      <c r="O1834" s="17" t="n">
        <v>4</v>
      </c>
      <c r="P1834" s="18" t="s">
        <v>8840</v>
      </c>
      <c r="Q1834" s="18" t="s">
        <v>8841</v>
      </c>
      <c r="R1834" s="18" t="s">
        <v>8852</v>
      </c>
      <c r="S1834" s="17" t="s">
        <v>8853</v>
      </c>
      <c r="T1834" s="18" t="s">
        <v>8854</v>
      </c>
      <c r="U1834" s="19"/>
      <c r="V1834" s="18" t="s">
        <v>8855</v>
      </c>
      <c r="W1834" s="17" t="s">
        <v>5511</v>
      </c>
      <c r="X1834" s="17" t="s">
        <v>8845</v>
      </c>
      <c r="Y1834" s="17" t="s">
        <v>242</v>
      </c>
      <c r="Z1834" s="19"/>
      <c r="AA1834" s="19"/>
      <c r="AB1834" s="17"/>
      <c r="AC1834" s="19"/>
    </row>
    <row r="1835" customFormat="false" ht="32.8" hidden="false" customHeight="false" outlineLevel="0" collapsed="false">
      <c r="A1835" s="10" t="s">
        <v>8856</v>
      </c>
      <c r="B1835" s="17" t="s">
        <v>127</v>
      </c>
      <c r="C1835" s="18" t="s">
        <v>128</v>
      </c>
      <c r="D1835" s="17" t="s">
        <v>19</v>
      </c>
      <c r="E1835" s="17" t="s">
        <v>75</v>
      </c>
      <c r="F1835" s="17" t="s">
        <v>5996</v>
      </c>
      <c r="G1835" s="17" t="s">
        <v>199</v>
      </c>
      <c r="H1835" s="17" t="s">
        <v>34</v>
      </c>
      <c r="I1835" s="17" t="s">
        <v>5507</v>
      </c>
      <c r="J1835" s="17" t="s">
        <v>233</v>
      </c>
      <c r="K1835" s="19"/>
      <c r="L1835" s="19"/>
      <c r="M1835" s="19"/>
      <c r="N1835" s="19"/>
      <c r="O1835" s="17" t="n">
        <v>3</v>
      </c>
      <c r="P1835" s="18" t="s">
        <v>8840</v>
      </c>
      <c r="Q1835" s="18" t="s">
        <v>8857</v>
      </c>
      <c r="R1835" s="18" t="s">
        <v>8858</v>
      </c>
      <c r="S1835" s="17" t="s">
        <v>6146</v>
      </c>
      <c r="T1835" s="18" t="s">
        <v>8859</v>
      </c>
      <c r="U1835" s="19"/>
      <c r="V1835" s="18" t="s">
        <v>8860</v>
      </c>
      <c r="W1835" s="17" t="s">
        <v>5511</v>
      </c>
      <c r="X1835" s="17" t="s">
        <v>8845</v>
      </c>
      <c r="Y1835" s="17" t="s">
        <v>242</v>
      </c>
      <c r="Z1835" s="19"/>
      <c r="AA1835" s="19"/>
      <c r="AB1835" s="17"/>
      <c r="AC1835" s="19"/>
    </row>
    <row r="1836" customFormat="false" ht="32.8" hidden="false" customHeight="false" outlineLevel="0" collapsed="false">
      <c r="A1836" s="10" t="s">
        <v>8861</v>
      </c>
      <c r="B1836" s="17" t="s">
        <v>127</v>
      </c>
      <c r="C1836" s="18" t="s">
        <v>128</v>
      </c>
      <c r="D1836" s="17" t="s">
        <v>19</v>
      </c>
      <c r="E1836" s="17" t="s">
        <v>75</v>
      </c>
      <c r="F1836" s="17" t="s">
        <v>5996</v>
      </c>
      <c r="G1836" s="17" t="s">
        <v>199</v>
      </c>
      <c r="H1836" s="17" t="s">
        <v>34</v>
      </c>
      <c r="I1836" s="17" t="s">
        <v>5507</v>
      </c>
      <c r="J1836" s="17" t="s">
        <v>233</v>
      </c>
      <c r="K1836" s="19"/>
      <c r="L1836" s="19"/>
      <c r="M1836" s="19"/>
      <c r="N1836" s="19"/>
      <c r="O1836" s="17" t="n">
        <v>4</v>
      </c>
      <c r="P1836" s="18" t="s">
        <v>8840</v>
      </c>
      <c r="Q1836" s="18" t="s">
        <v>8857</v>
      </c>
      <c r="R1836" s="18" t="s">
        <v>8862</v>
      </c>
      <c r="S1836" s="17" t="s">
        <v>8856</v>
      </c>
      <c r="T1836" s="18" t="s">
        <v>8863</v>
      </c>
      <c r="U1836" s="19"/>
      <c r="V1836" s="18" t="s">
        <v>8864</v>
      </c>
      <c r="W1836" s="17" t="s">
        <v>5511</v>
      </c>
      <c r="X1836" s="17" t="s">
        <v>8845</v>
      </c>
      <c r="Y1836" s="17" t="s">
        <v>242</v>
      </c>
      <c r="Z1836" s="19"/>
      <c r="AA1836" s="19"/>
      <c r="AB1836" s="17"/>
      <c r="AC1836" s="19"/>
    </row>
    <row r="1837" customFormat="false" ht="32.8" hidden="false" customHeight="false" outlineLevel="0" collapsed="false">
      <c r="A1837" s="10" t="s">
        <v>8865</v>
      </c>
      <c r="B1837" s="17" t="s">
        <v>127</v>
      </c>
      <c r="C1837" s="18" t="s">
        <v>128</v>
      </c>
      <c r="D1837" s="17" t="s">
        <v>19</v>
      </c>
      <c r="E1837" s="17" t="s">
        <v>75</v>
      </c>
      <c r="F1837" s="17" t="s">
        <v>5996</v>
      </c>
      <c r="G1837" s="17" t="s">
        <v>199</v>
      </c>
      <c r="H1837" s="17" t="s">
        <v>34</v>
      </c>
      <c r="I1837" s="17" t="s">
        <v>5507</v>
      </c>
      <c r="J1837" s="17" t="s">
        <v>233</v>
      </c>
      <c r="K1837" s="19"/>
      <c r="L1837" s="19"/>
      <c r="M1837" s="19"/>
      <c r="N1837" s="19"/>
      <c r="O1837" s="17" t="n">
        <v>4</v>
      </c>
      <c r="P1837" s="18" t="s">
        <v>8840</v>
      </c>
      <c r="Q1837" s="18" t="s">
        <v>8857</v>
      </c>
      <c r="R1837" s="18" t="s">
        <v>8866</v>
      </c>
      <c r="S1837" s="17" t="s">
        <v>8856</v>
      </c>
      <c r="T1837" s="18" t="s">
        <v>8867</v>
      </c>
      <c r="U1837" s="19"/>
      <c r="V1837" s="18" t="s">
        <v>8868</v>
      </c>
      <c r="W1837" s="17" t="s">
        <v>5511</v>
      </c>
      <c r="X1837" s="17" t="s">
        <v>8845</v>
      </c>
      <c r="Y1837" s="17" t="s">
        <v>242</v>
      </c>
      <c r="Z1837" s="19"/>
      <c r="AA1837" s="19"/>
      <c r="AB1837" s="17"/>
      <c r="AC1837" s="19"/>
    </row>
    <row r="1838" customFormat="false" ht="32.8" hidden="false" customHeight="false" outlineLevel="0" collapsed="false">
      <c r="A1838" s="10" t="s">
        <v>8869</v>
      </c>
      <c r="B1838" s="17" t="s">
        <v>127</v>
      </c>
      <c r="C1838" s="18" t="s">
        <v>128</v>
      </c>
      <c r="D1838" s="17" t="s">
        <v>19</v>
      </c>
      <c r="E1838" s="17" t="s">
        <v>75</v>
      </c>
      <c r="F1838" s="17" t="s">
        <v>5996</v>
      </c>
      <c r="G1838" s="17" t="s">
        <v>199</v>
      </c>
      <c r="H1838" s="17" t="s">
        <v>34</v>
      </c>
      <c r="I1838" s="17" t="s">
        <v>5507</v>
      </c>
      <c r="J1838" s="17" t="s">
        <v>233</v>
      </c>
      <c r="K1838" s="19"/>
      <c r="L1838" s="19"/>
      <c r="M1838" s="19"/>
      <c r="N1838" s="19"/>
      <c r="O1838" s="17" t="n">
        <v>4</v>
      </c>
      <c r="P1838" s="18" t="s">
        <v>8840</v>
      </c>
      <c r="Q1838" s="18" t="s">
        <v>8857</v>
      </c>
      <c r="R1838" s="18" t="s">
        <v>8870</v>
      </c>
      <c r="S1838" s="17" t="s">
        <v>8856</v>
      </c>
      <c r="T1838" s="18" t="s">
        <v>8871</v>
      </c>
      <c r="U1838" s="19"/>
      <c r="V1838" s="18" t="s">
        <v>8872</v>
      </c>
      <c r="W1838" s="17" t="s">
        <v>5511</v>
      </c>
      <c r="X1838" s="17" t="s">
        <v>8845</v>
      </c>
      <c r="Y1838" s="17" t="s">
        <v>242</v>
      </c>
      <c r="Z1838" s="19"/>
      <c r="AA1838" s="19"/>
      <c r="AB1838" s="17"/>
      <c r="AC1838" s="19"/>
    </row>
    <row r="1839" customFormat="false" ht="32.8" hidden="false" customHeight="false" outlineLevel="0" collapsed="false">
      <c r="A1839" s="10" t="s">
        <v>8873</v>
      </c>
      <c r="B1839" s="17" t="s">
        <v>127</v>
      </c>
      <c r="C1839" s="18" t="s">
        <v>128</v>
      </c>
      <c r="D1839" s="17" t="s">
        <v>19</v>
      </c>
      <c r="E1839" s="17" t="s">
        <v>75</v>
      </c>
      <c r="F1839" s="17" t="s">
        <v>5996</v>
      </c>
      <c r="G1839" s="17" t="s">
        <v>199</v>
      </c>
      <c r="H1839" s="17" t="s">
        <v>34</v>
      </c>
      <c r="I1839" s="17" t="s">
        <v>5507</v>
      </c>
      <c r="J1839" s="17" t="s">
        <v>233</v>
      </c>
      <c r="K1839" s="19"/>
      <c r="L1839" s="19"/>
      <c r="M1839" s="19"/>
      <c r="N1839" s="19"/>
      <c r="O1839" s="17" t="n">
        <v>4</v>
      </c>
      <c r="P1839" s="18" t="s">
        <v>8840</v>
      </c>
      <c r="Q1839" s="18" t="s">
        <v>8857</v>
      </c>
      <c r="R1839" s="18" t="s">
        <v>8874</v>
      </c>
      <c r="S1839" s="17" t="s">
        <v>8869</v>
      </c>
      <c r="T1839" s="18" t="s">
        <v>8875</v>
      </c>
      <c r="U1839" s="19"/>
      <c r="V1839" s="18" t="s">
        <v>8876</v>
      </c>
      <c r="W1839" s="17" t="s">
        <v>5511</v>
      </c>
      <c r="X1839" s="17" t="s">
        <v>8845</v>
      </c>
      <c r="Y1839" s="17" t="s">
        <v>242</v>
      </c>
      <c r="Z1839" s="19"/>
      <c r="AA1839" s="19"/>
      <c r="AB1839" s="17"/>
      <c r="AC1839" s="19"/>
    </row>
    <row r="1840" customFormat="false" ht="32.8" hidden="false" customHeight="false" outlineLevel="0" collapsed="false">
      <c r="A1840" s="10" t="s">
        <v>8877</v>
      </c>
      <c r="B1840" s="17" t="s">
        <v>127</v>
      </c>
      <c r="C1840" s="18" t="s">
        <v>128</v>
      </c>
      <c r="D1840" s="17" t="s">
        <v>19</v>
      </c>
      <c r="E1840" s="17" t="s">
        <v>75</v>
      </c>
      <c r="F1840" s="17" t="s">
        <v>5996</v>
      </c>
      <c r="G1840" s="17" t="s">
        <v>199</v>
      </c>
      <c r="H1840" s="17" t="s">
        <v>34</v>
      </c>
      <c r="I1840" s="17" t="s">
        <v>289</v>
      </c>
      <c r="J1840" s="17" t="s">
        <v>233</v>
      </c>
      <c r="K1840" s="19"/>
      <c r="L1840" s="19"/>
      <c r="M1840" s="19"/>
      <c r="N1840" s="19"/>
      <c r="O1840" s="17" t="n">
        <v>4</v>
      </c>
      <c r="P1840" s="18" t="s">
        <v>8840</v>
      </c>
      <c r="Q1840" s="18" t="s">
        <v>8857</v>
      </c>
      <c r="R1840" s="18" t="s">
        <v>8878</v>
      </c>
      <c r="S1840" s="17" t="s">
        <v>8861</v>
      </c>
      <c r="T1840" s="18" t="s">
        <v>8879</v>
      </c>
      <c r="U1840" s="19"/>
      <c r="V1840" s="18" t="s">
        <v>8880</v>
      </c>
      <c r="W1840" s="17" t="s">
        <v>5511</v>
      </c>
      <c r="X1840" s="17" t="s">
        <v>8845</v>
      </c>
      <c r="Y1840" s="17" t="s">
        <v>242</v>
      </c>
      <c r="Z1840" s="19"/>
      <c r="AA1840" s="19"/>
      <c r="AB1840" s="17"/>
      <c r="AC1840" s="19"/>
    </row>
    <row r="1841" customFormat="false" ht="22.35" hidden="false" customHeight="false" outlineLevel="0" collapsed="false">
      <c r="A1841" s="10" t="s">
        <v>8881</v>
      </c>
      <c r="B1841" s="17" t="s">
        <v>127</v>
      </c>
      <c r="C1841" s="18" t="s">
        <v>128</v>
      </c>
      <c r="D1841" s="17" t="s">
        <v>19</v>
      </c>
      <c r="E1841" s="17" t="s">
        <v>75</v>
      </c>
      <c r="F1841" s="17" t="s">
        <v>5996</v>
      </c>
      <c r="G1841" s="17" t="s">
        <v>199</v>
      </c>
      <c r="H1841" s="17" t="s">
        <v>34</v>
      </c>
      <c r="I1841" s="17" t="s">
        <v>1028</v>
      </c>
      <c r="J1841" s="17" t="s">
        <v>233</v>
      </c>
      <c r="K1841" s="19"/>
      <c r="L1841" s="19"/>
      <c r="M1841" s="19"/>
      <c r="N1841" s="19"/>
      <c r="O1841" s="17" t="n">
        <v>4</v>
      </c>
      <c r="P1841" s="18" t="s">
        <v>8840</v>
      </c>
      <c r="Q1841" s="18" t="s">
        <v>8857</v>
      </c>
      <c r="R1841" s="18" t="s">
        <v>8882</v>
      </c>
      <c r="S1841" s="17" t="s">
        <v>8877</v>
      </c>
      <c r="T1841" s="18" t="s">
        <v>8883</v>
      </c>
      <c r="U1841" s="19"/>
      <c r="V1841" s="18" t="s">
        <v>8884</v>
      </c>
      <c r="W1841" s="17" t="s">
        <v>5511</v>
      </c>
      <c r="X1841" s="17" t="s">
        <v>8845</v>
      </c>
      <c r="Y1841" s="17" t="s">
        <v>242</v>
      </c>
      <c r="Z1841" s="19"/>
      <c r="AA1841" s="19"/>
      <c r="AB1841" s="17"/>
      <c r="AC1841" s="19"/>
    </row>
    <row r="1842" customFormat="false" ht="32.8" hidden="false" customHeight="false" outlineLevel="0" collapsed="false">
      <c r="A1842" s="10" t="s">
        <v>8885</v>
      </c>
      <c r="B1842" s="17" t="s">
        <v>127</v>
      </c>
      <c r="C1842" s="18" t="s">
        <v>128</v>
      </c>
      <c r="D1842" s="17" t="s">
        <v>19</v>
      </c>
      <c r="E1842" s="17" t="s">
        <v>75</v>
      </c>
      <c r="F1842" s="17" t="s">
        <v>5996</v>
      </c>
      <c r="G1842" s="17" t="s">
        <v>199</v>
      </c>
      <c r="H1842" s="17" t="s">
        <v>34</v>
      </c>
      <c r="I1842" s="17" t="s">
        <v>5507</v>
      </c>
      <c r="J1842" s="17" t="s">
        <v>233</v>
      </c>
      <c r="K1842" s="19"/>
      <c r="L1842" s="19"/>
      <c r="M1842" s="19"/>
      <c r="N1842" s="19"/>
      <c r="O1842" s="17" t="n">
        <v>3</v>
      </c>
      <c r="P1842" s="18" t="s">
        <v>8886</v>
      </c>
      <c r="Q1842" s="18" t="s">
        <v>8887</v>
      </c>
      <c r="R1842" s="18" t="s">
        <v>8888</v>
      </c>
      <c r="S1842" s="17" t="s">
        <v>6146</v>
      </c>
      <c r="T1842" s="18" t="s">
        <v>8889</v>
      </c>
      <c r="U1842" s="19"/>
      <c r="V1842" s="18" t="s">
        <v>8890</v>
      </c>
      <c r="W1842" s="17" t="s">
        <v>5511</v>
      </c>
      <c r="X1842" s="17" t="s">
        <v>8845</v>
      </c>
      <c r="Y1842" s="17" t="s">
        <v>242</v>
      </c>
      <c r="Z1842" s="19"/>
      <c r="AA1842" s="19"/>
      <c r="AB1842" s="17"/>
      <c r="AC1842" s="19"/>
    </row>
    <row r="1843" customFormat="false" ht="32.8" hidden="false" customHeight="false" outlineLevel="0" collapsed="false">
      <c r="A1843" s="10" t="s">
        <v>8891</v>
      </c>
      <c r="B1843" s="17" t="s">
        <v>127</v>
      </c>
      <c r="C1843" s="18" t="s">
        <v>128</v>
      </c>
      <c r="D1843" s="17" t="s">
        <v>19</v>
      </c>
      <c r="E1843" s="17" t="s">
        <v>75</v>
      </c>
      <c r="F1843" s="17" t="s">
        <v>5996</v>
      </c>
      <c r="G1843" s="17" t="s">
        <v>199</v>
      </c>
      <c r="H1843" s="17" t="s">
        <v>34</v>
      </c>
      <c r="I1843" s="17" t="s">
        <v>5507</v>
      </c>
      <c r="J1843" s="17" t="s">
        <v>233</v>
      </c>
      <c r="K1843" s="19"/>
      <c r="L1843" s="19"/>
      <c r="M1843" s="19"/>
      <c r="N1843" s="19"/>
      <c r="O1843" s="17" t="n">
        <v>4</v>
      </c>
      <c r="P1843" s="18" t="s">
        <v>8886</v>
      </c>
      <c r="Q1843" s="18" t="s">
        <v>8887</v>
      </c>
      <c r="R1843" s="18" t="s">
        <v>8892</v>
      </c>
      <c r="S1843" s="17" t="s">
        <v>8885</v>
      </c>
      <c r="T1843" s="18" t="s">
        <v>8893</v>
      </c>
      <c r="U1843" s="19"/>
      <c r="V1843" s="18" t="s">
        <v>8894</v>
      </c>
      <c r="W1843" s="17" t="s">
        <v>5511</v>
      </c>
      <c r="X1843" s="17" t="s">
        <v>8845</v>
      </c>
      <c r="Y1843" s="17" t="s">
        <v>242</v>
      </c>
      <c r="Z1843" s="19"/>
      <c r="AA1843" s="19"/>
      <c r="AB1843" s="17"/>
      <c r="AC1843" s="19"/>
    </row>
    <row r="1844" customFormat="false" ht="32.8" hidden="false" customHeight="false" outlineLevel="0" collapsed="false">
      <c r="A1844" s="10" t="s">
        <v>8895</v>
      </c>
      <c r="B1844" s="17" t="s">
        <v>127</v>
      </c>
      <c r="C1844" s="18" t="s">
        <v>128</v>
      </c>
      <c r="D1844" s="17" t="s">
        <v>19</v>
      </c>
      <c r="E1844" s="17" t="s">
        <v>75</v>
      </c>
      <c r="F1844" s="17" t="s">
        <v>5996</v>
      </c>
      <c r="G1844" s="17" t="s">
        <v>199</v>
      </c>
      <c r="H1844" s="17" t="s">
        <v>34</v>
      </c>
      <c r="I1844" s="17" t="s">
        <v>5507</v>
      </c>
      <c r="J1844" s="17" t="s">
        <v>233</v>
      </c>
      <c r="K1844" s="19"/>
      <c r="L1844" s="19"/>
      <c r="M1844" s="19"/>
      <c r="N1844" s="19"/>
      <c r="O1844" s="17" t="n">
        <v>4</v>
      </c>
      <c r="P1844" s="18" t="s">
        <v>8886</v>
      </c>
      <c r="Q1844" s="18" t="s">
        <v>8887</v>
      </c>
      <c r="R1844" s="18" t="s">
        <v>8896</v>
      </c>
      <c r="S1844" s="17" t="s">
        <v>8885</v>
      </c>
      <c r="T1844" s="18" t="s">
        <v>8897</v>
      </c>
      <c r="U1844" s="19"/>
      <c r="V1844" s="18" t="s">
        <v>8898</v>
      </c>
      <c r="W1844" s="17" t="s">
        <v>5511</v>
      </c>
      <c r="X1844" s="17" t="s">
        <v>8845</v>
      </c>
      <c r="Y1844" s="17" t="s">
        <v>242</v>
      </c>
      <c r="Z1844" s="19"/>
      <c r="AA1844" s="19"/>
      <c r="AB1844" s="17"/>
      <c r="AC1844" s="19"/>
    </row>
    <row r="1845" customFormat="false" ht="32.8" hidden="false" customHeight="false" outlineLevel="0" collapsed="false">
      <c r="A1845" s="10" t="s">
        <v>8899</v>
      </c>
      <c r="B1845" s="17" t="s">
        <v>127</v>
      </c>
      <c r="C1845" s="18" t="s">
        <v>128</v>
      </c>
      <c r="D1845" s="17" t="s">
        <v>19</v>
      </c>
      <c r="E1845" s="17" t="s">
        <v>75</v>
      </c>
      <c r="F1845" s="17" t="s">
        <v>5996</v>
      </c>
      <c r="G1845" s="17" t="s">
        <v>199</v>
      </c>
      <c r="H1845" s="17" t="s">
        <v>34</v>
      </c>
      <c r="I1845" s="17" t="s">
        <v>5507</v>
      </c>
      <c r="J1845" s="17" t="s">
        <v>233</v>
      </c>
      <c r="K1845" s="19"/>
      <c r="L1845" s="19"/>
      <c r="M1845" s="19"/>
      <c r="N1845" s="19"/>
      <c r="O1845" s="17" t="n">
        <v>4</v>
      </c>
      <c r="P1845" s="18" t="s">
        <v>8886</v>
      </c>
      <c r="Q1845" s="18" t="s">
        <v>8887</v>
      </c>
      <c r="R1845" s="18" t="s">
        <v>8900</v>
      </c>
      <c r="S1845" s="17" t="s">
        <v>8885</v>
      </c>
      <c r="T1845" s="18" t="s">
        <v>8901</v>
      </c>
      <c r="U1845" s="19"/>
      <c r="V1845" s="18" t="s">
        <v>8902</v>
      </c>
      <c r="W1845" s="17" t="s">
        <v>5511</v>
      </c>
      <c r="X1845" s="17" t="s">
        <v>8845</v>
      </c>
      <c r="Y1845" s="17" t="s">
        <v>242</v>
      </c>
      <c r="Z1845" s="19"/>
      <c r="AA1845" s="19"/>
      <c r="AB1845" s="17"/>
      <c r="AC1845" s="19"/>
    </row>
    <row r="1846" customFormat="false" ht="32.8" hidden="false" customHeight="false" outlineLevel="0" collapsed="false">
      <c r="A1846" s="10" t="s">
        <v>8903</v>
      </c>
      <c r="B1846" s="17" t="s">
        <v>127</v>
      </c>
      <c r="C1846" s="18" t="s">
        <v>128</v>
      </c>
      <c r="D1846" s="17" t="s">
        <v>19</v>
      </c>
      <c r="E1846" s="17" t="s">
        <v>75</v>
      </c>
      <c r="F1846" s="17" t="s">
        <v>5996</v>
      </c>
      <c r="G1846" s="17" t="s">
        <v>199</v>
      </c>
      <c r="H1846" s="17" t="s">
        <v>34</v>
      </c>
      <c r="I1846" s="17" t="s">
        <v>5507</v>
      </c>
      <c r="J1846" s="17" t="s">
        <v>233</v>
      </c>
      <c r="K1846" s="19"/>
      <c r="L1846" s="19"/>
      <c r="M1846" s="19"/>
      <c r="N1846" s="19"/>
      <c r="O1846" s="17" t="n">
        <v>3</v>
      </c>
      <c r="P1846" s="18" t="s">
        <v>8886</v>
      </c>
      <c r="Q1846" s="18" t="s">
        <v>8904</v>
      </c>
      <c r="R1846" s="18" t="s">
        <v>8905</v>
      </c>
      <c r="S1846" s="17" t="s">
        <v>6198</v>
      </c>
      <c r="T1846" s="18" t="s">
        <v>8906</v>
      </c>
      <c r="U1846" s="19"/>
      <c r="V1846" s="18" t="s">
        <v>8907</v>
      </c>
      <c r="W1846" s="17" t="s">
        <v>5511</v>
      </c>
      <c r="X1846" s="17" t="s">
        <v>8845</v>
      </c>
      <c r="Y1846" s="17" t="s">
        <v>242</v>
      </c>
      <c r="Z1846" s="19"/>
      <c r="AA1846" s="19"/>
      <c r="AB1846" s="17" t="s">
        <v>1681</v>
      </c>
      <c r="AC1846" s="19"/>
    </row>
    <row r="1847" customFormat="false" ht="32.8" hidden="false" customHeight="false" outlineLevel="0" collapsed="false">
      <c r="A1847" s="10" t="s">
        <v>8908</v>
      </c>
      <c r="B1847" s="17" t="s">
        <v>127</v>
      </c>
      <c r="C1847" s="18" t="s">
        <v>128</v>
      </c>
      <c r="D1847" s="17" t="s">
        <v>19</v>
      </c>
      <c r="E1847" s="17" t="s">
        <v>75</v>
      </c>
      <c r="F1847" s="17" t="s">
        <v>5996</v>
      </c>
      <c r="G1847" s="17" t="s">
        <v>199</v>
      </c>
      <c r="H1847" s="17" t="s">
        <v>34</v>
      </c>
      <c r="I1847" s="17" t="s">
        <v>277</v>
      </c>
      <c r="J1847" s="17" t="s">
        <v>233</v>
      </c>
      <c r="K1847" s="19"/>
      <c r="L1847" s="19"/>
      <c r="M1847" s="19"/>
      <c r="N1847" s="19"/>
      <c r="O1847" s="17" t="n">
        <v>4</v>
      </c>
      <c r="P1847" s="18" t="s">
        <v>8886</v>
      </c>
      <c r="Q1847" s="18" t="s">
        <v>8904</v>
      </c>
      <c r="R1847" s="18" t="s">
        <v>8909</v>
      </c>
      <c r="S1847" s="17" t="s">
        <v>8903</v>
      </c>
      <c r="T1847" s="18" t="s">
        <v>8910</v>
      </c>
      <c r="U1847" s="19"/>
      <c r="V1847" s="18" t="s">
        <v>8911</v>
      </c>
      <c r="W1847" s="17" t="s">
        <v>5511</v>
      </c>
      <c r="X1847" s="17" t="s">
        <v>8845</v>
      </c>
      <c r="Y1847" s="17" t="s">
        <v>242</v>
      </c>
      <c r="Z1847" s="19"/>
      <c r="AA1847" s="19"/>
      <c r="AB1847" s="17"/>
      <c r="AC1847" s="19"/>
    </row>
    <row r="1848" customFormat="false" ht="32.8" hidden="false" customHeight="false" outlineLevel="0" collapsed="false">
      <c r="A1848" s="10" t="s">
        <v>8912</v>
      </c>
      <c r="B1848" s="17" t="s">
        <v>127</v>
      </c>
      <c r="C1848" s="18" t="s">
        <v>128</v>
      </c>
      <c r="D1848" s="17" t="s">
        <v>19</v>
      </c>
      <c r="E1848" s="17" t="s">
        <v>75</v>
      </c>
      <c r="F1848" s="17" t="s">
        <v>5996</v>
      </c>
      <c r="G1848" s="17" t="s">
        <v>199</v>
      </c>
      <c r="H1848" s="17" t="s">
        <v>34</v>
      </c>
      <c r="I1848" s="17" t="s">
        <v>5507</v>
      </c>
      <c r="J1848" s="17" t="s">
        <v>233</v>
      </c>
      <c r="K1848" s="19"/>
      <c r="L1848" s="19"/>
      <c r="M1848" s="19"/>
      <c r="N1848" s="19"/>
      <c r="O1848" s="17" t="n">
        <v>3</v>
      </c>
      <c r="P1848" s="18" t="s">
        <v>8886</v>
      </c>
      <c r="Q1848" s="18" t="s">
        <v>8904</v>
      </c>
      <c r="R1848" s="18" t="s">
        <v>8913</v>
      </c>
      <c r="S1848" s="17" t="s">
        <v>6129</v>
      </c>
      <c r="T1848" s="18" t="s">
        <v>8914</v>
      </c>
      <c r="U1848" s="19"/>
      <c r="V1848" s="18" t="s">
        <v>8915</v>
      </c>
      <c r="W1848" s="17" t="s">
        <v>5511</v>
      </c>
      <c r="X1848" s="17" t="s">
        <v>8845</v>
      </c>
      <c r="Y1848" s="17" t="s">
        <v>242</v>
      </c>
      <c r="Z1848" s="19"/>
      <c r="AA1848" s="19"/>
      <c r="AB1848" s="17"/>
      <c r="AC1848" s="19"/>
    </row>
    <row r="1849" customFormat="false" ht="32.8" hidden="false" customHeight="false" outlineLevel="0" collapsed="false">
      <c r="A1849" s="10" t="s">
        <v>8916</v>
      </c>
      <c r="B1849" s="17" t="s">
        <v>127</v>
      </c>
      <c r="C1849" s="18" t="s">
        <v>128</v>
      </c>
      <c r="D1849" s="17" t="s">
        <v>19</v>
      </c>
      <c r="E1849" s="17" t="s">
        <v>75</v>
      </c>
      <c r="F1849" s="17" t="s">
        <v>5996</v>
      </c>
      <c r="G1849" s="17" t="s">
        <v>199</v>
      </c>
      <c r="H1849" s="17" t="s">
        <v>34</v>
      </c>
      <c r="I1849" s="17" t="s">
        <v>5507</v>
      </c>
      <c r="J1849" s="17" t="s">
        <v>233</v>
      </c>
      <c r="K1849" s="19"/>
      <c r="L1849" s="19"/>
      <c r="M1849" s="19"/>
      <c r="N1849" s="19"/>
      <c r="O1849" s="17" t="n">
        <v>4</v>
      </c>
      <c r="P1849" s="18" t="s">
        <v>8886</v>
      </c>
      <c r="Q1849" s="18" t="s">
        <v>8904</v>
      </c>
      <c r="R1849" s="18" t="s">
        <v>8917</v>
      </c>
      <c r="S1849" s="17" t="s">
        <v>8912</v>
      </c>
      <c r="T1849" s="18" t="s">
        <v>8918</v>
      </c>
      <c r="U1849" s="19"/>
      <c r="V1849" s="18" t="s">
        <v>8919</v>
      </c>
      <c r="W1849" s="17" t="s">
        <v>5511</v>
      </c>
      <c r="X1849" s="17" t="s">
        <v>8845</v>
      </c>
      <c r="Y1849" s="17" t="s">
        <v>242</v>
      </c>
      <c r="Z1849" s="19"/>
      <c r="AA1849" s="19"/>
      <c r="AB1849" s="17"/>
      <c r="AC1849" s="19"/>
    </row>
    <row r="1850" customFormat="false" ht="32.8" hidden="false" customHeight="false" outlineLevel="0" collapsed="false">
      <c r="A1850" s="10" t="s">
        <v>8920</v>
      </c>
      <c r="B1850" s="17" t="s">
        <v>127</v>
      </c>
      <c r="C1850" s="18" t="s">
        <v>128</v>
      </c>
      <c r="D1850" s="17" t="s">
        <v>19</v>
      </c>
      <c r="E1850" s="17" t="s">
        <v>75</v>
      </c>
      <c r="F1850" s="17" t="s">
        <v>5996</v>
      </c>
      <c r="G1850" s="17" t="s">
        <v>199</v>
      </c>
      <c r="H1850" s="17" t="s">
        <v>34</v>
      </c>
      <c r="I1850" s="17" t="s">
        <v>5507</v>
      </c>
      <c r="J1850" s="17" t="s">
        <v>233</v>
      </c>
      <c r="K1850" s="19"/>
      <c r="L1850" s="19"/>
      <c r="M1850" s="19"/>
      <c r="N1850" s="19"/>
      <c r="O1850" s="17" t="n">
        <v>4</v>
      </c>
      <c r="P1850" s="18" t="s">
        <v>8886</v>
      </c>
      <c r="Q1850" s="18" t="s">
        <v>8904</v>
      </c>
      <c r="R1850" s="18" t="s">
        <v>8921</v>
      </c>
      <c r="S1850" s="17" t="s">
        <v>8912</v>
      </c>
      <c r="T1850" s="18" t="s">
        <v>8922</v>
      </c>
      <c r="U1850" s="19"/>
      <c r="V1850" s="18" t="s">
        <v>8923</v>
      </c>
      <c r="W1850" s="17" t="s">
        <v>5511</v>
      </c>
      <c r="X1850" s="17" t="s">
        <v>8845</v>
      </c>
      <c r="Y1850" s="17" t="s">
        <v>242</v>
      </c>
      <c r="Z1850" s="19"/>
      <c r="AA1850" s="19"/>
      <c r="AB1850" s="17"/>
      <c r="AC1850" s="19"/>
    </row>
    <row r="1851" customFormat="false" ht="32.8" hidden="false" customHeight="false" outlineLevel="0" collapsed="false">
      <c r="A1851" s="10" t="s">
        <v>8924</v>
      </c>
      <c r="B1851" s="17" t="s">
        <v>127</v>
      </c>
      <c r="C1851" s="18" t="s">
        <v>128</v>
      </c>
      <c r="D1851" s="17" t="s">
        <v>19</v>
      </c>
      <c r="E1851" s="17" t="s">
        <v>75</v>
      </c>
      <c r="F1851" s="17" t="s">
        <v>5996</v>
      </c>
      <c r="G1851" s="17" t="s">
        <v>199</v>
      </c>
      <c r="H1851" s="17" t="s">
        <v>34</v>
      </c>
      <c r="I1851" s="17" t="s">
        <v>1028</v>
      </c>
      <c r="J1851" s="17" t="s">
        <v>233</v>
      </c>
      <c r="K1851" s="19"/>
      <c r="L1851" s="19"/>
      <c r="M1851" s="19"/>
      <c r="N1851" s="19"/>
      <c r="O1851" s="17" t="n">
        <v>4</v>
      </c>
      <c r="P1851" s="18" t="s">
        <v>8886</v>
      </c>
      <c r="Q1851" s="18" t="s">
        <v>8904</v>
      </c>
      <c r="R1851" s="18" t="s">
        <v>8925</v>
      </c>
      <c r="S1851" s="17" t="s">
        <v>8920</v>
      </c>
      <c r="T1851" s="18" t="s">
        <v>8883</v>
      </c>
      <c r="U1851" s="19"/>
      <c r="V1851" s="18" t="s">
        <v>8884</v>
      </c>
      <c r="W1851" s="17" t="s">
        <v>5511</v>
      </c>
      <c r="X1851" s="17" t="s">
        <v>8845</v>
      </c>
      <c r="Y1851" s="17" t="s">
        <v>242</v>
      </c>
      <c r="Z1851" s="19"/>
      <c r="AA1851" s="19"/>
      <c r="AB1851" s="17"/>
      <c r="AC1851" s="19"/>
    </row>
    <row r="1852" customFormat="false" ht="32.8" hidden="false" customHeight="false" outlineLevel="0" collapsed="false">
      <c r="A1852" s="10" t="s">
        <v>8926</v>
      </c>
      <c r="B1852" s="17" t="s">
        <v>127</v>
      </c>
      <c r="C1852" s="18" t="s">
        <v>128</v>
      </c>
      <c r="D1852" s="17" t="s">
        <v>19</v>
      </c>
      <c r="E1852" s="17" t="s">
        <v>75</v>
      </c>
      <c r="F1852" s="17" t="s">
        <v>5996</v>
      </c>
      <c r="G1852" s="17" t="s">
        <v>199</v>
      </c>
      <c r="H1852" s="17" t="s">
        <v>34</v>
      </c>
      <c r="I1852" s="17" t="s">
        <v>333</v>
      </c>
      <c r="J1852" s="17" t="s">
        <v>233</v>
      </c>
      <c r="K1852" s="19"/>
      <c r="L1852" s="19"/>
      <c r="M1852" s="19"/>
      <c r="N1852" s="19"/>
      <c r="O1852" s="17" t="n">
        <v>4</v>
      </c>
      <c r="P1852" s="18" t="s">
        <v>8927</v>
      </c>
      <c r="Q1852" s="18" t="s">
        <v>8928</v>
      </c>
      <c r="R1852" s="18" t="s">
        <v>8929</v>
      </c>
      <c r="S1852" s="17" t="s">
        <v>6182</v>
      </c>
      <c r="T1852" s="18" t="s">
        <v>8930</v>
      </c>
      <c r="U1852" s="19"/>
      <c r="V1852" s="18" t="s">
        <v>8931</v>
      </c>
      <c r="W1852" s="17" t="s">
        <v>5511</v>
      </c>
      <c r="X1852" s="17" t="s">
        <v>8845</v>
      </c>
      <c r="Y1852" s="17" t="s">
        <v>242</v>
      </c>
      <c r="Z1852" s="19"/>
      <c r="AA1852" s="19"/>
      <c r="AB1852" s="17"/>
      <c r="AC1852" s="19"/>
    </row>
    <row r="1853" customFormat="false" ht="32.8" hidden="false" customHeight="false" outlineLevel="0" collapsed="false">
      <c r="A1853" s="10" t="s">
        <v>8932</v>
      </c>
      <c r="B1853" s="17" t="s">
        <v>127</v>
      </c>
      <c r="C1853" s="18" t="s">
        <v>128</v>
      </c>
      <c r="D1853" s="17" t="s">
        <v>19</v>
      </c>
      <c r="E1853" s="17" t="s">
        <v>75</v>
      </c>
      <c r="F1853" s="17" t="s">
        <v>5996</v>
      </c>
      <c r="G1853" s="17" t="s">
        <v>199</v>
      </c>
      <c r="H1853" s="17" t="s">
        <v>34</v>
      </c>
      <c r="I1853" s="17" t="s">
        <v>333</v>
      </c>
      <c r="J1853" s="17" t="s">
        <v>233</v>
      </c>
      <c r="K1853" s="19"/>
      <c r="L1853" s="19"/>
      <c r="M1853" s="19"/>
      <c r="N1853" s="19"/>
      <c r="O1853" s="17" t="n">
        <v>4</v>
      </c>
      <c r="P1853" s="18" t="s">
        <v>8927</v>
      </c>
      <c r="Q1853" s="18" t="s">
        <v>8928</v>
      </c>
      <c r="R1853" s="18" t="s">
        <v>8933</v>
      </c>
      <c r="S1853" s="17" t="s">
        <v>8926</v>
      </c>
      <c r="T1853" s="18" t="s">
        <v>8934</v>
      </c>
      <c r="U1853" s="19"/>
      <c r="V1853" s="18" t="s">
        <v>8935</v>
      </c>
      <c r="W1853" s="17" t="s">
        <v>5511</v>
      </c>
      <c r="X1853" s="17" t="s">
        <v>8845</v>
      </c>
      <c r="Y1853" s="17" t="s">
        <v>242</v>
      </c>
      <c r="Z1853" s="19"/>
      <c r="AA1853" s="19"/>
      <c r="AB1853" s="17"/>
      <c r="AC1853" s="19"/>
    </row>
    <row r="1854" customFormat="false" ht="32.8" hidden="false" customHeight="false" outlineLevel="0" collapsed="false">
      <c r="A1854" s="10" t="s">
        <v>8936</v>
      </c>
      <c r="B1854" s="17" t="s">
        <v>127</v>
      </c>
      <c r="C1854" s="18" t="s">
        <v>128</v>
      </c>
      <c r="D1854" s="17" t="s">
        <v>19</v>
      </c>
      <c r="E1854" s="17" t="s">
        <v>75</v>
      </c>
      <c r="F1854" s="17" t="s">
        <v>5996</v>
      </c>
      <c r="G1854" s="17" t="s">
        <v>199</v>
      </c>
      <c r="H1854" s="17" t="s">
        <v>34</v>
      </c>
      <c r="I1854" s="17" t="s">
        <v>333</v>
      </c>
      <c r="J1854" s="17" t="s">
        <v>233</v>
      </c>
      <c r="K1854" s="19"/>
      <c r="L1854" s="19"/>
      <c r="M1854" s="19"/>
      <c r="N1854" s="19"/>
      <c r="O1854" s="17" t="n">
        <v>4</v>
      </c>
      <c r="P1854" s="18" t="s">
        <v>8927</v>
      </c>
      <c r="Q1854" s="18" t="s">
        <v>8928</v>
      </c>
      <c r="R1854" s="18" t="s">
        <v>8937</v>
      </c>
      <c r="S1854" s="17" t="s">
        <v>6161</v>
      </c>
      <c r="T1854" s="18" t="s">
        <v>8938</v>
      </c>
      <c r="U1854" s="19"/>
      <c r="V1854" s="18" t="s">
        <v>8939</v>
      </c>
      <c r="W1854" s="17" t="s">
        <v>5511</v>
      </c>
      <c r="X1854" s="17" t="s">
        <v>8845</v>
      </c>
      <c r="Y1854" s="17" t="s">
        <v>242</v>
      </c>
      <c r="Z1854" s="19"/>
      <c r="AA1854" s="19"/>
      <c r="AB1854" s="17"/>
      <c r="AC1854" s="19"/>
    </row>
    <row r="1855" customFormat="false" ht="32.8" hidden="false" customHeight="false" outlineLevel="0" collapsed="false">
      <c r="A1855" s="10" t="s">
        <v>8940</v>
      </c>
      <c r="B1855" s="17" t="s">
        <v>127</v>
      </c>
      <c r="C1855" s="18" t="s">
        <v>128</v>
      </c>
      <c r="D1855" s="17" t="s">
        <v>19</v>
      </c>
      <c r="E1855" s="17" t="s">
        <v>75</v>
      </c>
      <c r="F1855" s="17" t="s">
        <v>5996</v>
      </c>
      <c r="G1855" s="17" t="s">
        <v>199</v>
      </c>
      <c r="H1855" s="17" t="s">
        <v>34</v>
      </c>
      <c r="I1855" s="17" t="s">
        <v>333</v>
      </c>
      <c r="J1855" s="17" t="s">
        <v>233</v>
      </c>
      <c r="K1855" s="19"/>
      <c r="L1855" s="19"/>
      <c r="M1855" s="19"/>
      <c r="N1855" s="19"/>
      <c r="O1855" s="17" t="n">
        <v>4</v>
      </c>
      <c r="P1855" s="18" t="s">
        <v>8927</v>
      </c>
      <c r="Q1855" s="18" t="s">
        <v>8928</v>
      </c>
      <c r="R1855" s="18" t="s">
        <v>8941</v>
      </c>
      <c r="S1855" s="17" t="s">
        <v>8926</v>
      </c>
      <c r="T1855" s="18" t="s">
        <v>8942</v>
      </c>
      <c r="U1855" s="19"/>
      <c r="V1855" s="18" t="s">
        <v>8943</v>
      </c>
      <c r="W1855" s="17" t="s">
        <v>5511</v>
      </c>
      <c r="X1855" s="17" t="s">
        <v>8845</v>
      </c>
      <c r="Y1855" s="17" t="s">
        <v>242</v>
      </c>
      <c r="Z1855" s="19"/>
      <c r="AA1855" s="19"/>
      <c r="AB1855" s="17"/>
      <c r="AC1855" s="19"/>
    </row>
    <row r="1856" customFormat="false" ht="32.8" hidden="false" customHeight="false" outlineLevel="0" collapsed="false">
      <c r="A1856" s="10" t="s">
        <v>8944</v>
      </c>
      <c r="B1856" s="17" t="s">
        <v>127</v>
      </c>
      <c r="C1856" s="18" t="s">
        <v>128</v>
      </c>
      <c r="D1856" s="17" t="s">
        <v>19</v>
      </c>
      <c r="E1856" s="17" t="s">
        <v>75</v>
      </c>
      <c r="F1856" s="17" t="s">
        <v>5996</v>
      </c>
      <c r="G1856" s="17" t="s">
        <v>199</v>
      </c>
      <c r="H1856" s="17" t="s">
        <v>34</v>
      </c>
      <c r="I1856" s="17" t="s">
        <v>1028</v>
      </c>
      <c r="J1856" s="17" t="s">
        <v>233</v>
      </c>
      <c r="K1856" s="19"/>
      <c r="L1856" s="19"/>
      <c r="M1856" s="19"/>
      <c r="N1856" s="19"/>
      <c r="O1856" s="17" t="n">
        <v>4</v>
      </c>
      <c r="P1856" s="18" t="s">
        <v>8927</v>
      </c>
      <c r="Q1856" s="18" t="s">
        <v>8928</v>
      </c>
      <c r="R1856" s="18" t="s">
        <v>8945</v>
      </c>
      <c r="S1856" s="17" t="s">
        <v>8926</v>
      </c>
      <c r="T1856" s="18" t="s">
        <v>8946</v>
      </c>
      <c r="U1856" s="19"/>
      <c r="V1856" s="18" t="s">
        <v>8947</v>
      </c>
      <c r="W1856" s="17" t="s">
        <v>5511</v>
      </c>
      <c r="X1856" s="17" t="s">
        <v>8845</v>
      </c>
      <c r="Y1856" s="17" t="s">
        <v>242</v>
      </c>
      <c r="Z1856" s="19"/>
      <c r="AA1856" s="19"/>
      <c r="AB1856" s="17"/>
      <c r="AC1856" s="19"/>
    </row>
    <row r="1857" customFormat="false" ht="32.8" hidden="false" customHeight="false" outlineLevel="0" collapsed="false">
      <c r="A1857" s="10" t="s">
        <v>8948</v>
      </c>
      <c r="B1857" s="17" t="s">
        <v>127</v>
      </c>
      <c r="C1857" s="18" t="s">
        <v>128</v>
      </c>
      <c r="D1857" s="17" t="s">
        <v>19</v>
      </c>
      <c r="E1857" s="17" t="s">
        <v>75</v>
      </c>
      <c r="F1857" s="17" t="s">
        <v>5996</v>
      </c>
      <c r="G1857" s="17" t="s">
        <v>199</v>
      </c>
      <c r="H1857" s="17" t="s">
        <v>34</v>
      </c>
      <c r="I1857" s="17" t="s">
        <v>289</v>
      </c>
      <c r="J1857" s="17" t="s">
        <v>233</v>
      </c>
      <c r="K1857" s="19"/>
      <c r="L1857" s="19"/>
      <c r="M1857" s="19"/>
      <c r="N1857" s="19"/>
      <c r="O1857" s="17" t="n">
        <v>3</v>
      </c>
      <c r="P1857" s="18" t="s">
        <v>8927</v>
      </c>
      <c r="Q1857" s="18" t="s">
        <v>8949</v>
      </c>
      <c r="R1857" s="18" t="s">
        <v>8950</v>
      </c>
      <c r="S1857" s="17" t="s">
        <v>6141</v>
      </c>
      <c r="T1857" s="18" t="s">
        <v>8951</v>
      </c>
      <c r="U1857" s="19"/>
      <c r="V1857" s="18" t="s">
        <v>8952</v>
      </c>
      <c r="W1857" s="17" t="s">
        <v>5511</v>
      </c>
      <c r="X1857" s="17" t="s">
        <v>8845</v>
      </c>
      <c r="Y1857" s="17" t="s">
        <v>242</v>
      </c>
      <c r="Z1857" s="19"/>
      <c r="AA1857" s="19"/>
      <c r="AB1857" s="17"/>
      <c r="AC1857" s="19"/>
    </row>
    <row r="1858" customFormat="false" ht="32.8" hidden="false" customHeight="false" outlineLevel="0" collapsed="false">
      <c r="A1858" s="10" t="s">
        <v>8953</v>
      </c>
      <c r="B1858" s="17" t="s">
        <v>127</v>
      </c>
      <c r="C1858" s="18" t="s">
        <v>128</v>
      </c>
      <c r="D1858" s="17" t="s">
        <v>19</v>
      </c>
      <c r="E1858" s="17" t="s">
        <v>75</v>
      </c>
      <c r="F1858" s="17" t="s">
        <v>5996</v>
      </c>
      <c r="G1858" s="17" t="s">
        <v>199</v>
      </c>
      <c r="H1858" s="17" t="s">
        <v>34</v>
      </c>
      <c r="I1858" s="17" t="s">
        <v>289</v>
      </c>
      <c r="J1858" s="17" t="s">
        <v>233</v>
      </c>
      <c r="K1858" s="19"/>
      <c r="L1858" s="19"/>
      <c r="M1858" s="19"/>
      <c r="N1858" s="19"/>
      <c r="O1858" s="17" t="n">
        <v>4</v>
      </c>
      <c r="P1858" s="18" t="s">
        <v>8927</v>
      </c>
      <c r="Q1858" s="18" t="s">
        <v>8949</v>
      </c>
      <c r="R1858" s="18" t="s">
        <v>8954</v>
      </c>
      <c r="S1858" s="17" t="s">
        <v>8955</v>
      </c>
      <c r="T1858" s="18" t="s">
        <v>8956</v>
      </c>
      <c r="U1858" s="19"/>
      <c r="V1858" s="18" t="s">
        <v>8957</v>
      </c>
      <c r="W1858" s="17" t="s">
        <v>5511</v>
      </c>
      <c r="X1858" s="17" t="s">
        <v>8845</v>
      </c>
      <c r="Y1858" s="17" t="s">
        <v>242</v>
      </c>
      <c r="Z1858" s="19"/>
      <c r="AA1858" s="19"/>
      <c r="AB1858" s="17"/>
      <c r="AC1858" s="19"/>
    </row>
    <row r="1859" customFormat="false" ht="43.25" hidden="false" customHeight="false" outlineLevel="0" collapsed="false">
      <c r="A1859" s="10" t="s">
        <v>8958</v>
      </c>
      <c r="B1859" s="17" t="s">
        <v>127</v>
      </c>
      <c r="C1859" s="18" t="s">
        <v>128</v>
      </c>
      <c r="D1859" s="17" t="s">
        <v>19</v>
      </c>
      <c r="E1859" s="17" t="s">
        <v>75</v>
      </c>
      <c r="F1859" s="17" t="s">
        <v>5996</v>
      </c>
      <c r="G1859" s="17" t="s">
        <v>199</v>
      </c>
      <c r="H1859" s="17" t="s">
        <v>34</v>
      </c>
      <c r="I1859" s="17" t="s">
        <v>289</v>
      </c>
      <c r="J1859" s="17" t="s">
        <v>233</v>
      </c>
      <c r="K1859" s="19"/>
      <c r="L1859" s="19"/>
      <c r="M1859" s="19"/>
      <c r="N1859" s="19"/>
      <c r="O1859" s="17" t="n">
        <v>4</v>
      </c>
      <c r="P1859" s="18" t="s">
        <v>8927</v>
      </c>
      <c r="Q1859" s="18" t="s">
        <v>8949</v>
      </c>
      <c r="R1859" s="18" t="s">
        <v>8959</v>
      </c>
      <c r="S1859" s="17" t="s">
        <v>8960</v>
      </c>
      <c r="T1859" s="18" t="s">
        <v>8961</v>
      </c>
      <c r="U1859" s="19"/>
      <c r="V1859" s="18" t="s">
        <v>8962</v>
      </c>
      <c r="W1859" s="17" t="s">
        <v>5511</v>
      </c>
      <c r="X1859" s="17" t="s">
        <v>8845</v>
      </c>
      <c r="Y1859" s="17" t="s">
        <v>242</v>
      </c>
      <c r="Z1859" s="19"/>
      <c r="AA1859" s="19"/>
      <c r="AB1859" s="17"/>
      <c r="AC1859" s="19"/>
    </row>
    <row r="1860" customFormat="false" ht="32.8" hidden="false" customHeight="false" outlineLevel="0" collapsed="false">
      <c r="A1860" s="10" t="s">
        <v>8963</v>
      </c>
      <c r="B1860" s="17" t="s">
        <v>127</v>
      </c>
      <c r="C1860" s="18" t="s">
        <v>128</v>
      </c>
      <c r="D1860" s="17" t="s">
        <v>19</v>
      </c>
      <c r="E1860" s="17" t="s">
        <v>75</v>
      </c>
      <c r="F1860" s="17" t="s">
        <v>5996</v>
      </c>
      <c r="G1860" s="17" t="s">
        <v>199</v>
      </c>
      <c r="H1860" s="17" t="s">
        <v>34</v>
      </c>
      <c r="I1860" s="17" t="s">
        <v>1028</v>
      </c>
      <c r="J1860" s="17" t="s">
        <v>233</v>
      </c>
      <c r="K1860" s="19"/>
      <c r="L1860" s="19"/>
      <c r="M1860" s="19"/>
      <c r="N1860" s="19"/>
      <c r="O1860" s="17" t="n">
        <v>4</v>
      </c>
      <c r="P1860" s="18" t="s">
        <v>8927</v>
      </c>
      <c r="Q1860" s="18" t="s">
        <v>8949</v>
      </c>
      <c r="R1860" s="18" t="s">
        <v>8964</v>
      </c>
      <c r="S1860" s="17" t="s">
        <v>8958</v>
      </c>
      <c r="T1860" s="18" t="s">
        <v>8883</v>
      </c>
      <c r="U1860" s="19"/>
      <c r="V1860" s="18" t="s">
        <v>8884</v>
      </c>
      <c r="W1860" s="17" t="s">
        <v>5511</v>
      </c>
      <c r="X1860" s="17" t="s">
        <v>8845</v>
      </c>
      <c r="Y1860" s="17" t="s">
        <v>242</v>
      </c>
      <c r="Z1860" s="19"/>
      <c r="AA1860" s="19"/>
      <c r="AB1860" s="17"/>
      <c r="AC1860" s="19"/>
    </row>
    <row r="1861" customFormat="false" ht="32.8" hidden="false" customHeight="false" outlineLevel="0" collapsed="false">
      <c r="A1861" s="10" t="s">
        <v>8965</v>
      </c>
      <c r="B1861" s="17" t="s">
        <v>132</v>
      </c>
      <c r="C1861" s="18" t="s">
        <v>133</v>
      </c>
      <c r="D1861" s="17" t="s">
        <v>19</v>
      </c>
      <c r="E1861" s="17" t="s">
        <v>75</v>
      </c>
      <c r="F1861" s="17" t="s">
        <v>5996</v>
      </c>
      <c r="G1861" s="17" t="s">
        <v>134</v>
      </c>
      <c r="H1861" s="17" t="s">
        <v>34</v>
      </c>
      <c r="I1861" s="17" t="s">
        <v>1028</v>
      </c>
      <c r="J1861" s="17" t="s">
        <v>233</v>
      </c>
      <c r="K1861" s="19"/>
      <c r="L1861" s="19"/>
      <c r="M1861" s="19"/>
      <c r="N1861" s="19"/>
      <c r="O1861" s="17" t="n">
        <v>5</v>
      </c>
      <c r="P1861" s="18" t="s">
        <v>8966</v>
      </c>
      <c r="Q1861" s="18" t="s">
        <v>8967</v>
      </c>
      <c r="R1861" s="18" t="s">
        <v>8968</v>
      </c>
      <c r="S1861" s="17" t="s">
        <v>8851</v>
      </c>
      <c r="T1861" s="18" t="s">
        <v>8969</v>
      </c>
      <c r="U1861" s="19"/>
      <c r="V1861" s="18" t="s">
        <v>8970</v>
      </c>
      <c r="W1861" s="17" t="s">
        <v>5511</v>
      </c>
      <c r="X1861" s="17" t="s">
        <v>8845</v>
      </c>
      <c r="Y1861" s="17" t="s">
        <v>242</v>
      </c>
      <c r="Z1861" s="19"/>
      <c r="AA1861" s="19"/>
      <c r="AB1861" s="17"/>
      <c r="AC1861" s="19"/>
    </row>
    <row r="1862" customFormat="false" ht="32.8" hidden="false" customHeight="false" outlineLevel="0" collapsed="false">
      <c r="A1862" s="10" t="s">
        <v>8971</v>
      </c>
      <c r="B1862" s="17" t="s">
        <v>132</v>
      </c>
      <c r="C1862" s="18" t="s">
        <v>133</v>
      </c>
      <c r="D1862" s="17" t="s">
        <v>19</v>
      </c>
      <c r="E1862" s="17" t="s">
        <v>75</v>
      </c>
      <c r="F1862" s="17" t="s">
        <v>5996</v>
      </c>
      <c r="G1862" s="17" t="s">
        <v>134</v>
      </c>
      <c r="H1862" s="17" t="s">
        <v>34</v>
      </c>
      <c r="I1862" s="17" t="s">
        <v>1028</v>
      </c>
      <c r="J1862" s="17" t="s">
        <v>233</v>
      </c>
      <c r="K1862" s="19"/>
      <c r="L1862" s="19"/>
      <c r="M1862" s="19"/>
      <c r="N1862" s="19"/>
      <c r="O1862" s="17" t="n">
        <v>5</v>
      </c>
      <c r="P1862" s="18" t="s">
        <v>8966</v>
      </c>
      <c r="Q1862" s="18" t="s">
        <v>8967</v>
      </c>
      <c r="R1862" s="18" t="s">
        <v>8972</v>
      </c>
      <c r="S1862" s="17" t="s">
        <v>8973</v>
      </c>
      <c r="T1862" s="18" t="s">
        <v>8974</v>
      </c>
      <c r="U1862" s="19"/>
      <c r="V1862" s="18" t="s">
        <v>8975</v>
      </c>
      <c r="W1862" s="17" t="s">
        <v>5511</v>
      </c>
      <c r="X1862" s="17" t="s">
        <v>8845</v>
      </c>
      <c r="Y1862" s="17" t="s">
        <v>242</v>
      </c>
      <c r="Z1862" s="19"/>
      <c r="AA1862" s="19"/>
      <c r="AB1862" s="17"/>
      <c r="AC1862" s="19"/>
    </row>
    <row r="1863" customFormat="false" ht="32.8" hidden="false" customHeight="false" outlineLevel="0" collapsed="false">
      <c r="A1863" s="10" t="s">
        <v>8976</v>
      </c>
      <c r="B1863" s="17" t="s">
        <v>132</v>
      </c>
      <c r="C1863" s="18" t="s">
        <v>133</v>
      </c>
      <c r="D1863" s="17" t="s">
        <v>19</v>
      </c>
      <c r="E1863" s="17" t="s">
        <v>75</v>
      </c>
      <c r="F1863" s="17" t="s">
        <v>5996</v>
      </c>
      <c r="G1863" s="17" t="s">
        <v>134</v>
      </c>
      <c r="H1863" s="17" t="s">
        <v>34</v>
      </c>
      <c r="I1863" s="17" t="s">
        <v>5507</v>
      </c>
      <c r="J1863" s="17" t="s">
        <v>233</v>
      </c>
      <c r="K1863" s="19"/>
      <c r="L1863" s="19"/>
      <c r="M1863" s="19"/>
      <c r="N1863" s="19"/>
      <c r="O1863" s="17" t="n">
        <v>5</v>
      </c>
      <c r="P1863" s="18" t="s">
        <v>8966</v>
      </c>
      <c r="Q1863" s="18" t="s">
        <v>8967</v>
      </c>
      <c r="R1863" s="18" t="s">
        <v>8977</v>
      </c>
      <c r="S1863" s="17" t="s">
        <v>8978</v>
      </c>
      <c r="T1863" s="18" t="s">
        <v>8979</v>
      </c>
      <c r="U1863" s="19"/>
      <c r="V1863" s="18" t="s">
        <v>8980</v>
      </c>
      <c r="W1863" s="17" t="s">
        <v>5511</v>
      </c>
      <c r="X1863" s="17" t="s">
        <v>8845</v>
      </c>
      <c r="Y1863" s="17" t="s">
        <v>242</v>
      </c>
      <c r="Z1863" s="19"/>
      <c r="AA1863" s="19"/>
      <c r="AB1863" s="17"/>
      <c r="AC1863" s="19"/>
    </row>
    <row r="1864" customFormat="false" ht="43.25" hidden="false" customHeight="false" outlineLevel="0" collapsed="false">
      <c r="A1864" s="10" t="s">
        <v>8981</v>
      </c>
      <c r="B1864" s="17" t="s">
        <v>132</v>
      </c>
      <c r="C1864" s="18" t="s">
        <v>133</v>
      </c>
      <c r="D1864" s="17" t="s">
        <v>19</v>
      </c>
      <c r="E1864" s="17" t="s">
        <v>75</v>
      </c>
      <c r="F1864" s="17" t="s">
        <v>5996</v>
      </c>
      <c r="G1864" s="17" t="s">
        <v>134</v>
      </c>
      <c r="H1864" s="17" t="s">
        <v>34</v>
      </c>
      <c r="I1864" s="17" t="s">
        <v>5507</v>
      </c>
      <c r="J1864" s="17" t="s">
        <v>233</v>
      </c>
      <c r="K1864" s="19"/>
      <c r="L1864" s="19"/>
      <c r="M1864" s="19"/>
      <c r="N1864" s="19"/>
      <c r="O1864" s="17" t="n">
        <v>5</v>
      </c>
      <c r="P1864" s="18" t="s">
        <v>8966</v>
      </c>
      <c r="Q1864" s="18" t="s">
        <v>8967</v>
      </c>
      <c r="R1864" s="18" t="s">
        <v>8982</v>
      </c>
      <c r="S1864" s="17" t="s">
        <v>8983</v>
      </c>
      <c r="T1864" s="18" t="s">
        <v>8984</v>
      </c>
      <c r="U1864" s="19"/>
      <c r="V1864" s="18" t="s">
        <v>8985</v>
      </c>
      <c r="W1864" s="17" t="s">
        <v>5511</v>
      </c>
      <c r="X1864" s="17" t="s">
        <v>8845</v>
      </c>
      <c r="Y1864" s="17" t="s">
        <v>242</v>
      </c>
      <c r="Z1864" s="19"/>
      <c r="AA1864" s="19"/>
      <c r="AB1864" s="17"/>
      <c r="AC1864" s="19"/>
    </row>
    <row r="1865" customFormat="false" ht="32.8" hidden="false" customHeight="false" outlineLevel="0" collapsed="false">
      <c r="A1865" s="10" t="s">
        <v>8986</v>
      </c>
      <c r="B1865" s="17" t="s">
        <v>132</v>
      </c>
      <c r="C1865" s="18" t="s">
        <v>133</v>
      </c>
      <c r="D1865" s="17" t="s">
        <v>19</v>
      </c>
      <c r="E1865" s="17" t="s">
        <v>75</v>
      </c>
      <c r="F1865" s="17" t="s">
        <v>5996</v>
      </c>
      <c r="G1865" s="17" t="s">
        <v>134</v>
      </c>
      <c r="H1865" s="17" t="s">
        <v>34</v>
      </c>
      <c r="I1865" s="17" t="s">
        <v>5507</v>
      </c>
      <c r="J1865" s="17" t="s">
        <v>233</v>
      </c>
      <c r="K1865" s="19"/>
      <c r="L1865" s="19"/>
      <c r="M1865" s="19"/>
      <c r="N1865" s="19"/>
      <c r="O1865" s="17" t="n">
        <v>5</v>
      </c>
      <c r="P1865" s="18" t="s">
        <v>8966</v>
      </c>
      <c r="Q1865" s="18" t="s">
        <v>8967</v>
      </c>
      <c r="R1865" s="18" t="s">
        <v>8987</v>
      </c>
      <c r="S1865" s="17" t="s">
        <v>8988</v>
      </c>
      <c r="T1865" s="18" t="s">
        <v>8989</v>
      </c>
      <c r="U1865" s="19"/>
      <c r="V1865" s="18" t="s">
        <v>8990</v>
      </c>
      <c r="W1865" s="17" t="s">
        <v>5511</v>
      </c>
      <c r="X1865" s="17" t="s">
        <v>8845</v>
      </c>
      <c r="Y1865" s="17" t="s">
        <v>242</v>
      </c>
      <c r="Z1865" s="19"/>
      <c r="AA1865" s="19"/>
      <c r="AB1865" s="17"/>
      <c r="AC1865" s="19"/>
    </row>
    <row r="1866" customFormat="false" ht="32.8" hidden="false" customHeight="false" outlineLevel="0" collapsed="false">
      <c r="A1866" s="10" t="s">
        <v>8991</v>
      </c>
      <c r="B1866" s="17" t="s">
        <v>132</v>
      </c>
      <c r="C1866" s="18" t="s">
        <v>133</v>
      </c>
      <c r="D1866" s="17" t="s">
        <v>19</v>
      </c>
      <c r="E1866" s="17" t="s">
        <v>75</v>
      </c>
      <c r="F1866" s="17" t="s">
        <v>5996</v>
      </c>
      <c r="G1866" s="17" t="s">
        <v>134</v>
      </c>
      <c r="H1866" s="17" t="s">
        <v>34</v>
      </c>
      <c r="I1866" s="17" t="s">
        <v>1028</v>
      </c>
      <c r="J1866" s="17" t="s">
        <v>233</v>
      </c>
      <c r="K1866" s="19"/>
      <c r="L1866" s="19"/>
      <c r="M1866" s="19"/>
      <c r="N1866" s="19"/>
      <c r="O1866" s="17" t="n">
        <v>5</v>
      </c>
      <c r="P1866" s="18" t="s">
        <v>8966</v>
      </c>
      <c r="Q1866" s="18" t="s">
        <v>8992</v>
      </c>
      <c r="R1866" s="18" t="s">
        <v>8993</v>
      </c>
      <c r="S1866" s="17" t="s">
        <v>8986</v>
      </c>
      <c r="T1866" s="18" t="s">
        <v>8994</v>
      </c>
      <c r="U1866" s="19"/>
      <c r="V1866" s="18" t="s">
        <v>8995</v>
      </c>
      <c r="W1866" s="17" t="s">
        <v>5511</v>
      </c>
      <c r="X1866" s="17" t="s">
        <v>8845</v>
      </c>
      <c r="Y1866" s="17" t="s">
        <v>242</v>
      </c>
      <c r="Z1866" s="19"/>
      <c r="AA1866" s="19"/>
      <c r="AB1866" s="17"/>
      <c r="AC1866" s="19"/>
    </row>
    <row r="1867" customFormat="false" ht="32.8" hidden="false" customHeight="false" outlineLevel="0" collapsed="false">
      <c r="A1867" s="10" t="s">
        <v>8996</v>
      </c>
      <c r="B1867" s="17" t="s">
        <v>132</v>
      </c>
      <c r="C1867" s="18" t="s">
        <v>133</v>
      </c>
      <c r="D1867" s="17" t="s">
        <v>19</v>
      </c>
      <c r="E1867" s="17" t="s">
        <v>75</v>
      </c>
      <c r="F1867" s="17" t="s">
        <v>5996</v>
      </c>
      <c r="G1867" s="17" t="s">
        <v>134</v>
      </c>
      <c r="H1867" s="17" t="s">
        <v>34</v>
      </c>
      <c r="I1867" s="17" t="s">
        <v>289</v>
      </c>
      <c r="J1867" s="17" t="s">
        <v>233</v>
      </c>
      <c r="K1867" s="19"/>
      <c r="L1867" s="19"/>
      <c r="M1867" s="19"/>
      <c r="N1867" s="19"/>
      <c r="O1867" s="17" t="n">
        <v>5</v>
      </c>
      <c r="P1867" s="18" t="s">
        <v>8966</v>
      </c>
      <c r="Q1867" s="18" t="s">
        <v>8992</v>
      </c>
      <c r="R1867" s="18" t="s">
        <v>8997</v>
      </c>
      <c r="S1867" s="17" t="s">
        <v>8998</v>
      </c>
      <c r="T1867" s="18" t="s">
        <v>8999</v>
      </c>
      <c r="U1867" s="19"/>
      <c r="V1867" s="18" t="s">
        <v>9000</v>
      </c>
      <c r="W1867" s="17" t="s">
        <v>5511</v>
      </c>
      <c r="X1867" s="17" t="s">
        <v>8845</v>
      </c>
      <c r="Y1867" s="17" t="s">
        <v>242</v>
      </c>
      <c r="Z1867" s="19"/>
      <c r="AA1867" s="19"/>
      <c r="AB1867" s="17"/>
      <c r="AC1867" s="19"/>
    </row>
    <row r="1868" customFormat="false" ht="32.8" hidden="false" customHeight="false" outlineLevel="0" collapsed="false">
      <c r="A1868" s="10" t="s">
        <v>9001</v>
      </c>
      <c r="B1868" s="17" t="s">
        <v>132</v>
      </c>
      <c r="C1868" s="18" t="s">
        <v>133</v>
      </c>
      <c r="D1868" s="17" t="s">
        <v>19</v>
      </c>
      <c r="E1868" s="17" t="s">
        <v>75</v>
      </c>
      <c r="F1868" s="17" t="s">
        <v>5996</v>
      </c>
      <c r="G1868" s="17" t="s">
        <v>134</v>
      </c>
      <c r="H1868" s="17" t="s">
        <v>34</v>
      </c>
      <c r="I1868" s="17" t="s">
        <v>277</v>
      </c>
      <c r="J1868" s="17" t="s">
        <v>233</v>
      </c>
      <c r="K1868" s="19"/>
      <c r="L1868" s="19"/>
      <c r="M1868" s="19"/>
      <c r="N1868" s="19"/>
      <c r="O1868" s="17" t="n">
        <v>5</v>
      </c>
      <c r="P1868" s="18" t="s">
        <v>8966</v>
      </c>
      <c r="Q1868" s="18" t="s">
        <v>8992</v>
      </c>
      <c r="R1868" s="18" t="s">
        <v>9002</v>
      </c>
      <c r="S1868" s="17" t="s">
        <v>8996</v>
      </c>
      <c r="T1868" s="18" t="s">
        <v>9003</v>
      </c>
      <c r="U1868" s="19"/>
      <c r="V1868" s="18" t="s">
        <v>9004</v>
      </c>
      <c r="W1868" s="17" t="s">
        <v>5511</v>
      </c>
      <c r="X1868" s="17" t="s">
        <v>8845</v>
      </c>
      <c r="Y1868" s="17" t="s">
        <v>242</v>
      </c>
      <c r="Z1868" s="19"/>
      <c r="AA1868" s="19"/>
      <c r="AB1868" s="17"/>
      <c r="AC1868" s="19"/>
    </row>
    <row r="1869" customFormat="false" ht="32.8" hidden="false" customHeight="false" outlineLevel="0" collapsed="false">
      <c r="A1869" s="10" t="s">
        <v>9005</v>
      </c>
      <c r="B1869" s="17" t="s">
        <v>132</v>
      </c>
      <c r="C1869" s="18" t="s">
        <v>133</v>
      </c>
      <c r="D1869" s="17" t="s">
        <v>19</v>
      </c>
      <c r="E1869" s="17" t="s">
        <v>75</v>
      </c>
      <c r="F1869" s="17" t="s">
        <v>5996</v>
      </c>
      <c r="G1869" s="17" t="s">
        <v>134</v>
      </c>
      <c r="H1869" s="17" t="s">
        <v>34</v>
      </c>
      <c r="I1869" s="17" t="s">
        <v>450</v>
      </c>
      <c r="J1869" s="17" t="s">
        <v>233</v>
      </c>
      <c r="K1869" s="19"/>
      <c r="L1869" s="19"/>
      <c r="M1869" s="19"/>
      <c r="N1869" s="19"/>
      <c r="O1869" s="17" t="n">
        <v>5</v>
      </c>
      <c r="P1869" s="18" t="s">
        <v>8966</v>
      </c>
      <c r="Q1869" s="18" t="s">
        <v>8992</v>
      </c>
      <c r="R1869" s="18" t="s">
        <v>9006</v>
      </c>
      <c r="S1869" s="17" t="s">
        <v>9007</v>
      </c>
      <c r="T1869" s="18" t="s">
        <v>9008</v>
      </c>
      <c r="U1869" s="19"/>
      <c r="V1869" s="18" t="s">
        <v>9009</v>
      </c>
      <c r="W1869" s="17" t="s">
        <v>5511</v>
      </c>
      <c r="X1869" s="17" t="s">
        <v>8845</v>
      </c>
      <c r="Y1869" s="17" t="s">
        <v>242</v>
      </c>
      <c r="Z1869" s="19"/>
      <c r="AA1869" s="19"/>
      <c r="AB1869" s="17"/>
      <c r="AC1869" s="19"/>
    </row>
    <row r="1870" customFormat="false" ht="32.8" hidden="false" customHeight="false" outlineLevel="0" collapsed="false">
      <c r="A1870" s="10" t="s">
        <v>9010</v>
      </c>
      <c r="B1870" s="17" t="s">
        <v>132</v>
      </c>
      <c r="C1870" s="18" t="s">
        <v>133</v>
      </c>
      <c r="D1870" s="17" t="s">
        <v>19</v>
      </c>
      <c r="E1870" s="17" t="s">
        <v>75</v>
      </c>
      <c r="F1870" s="17" t="s">
        <v>5996</v>
      </c>
      <c r="G1870" s="17" t="s">
        <v>134</v>
      </c>
      <c r="H1870" s="17" t="s">
        <v>34</v>
      </c>
      <c r="I1870" s="17" t="s">
        <v>1028</v>
      </c>
      <c r="J1870" s="17" t="s">
        <v>233</v>
      </c>
      <c r="K1870" s="19"/>
      <c r="L1870" s="19"/>
      <c r="M1870" s="19"/>
      <c r="N1870" s="19"/>
      <c r="O1870" s="17" t="n">
        <v>5</v>
      </c>
      <c r="P1870" s="18" t="s">
        <v>8966</v>
      </c>
      <c r="Q1870" s="18" t="s">
        <v>8992</v>
      </c>
      <c r="R1870" s="18" t="s">
        <v>9011</v>
      </c>
      <c r="S1870" s="17" t="s">
        <v>9012</v>
      </c>
      <c r="T1870" s="18" t="s">
        <v>9013</v>
      </c>
      <c r="U1870" s="19"/>
      <c r="V1870" s="18" t="s">
        <v>9014</v>
      </c>
      <c r="W1870" s="17" t="s">
        <v>5511</v>
      </c>
      <c r="X1870" s="17" t="s">
        <v>8845</v>
      </c>
      <c r="Y1870" s="17" t="s">
        <v>242</v>
      </c>
      <c r="Z1870" s="19"/>
      <c r="AA1870" s="19"/>
      <c r="AB1870" s="17"/>
      <c r="AC1870" s="19"/>
    </row>
    <row r="1871" customFormat="false" ht="22.35" hidden="false" customHeight="false" outlineLevel="0" collapsed="false">
      <c r="A1871" s="10" t="s">
        <v>9015</v>
      </c>
      <c r="B1871" s="17" t="s">
        <v>132</v>
      </c>
      <c r="C1871" s="18" t="s">
        <v>133</v>
      </c>
      <c r="D1871" s="17" t="s">
        <v>19</v>
      </c>
      <c r="E1871" s="17" t="s">
        <v>75</v>
      </c>
      <c r="F1871" s="17" t="s">
        <v>5996</v>
      </c>
      <c r="G1871" s="17" t="s">
        <v>134</v>
      </c>
      <c r="H1871" s="17" t="s">
        <v>34</v>
      </c>
      <c r="I1871" s="17" t="s">
        <v>1028</v>
      </c>
      <c r="J1871" s="17" t="s">
        <v>233</v>
      </c>
      <c r="K1871" s="19"/>
      <c r="L1871" s="19"/>
      <c r="M1871" s="19"/>
      <c r="N1871" s="19"/>
      <c r="O1871" s="17" t="n">
        <v>5</v>
      </c>
      <c r="P1871" s="18" t="s">
        <v>8966</v>
      </c>
      <c r="Q1871" s="18" t="s">
        <v>8992</v>
      </c>
      <c r="R1871" s="18" t="s">
        <v>9016</v>
      </c>
      <c r="S1871" s="17" t="s">
        <v>9010</v>
      </c>
      <c r="T1871" s="18" t="s">
        <v>8883</v>
      </c>
      <c r="U1871" s="19"/>
      <c r="V1871" s="18" t="s">
        <v>8884</v>
      </c>
      <c r="W1871" s="17" t="s">
        <v>5511</v>
      </c>
      <c r="X1871" s="17" t="s">
        <v>8845</v>
      </c>
      <c r="Y1871" s="17" t="s">
        <v>242</v>
      </c>
      <c r="Z1871" s="19"/>
      <c r="AA1871" s="19"/>
      <c r="AB1871" s="17"/>
      <c r="AC1871" s="19"/>
    </row>
    <row r="1872" customFormat="false" ht="53.7" hidden="false" customHeight="false" outlineLevel="0" collapsed="false">
      <c r="A1872" s="10" t="s">
        <v>9017</v>
      </c>
      <c r="B1872" s="17" t="s">
        <v>196</v>
      </c>
      <c r="C1872" s="18" t="s">
        <v>197</v>
      </c>
      <c r="D1872" s="17" t="s">
        <v>19</v>
      </c>
      <c r="E1872" s="17" t="s">
        <v>75</v>
      </c>
      <c r="F1872" s="17" t="s">
        <v>5996</v>
      </c>
      <c r="G1872" s="17" t="s">
        <v>199</v>
      </c>
      <c r="H1872" s="17" t="s">
        <v>34</v>
      </c>
      <c r="I1872" s="17" t="s">
        <v>5507</v>
      </c>
      <c r="J1872" s="17" t="s">
        <v>233</v>
      </c>
      <c r="K1872" s="19"/>
      <c r="L1872" s="19"/>
      <c r="M1872" s="19"/>
      <c r="N1872" s="19"/>
      <c r="O1872" s="17" t="n">
        <v>4</v>
      </c>
      <c r="P1872" s="18" t="s">
        <v>9018</v>
      </c>
      <c r="Q1872" s="18" t="s">
        <v>9019</v>
      </c>
      <c r="R1872" s="18" t="s">
        <v>9020</v>
      </c>
      <c r="S1872" s="17" t="s">
        <v>8839</v>
      </c>
      <c r="T1872" s="18" t="s">
        <v>9021</v>
      </c>
      <c r="U1872" s="19"/>
      <c r="V1872" s="18" t="s">
        <v>9022</v>
      </c>
      <c r="W1872" s="17" t="s">
        <v>5511</v>
      </c>
      <c r="X1872" s="17" t="s">
        <v>8845</v>
      </c>
      <c r="Y1872" s="17" t="s">
        <v>242</v>
      </c>
      <c r="Z1872" s="19"/>
      <c r="AA1872" s="19"/>
      <c r="AB1872" s="17"/>
      <c r="AC1872" s="19"/>
    </row>
    <row r="1873" customFormat="false" ht="32.8" hidden="false" customHeight="false" outlineLevel="0" collapsed="false">
      <c r="A1873" s="10" t="s">
        <v>9023</v>
      </c>
      <c r="B1873" s="17" t="s">
        <v>196</v>
      </c>
      <c r="C1873" s="18" t="s">
        <v>197</v>
      </c>
      <c r="D1873" s="17" t="s">
        <v>19</v>
      </c>
      <c r="E1873" s="17" t="s">
        <v>75</v>
      </c>
      <c r="F1873" s="17" t="s">
        <v>5996</v>
      </c>
      <c r="G1873" s="17" t="s">
        <v>199</v>
      </c>
      <c r="H1873" s="17" t="s">
        <v>34</v>
      </c>
      <c r="I1873" s="17" t="s">
        <v>5507</v>
      </c>
      <c r="J1873" s="17" t="s">
        <v>233</v>
      </c>
      <c r="K1873" s="19"/>
      <c r="L1873" s="19"/>
      <c r="M1873" s="19"/>
      <c r="N1873" s="19"/>
      <c r="O1873" s="17" t="n">
        <v>4</v>
      </c>
      <c r="P1873" s="18" t="s">
        <v>9018</v>
      </c>
      <c r="Q1873" s="18" t="s">
        <v>9019</v>
      </c>
      <c r="R1873" s="18" t="s">
        <v>9024</v>
      </c>
      <c r="S1873" s="17" t="s">
        <v>9017</v>
      </c>
      <c r="T1873" s="18" t="s">
        <v>9025</v>
      </c>
      <c r="U1873" s="19"/>
      <c r="V1873" s="18" t="s">
        <v>9026</v>
      </c>
      <c r="W1873" s="17" t="s">
        <v>5511</v>
      </c>
      <c r="X1873" s="17" t="s">
        <v>8845</v>
      </c>
      <c r="Y1873" s="17" t="s">
        <v>242</v>
      </c>
      <c r="Z1873" s="19"/>
      <c r="AA1873" s="19"/>
      <c r="AB1873" s="17"/>
      <c r="AC1873" s="19"/>
    </row>
    <row r="1874" customFormat="false" ht="32.8" hidden="false" customHeight="false" outlineLevel="0" collapsed="false">
      <c r="A1874" s="10" t="s">
        <v>9027</v>
      </c>
      <c r="B1874" s="17" t="s">
        <v>196</v>
      </c>
      <c r="C1874" s="18" t="s">
        <v>197</v>
      </c>
      <c r="D1874" s="17" t="s">
        <v>19</v>
      </c>
      <c r="E1874" s="17" t="s">
        <v>75</v>
      </c>
      <c r="F1874" s="17" t="s">
        <v>5996</v>
      </c>
      <c r="G1874" s="17" t="s">
        <v>199</v>
      </c>
      <c r="H1874" s="17" t="s">
        <v>34</v>
      </c>
      <c r="I1874" s="17" t="s">
        <v>277</v>
      </c>
      <c r="J1874" s="17" t="s">
        <v>233</v>
      </c>
      <c r="K1874" s="19"/>
      <c r="L1874" s="19"/>
      <c r="M1874" s="19"/>
      <c r="N1874" s="19"/>
      <c r="O1874" s="17" t="n">
        <v>4</v>
      </c>
      <c r="P1874" s="18" t="s">
        <v>9018</v>
      </c>
      <c r="Q1874" s="18" t="s">
        <v>9019</v>
      </c>
      <c r="R1874" s="18" t="s">
        <v>9028</v>
      </c>
      <c r="S1874" s="17" t="s">
        <v>9023</v>
      </c>
      <c r="T1874" s="18" t="s">
        <v>9029</v>
      </c>
      <c r="U1874" s="19"/>
      <c r="V1874" s="18" t="s">
        <v>9030</v>
      </c>
      <c r="W1874" s="17" t="s">
        <v>5511</v>
      </c>
      <c r="X1874" s="17" t="s">
        <v>8845</v>
      </c>
      <c r="Y1874" s="17" t="s">
        <v>242</v>
      </c>
      <c r="Z1874" s="19"/>
      <c r="AA1874" s="19"/>
      <c r="AB1874" s="17"/>
      <c r="AC1874" s="19"/>
    </row>
    <row r="1875" customFormat="false" ht="32.8" hidden="false" customHeight="false" outlineLevel="0" collapsed="false">
      <c r="A1875" s="10" t="s">
        <v>9031</v>
      </c>
      <c r="B1875" s="17" t="s">
        <v>196</v>
      </c>
      <c r="C1875" s="18" t="s">
        <v>197</v>
      </c>
      <c r="D1875" s="17" t="s">
        <v>19</v>
      </c>
      <c r="E1875" s="17" t="s">
        <v>75</v>
      </c>
      <c r="F1875" s="17" t="s">
        <v>5996</v>
      </c>
      <c r="G1875" s="17" t="s">
        <v>199</v>
      </c>
      <c r="H1875" s="17" t="s">
        <v>34</v>
      </c>
      <c r="I1875" s="17" t="s">
        <v>232</v>
      </c>
      <c r="J1875" s="17" t="s">
        <v>233</v>
      </c>
      <c r="K1875" s="19"/>
      <c r="L1875" s="19"/>
      <c r="M1875" s="19"/>
      <c r="N1875" s="19"/>
      <c r="O1875" s="17" t="n">
        <v>4</v>
      </c>
      <c r="P1875" s="18" t="s">
        <v>9018</v>
      </c>
      <c r="Q1875" s="18" t="s">
        <v>9032</v>
      </c>
      <c r="R1875" s="18" t="s">
        <v>9033</v>
      </c>
      <c r="S1875" s="17" t="s">
        <v>8851</v>
      </c>
      <c r="T1875" s="18" t="s">
        <v>9034</v>
      </c>
      <c r="U1875" s="19"/>
      <c r="V1875" s="18" t="s">
        <v>9035</v>
      </c>
      <c r="W1875" s="17" t="s">
        <v>5511</v>
      </c>
      <c r="X1875" s="17" t="s">
        <v>8845</v>
      </c>
      <c r="Y1875" s="17" t="s">
        <v>242</v>
      </c>
      <c r="Z1875" s="19"/>
      <c r="AA1875" s="19"/>
      <c r="AB1875" s="17"/>
      <c r="AC1875" s="19"/>
    </row>
    <row r="1876" customFormat="false" ht="43.25" hidden="false" customHeight="false" outlineLevel="0" collapsed="false">
      <c r="A1876" s="10" t="s">
        <v>9036</v>
      </c>
      <c r="B1876" s="17" t="s">
        <v>196</v>
      </c>
      <c r="C1876" s="18" t="s">
        <v>197</v>
      </c>
      <c r="D1876" s="17" t="s">
        <v>19</v>
      </c>
      <c r="E1876" s="17" t="s">
        <v>75</v>
      </c>
      <c r="F1876" s="17" t="s">
        <v>5996</v>
      </c>
      <c r="G1876" s="17" t="s">
        <v>199</v>
      </c>
      <c r="H1876" s="17" t="s">
        <v>34</v>
      </c>
      <c r="I1876" s="17" t="s">
        <v>1028</v>
      </c>
      <c r="J1876" s="17" t="s">
        <v>233</v>
      </c>
      <c r="K1876" s="19"/>
      <c r="L1876" s="19"/>
      <c r="M1876" s="19"/>
      <c r="N1876" s="19"/>
      <c r="O1876" s="17" t="n">
        <v>4</v>
      </c>
      <c r="P1876" s="18" t="s">
        <v>9018</v>
      </c>
      <c r="Q1876" s="18" t="s">
        <v>9032</v>
      </c>
      <c r="R1876" s="18" t="s">
        <v>9037</v>
      </c>
      <c r="S1876" s="17" t="s">
        <v>9031</v>
      </c>
      <c r="T1876" s="18" t="s">
        <v>9038</v>
      </c>
      <c r="U1876" s="19"/>
      <c r="V1876" s="18" t="s">
        <v>9039</v>
      </c>
      <c r="W1876" s="17" t="s">
        <v>5511</v>
      </c>
      <c r="X1876" s="17" t="s">
        <v>8845</v>
      </c>
      <c r="Y1876" s="17" t="s">
        <v>242</v>
      </c>
      <c r="Z1876" s="19"/>
      <c r="AA1876" s="19"/>
      <c r="AB1876" s="17"/>
      <c r="AC1876" s="19"/>
    </row>
    <row r="1877" customFormat="false" ht="32.8" hidden="false" customHeight="false" outlineLevel="0" collapsed="false">
      <c r="A1877" s="10" t="s">
        <v>9040</v>
      </c>
      <c r="B1877" s="17" t="s">
        <v>196</v>
      </c>
      <c r="C1877" s="18" t="s">
        <v>197</v>
      </c>
      <c r="D1877" s="17" t="s">
        <v>19</v>
      </c>
      <c r="E1877" s="17" t="s">
        <v>75</v>
      </c>
      <c r="F1877" s="17" t="s">
        <v>5996</v>
      </c>
      <c r="G1877" s="17" t="s">
        <v>199</v>
      </c>
      <c r="H1877" s="17" t="s">
        <v>34</v>
      </c>
      <c r="I1877" s="17" t="s">
        <v>369</v>
      </c>
      <c r="J1877" s="17" t="s">
        <v>233</v>
      </c>
      <c r="K1877" s="19"/>
      <c r="L1877" s="19"/>
      <c r="M1877" s="19"/>
      <c r="N1877" s="19"/>
      <c r="O1877" s="17" t="n">
        <v>4</v>
      </c>
      <c r="P1877" s="18" t="s">
        <v>9018</v>
      </c>
      <c r="Q1877" s="18" t="s">
        <v>9032</v>
      </c>
      <c r="R1877" s="18" t="s">
        <v>9041</v>
      </c>
      <c r="S1877" s="17" t="s">
        <v>9031</v>
      </c>
      <c r="T1877" s="18" t="s">
        <v>9042</v>
      </c>
      <c r="U1877" s="19"/>
      <c r="V1877" s="18" t="s">
        <v>9043</v>
      </c>
      <c r="W1877" s="17" t="s">
        <v>5511</v>
      </c>
      <c r="X1877" s="17" t="s">
        <v>8845</v>
      </c>
      <c r="Y1877" s="17" t="s">
        <v>242</v>
      </c>
      <c r="Z1877" s="19"/>
      <c r="AA1877" s="19"/>
      <c r="AB1877" s="17"/>
      <c r="AC1877" s="19"/>
    </row>
    <row r="1878" customFormat="false" ht="32.8" hidden="false" customHeight="false" outlineLevel="0" collapsed="false">
      <c r="A1878" s="10" t="s">
        <v>9044</v>
      </c>
      <c r="B1878" s="17" t="s">
        <v>196</v>
      </c>
      <c r="C1878" s="18" t="s">
        <v>197</v>
      </c>
      <c r="D1878" s="17" t="s">
        <v>19</v>
      </c>
      <c r="E1878" s="17" t="s">
        <v>75</v>
      </c>
      <c r="F1878" s="17" t="s">
        <v>5996</v>
      </c>
      <c r="G1878" s="17" t="s">
        <v>199</v>
      </c>
      <c r="H1878" s="17" t="s">
        <v>34</v>
      </c>
      <c r="I1878" s="17" t="s">
        <v>283</v>
      </c>
      <c r="J1878" s="17" t="s">
        <v>233</v>
      </c>
      <c r="K1878" s="19"/>
      <c r="L1878" s="19"/>
      <c r="M1878" s="19"/>
      <c r="N1878" s="19"/>
      <c r="O1878" s="17" t="n">
        <v>5</v>
      </c>
      <c r="P1878" s="18" t="s">
        <v>9018</v>
      </c>
      <c r="Q1878" s="18" t="s">
        <v>9032</v>
      </c>
      <c r="R1878" s="18" t="s">
        <v>9045</v>
      </c>
      <c r="S1878" s="17" t="s">
        <v>9040</v>
      </c>
      <c r="T1878" s="18" t="s">
        <v>9046</v>
      </c>
      <c r="U1878" s="19"/>
      <c r="V1878" s="18" t="s">
        <v>9047</v>
      </c>
      <c r="W1878" s="17" t="s">
        <v>5511</v>
      </c>
      <c r="X1878" s="17" t="s">
        <v>8845</v>
      </c>
      <c r="Y1878" s="17" t="s">
        <v>242</v>
      </c>
      <c r="Z1878" s="19"/>
      <c r="AA1878" s="19"/>
      <c r="AB1878" s="17"/>
      <c r="AC1878" s="19"/>
    </row>
    <row r="1879" customFormat="false" ht="43.25" hidden="false" customHeight="false" outlineLevel="0" collapsed="false">
      <c r="A1879" s="10" t="s">
        <v>9048</v>
      </c>
      <c r="B1879" s="17" t="s">
        <v>196</v>
      </c>
      <c r="C1879" s="18" t="s">
        <v>197</v>
      </c>
      <c r="D1879" s="17" t="s">
        <v>19</v>
      </c>
      <c r="E1879" s="17" t="s">
        <v>75</v>
      </c>
      <c r="F1879" s="17" t="s">
        <v>5996</v>
      </c>
      <c r="G1879" s="17" t="s">
        <v>199</v>
      </c>
      <c r="H1879" s="17" t="s">
        <v>34</v>
      </c>
      <c r="I1879" s="17" t="s">
        <v>283</v>
      </c>
      <c r="J1879" s="17" t="s">
        <v>233</v>
      </c>
      <c r="K1879" s="19"/>
      <c r="L1879" s="19"/>
      <c r="M1879" s="19"/>
      <c r="N1879" s="19"/>
      <c r="O1879" s="17" t="n">
        <v>4</v>
      </c>
      <c r="P1879" s="18" t="s">
        <v>9018</v>
      </c>
      <c r="Q1879" s="18" t="s">
        <v>9032</v>
      </c>
      <c r="R1879" s="18" t="s">
        <v>9049</v>
      </c>
      <c r="S1879" s="17" t="s">
        <v>9050</v>
      </c>
      <c r="T1879" s="18" t="s">
        <v>9051</v>
      </c>
      <c r="U1879" s="19"/>
      <c r="V1879" s="18" t="s">
        <v>9052</v>
      </c>
      <c r="W1879" s="17" t="s">
        <v>5511</v>
      </c>
      <c r="X1879" s="17" t="s">
        <v>8845</v>
      </c>
      <c r="Y1879" s="17" t="s">
        <v>242</v>
      </c>
      <c r="Z1879" s="19"/>
      <c r="AA1879" s="19"/>
      <c r="AB1879" s="17"/>
      <c r="AC1879" s="19"/>
    </row>
    <row r="1880" customFormat="false" ht="43.25" hidden="false" customHeight="false" outlineLevel="0" collapsed="false">
      <c r="A1880" s="10" t="s">
        <v>9053</v>
      </c>
      <c r="B1880" s="17" t="s">
        <v>196</v>
      </c>
      <c r="C1880" s="18" t="s">
        <v>197</v>
      </c>
      <c r="D1880" s="17" t="s">
        <v>19</v>
      </c>
      <c r="E1880" s="17" t="s">
        <v>75</v>
      </c>
      <c r="F1880" s="17" t="s">
        <v>5996</v>
      </c>
      <c r="G1880" s="17" t="s">
        <v>199</v>
      </c>
      <c r="H1880" s="17" t="s">
        <v>34</v>
      </c>
      <c r="I1880" s="17" t="s">
        <v>369</v>
      </c>
      <c r="J1880" s="17" t="s">
        <v>233</v>
      </c>
      <c r="K1880" s="19"/>
      <c r="L1880" s="19"/>
      <c r="M1880" s="19"/>
      <c r="N1880" s="19"/>
      <c r="O1880" s="17" t="n">
        <v>4</v>
      </c>
      <c r="P1880" s="18" t="s">
        <v>9018</v>
      </c>
      <c r="Q1880" s="18" t="s">
        <v>9032</v>
      </c>
      <c r="R1880" s="18" t="s">
        <v>9054</v>
      </c>
      <c r="S1880" s="17" t="s">
        <v>9048</v>
      </c>
      <c r="T1880" s="18" t="s">
        <v>9055</v>
      </c>
      <c r="U1880" s="19"/>
      <c r="V1880" s="18" t="s">
        <v>9056</v>
      </c>
      <c r="W1880" s="17" t="s">
        <v>5511</v>
      </c>
      <c r="X1880" s="17" t="s">
        <v>8845</v>
      </c>
      <c r="Y1880" s="17" t="s">
        <v>242</v>
      </c>
      <c r="Z1880" s="19"/>
      <c r="AA1880" s="19"/>
      <c r="AB1880" s="17"/>
      <c r="AC1880" s="19"/>
    </row>
    <row r="1881" customFormat="false" ht="22.35" hidden="false" customHeight="false" outlineLevel="0" collapsed="false">
      <c r="A1881" s="10" t="s">
        <v>9057</v>
      </c>
      <c r="B1881" s="17" t="s">
        <v>196</v>
      </c>
      <c r="C1881" s="18" t="s">
        <v>197</v>
      </c>
      <c r="D1881" s="17" t="s">
        <v>19</v>
      </c>
      <c r="E1881" s="17" t="s">
        <v>75</v>
      </c>
      <c r="F1881" s="17" t="s">
        <v>5996</v>
      </c>
      <c r="G1881" s="17" t="s">
        <v>199</v>
      </c>
      <c r="H1881" s="17" t="s">
        <v>34</v>
      </c>
      <c r="I1881" s="17" t="s">
        <v>1028</v>
      </c>
      <c r="J1881" s="17" t="s">
        <v>233</v>
      </c>
      <c r="K1881" s="19"/>
      <c r="L1881" s="19"/>
      <c r="M1881" s="19"/>
      <c r="N1881" s="19"/>
      <c r="O1881" s="17" t="n">
        <v>4</v>
      </c>
      <c r="P1881" s="18" t="s">
        <v>9018</v>
      </c>
      <c r="Q1881" s="18" t="s">
        <v>9032</v>
      </c>
      <c r="R1881" s="18" t="s">
        <v>9058</v>
      </c>
      <c r="S1881" s="17" t="s">
        <v>9053</v>
      </c>
      <c r="T1881" s="18" t="s">
        <v>8883</v>
      </c>
      <c r="U1881" s="19"/>
      <c r="V1881" s="18" t="s">
        <v>8884</v>
      </c>
      <c r="W1881" s="17" t="s">
        <v>5511</v>
      </c>
      <c r="X1881" s="17" t="s">
        <v>8845</v>
      </c>
      <c r="Y1881" s="17" t="s">
        <v>242</v>
      </c>
      <c r="Z1881" s="19"/>
      <c r="AA1881" s="19"/>
      <c r="AB1881" s="17"/>
      <c r="AC1881" s="19"/>
    </row>
    <row r="1882" customFormat="false" ht="53.7" hidden="false" customHeight="false" outlineLevel="0" collapsed="false">
      <c r="A1882" s="10" t="s">
        <v>9059</v>
      </c>
      <c r="B1882" s="17" t="s">
        <v>196</v>
      </c>
      <c r="C1882" s="18" t="s">
        <v>197</v>
      </c>
      <c r="D1882" s="17" t="s">
        <v>19</v>
      </c>
      <c r="E1882" s="17" t="s">
        <v>75</v>
      </c>
      <c r="F1882" s="17" t="s">
        <v>5996</v>
      </c>
      <c r="G1882" s="17" t="s">
        <v>199</v>
      </c>
      <c r="H1882" s="17" t="s">
        <v>34</v>
      </c>
      <c r="I1882" s="17" t="s">
        <v>928</v>
      </c>
      <c r="J1882" s="17" t="s">
        <v>233</v>
      </c>
      <c r="K1882" s="19"/>
      <c r="L1882" s="19"/>
      <c r="M1882" s="19"/>
      <c r="N1882" s="19"/>
      <c r="O1882" s="17" t="n">
        <v>4</v>
      </c>
      <c r="P1882" s="18" t="s">
        <v>9060</v>
      </c>
      <c r="Q1882" s="18" t="s">
        <v>9061</v>
      </c>
      <c r="R1882" s="18" t="s">
        <v>9062</v>
      </c>
      <c r="S1882" s="17" t="s">
        <v>9063</v>
      </c>
      <c r="T1882" s="18" t="s">
        <v>9064</v>
      </c>
      <c r="U1882" s="19"/>
      <c r="V1882" s="18" t="s">
        <v>9065</v>
      </c>
      <c r="W1882" s="17" t="s">
        <v>5511</v>
      </c>
      <c r="X1882" s="17" t="s">
        <v>8845</v>
      </c>
      <c r="Y1882" s="17" t="s">
        <v>242</v>
      </c>
      <c r="Z1882" s="19"/>
      <c r="AA1882" s="19"/>
      <c r="AB1882" s="17"/>
      <c r="AC1882" s="19"/>
    </row>
    <row r="1883" customFormat="false" ht="53.7" hidden="false" customHeight="false" outlineLevel="0" collapsed="false">
      <c r="A1883" s="10" t="s">
        <v>9066</v>
      </c>
      <c r="B1883" s="17" t="s">
        <v>196</v>
      </c>
      <c r="C1883" s="18" t="s">
        <v>197</v>
      </c>
      <c r="D1883" s="17" t="s">
        <v>19</v>
      </c>
      <c r="E1883" s="17" t="s">
        <v>75</v>
      </c>
      <c r="F1883" s="17" t="s">
        <v>5996</v>
      </c>
      <c r="G1883" s="17" t="s">
        <v>199</v>
      </c>
      <c r="H1883" s="17" t="s">
        <v>34</v>
      </c>
      <c r="I1883" s="17" t="s">
        <v>5507</v>
      </c>
      <c r="J1883" s="17" t="s">
        <v>233</v>
      </c>
      <c r="K1883" s="19"/>
      <c r="L1883" s="19"/>
      <c r="M1883" s="19"/>
      <c r="N1883" s="19"/>
      <c r="O1883" s="17" t="n">
        <v>4</v>
      </c>
      <c r="P1883" s="18" t="s">
        <v>9060</v>
      </c>
      <c r="Q1883" s="18" t="s">
        <v>9061</v>
      </c>
      <c r="R1883" s="18" t="s">
        <v>9067</v>
      </c>
      <c r="S1883" s="17" t="s">
        <v>9059</v>
      </c>
      <c r="T1883" s="18" t="s">
        <v>9068</v>
      </c>
      <c r="U1883" s="19"/>
      <c r="V1883" s="18" t="s">
        <v>9069</v>
      </c>
      <c r="W1883" s="17" t="s">
        <v>5511</v>
      </c>
      <c r="X1883" s="17" t="s">
        <v>8845</v>
      </c>
      <c r="Y1883" s="17" t="s">
        <v>242</v>
      </c>
      <c r="Z1883" s="19"/>
      <c r="AA1883" s="19"/>
      <c r="AB1883" s="17"/>
      <c r="AC1883" s="19"/>
    </row>
    <row r="1884" customFormat="false" ht="53.7" hidden="false" customHeight="false" outlineLevel="0" collapsed="false">
      <c r="A1884" s="10" t="s">
        <v>9070</v>
      </c>
      <c r="B1884" s="17" t="s">
        <v>196</v>
      </c>
      <c r="C1884" s="18" t="s">
        <v>197</v>
      </c>
      <c r="D1884" s="17" t="s">
        <v>19</v>
      </c>
      <c r="E1884" s="17" t="s">
        <v>75</v>
      </c>
      <c r="F1884" s="17" t="s">
        <v>5996</v>
      </c>
      <c r="G1884" s="17" t="s">
        <v>199</v>
      </c>
      <c r="H1884" s="17" t="s">
        <v>34</v>
      </c>
      <c r="I1884" s="17" t="s">
        <v>5507</v>
      </c>
      <c r="J1884" s="17" t="s">
        <v>233</v>
      </c>
      <c r="K1884" s="19"/>
      <c r="L1884" s="19"/>
      <c r="M1884" s="19"/>
      <c r="N1884" s="19"/>
      <c r="O1884" s="17" t="n">
        <v>4</v>
      </c>
      <c r="P1884" s="18" t="s">
        <v>9060</v>
      </c>
      <c r="Q1884" s="18" t="s">
        <v>9061</v>
      </c>
      <c r="R1884" s="18" t="s">
        <v>9071</v>
      </c>
      <c r="S1884" s="17" t="s">
        <v>9059</v>
      </c>
      <c r="T1884" s="18" t="s">
        <v>9068</v>
      </c>
      <c r="U1884" s="19"/>
      <c r="V1884" s="18" t="s">
        <v>9072</v>
      </c>
      <c r="W1884" s="17" t="s">
        <v>5511</v>
      </c>
      <c r="X1884" s="17" t="s">
        <v>8845</v>
      </c>
      <c r="Y1884" s="17" t="s">
        <v>242</v>
      </c>
      <c r="Z1884" s="19"/>
      <c r="AA1884" s="19"/>
      <c r="AB1884" s="17"/>
      <c r="AC1884" s="19"/>
    </row>
    <row r="1885" customFormat="false" ht="43.25" hidden="false" customHeight="false" outlineLevel="0" collapsed="false">
      <c r="A1885" s="10" t="s">
        <v>9073</v>
      </c>
      <c r="B1885" s="17" t="s">
        <v>196</v>
      </c>
      <c r="C1885" s="18" t="s">
        <v>197</v>
      </c>
      <c r="D1885" s="17" t="s">
        <v>19</v>
      </c>
      <c r="E1885" s="17" t="s">
        <v>75</v>
      </c>
      <c r="F1885" s="17" t="s">
        <v>5996</v>
      </c>
      <c r="G1885" s="17" t="s">
        <v>199</v>
      </c>
      <c r="H1885" s="17" t="s">
        <v>34</v>
      </c>
      <c r="I1885" s="17" t="s">
        <v>5507</v>
      </c>
      <c r="J1885" s="17" t="s">
        <v>233</v>
      </c>
      <c r="K1885" s="19"/>
      <c r="L1885" s="19"/>
      <c r="M1885" s="19"/>
      <c r="N1885" s="19"/>
      <c r="O1885" s="17" t="n">
        <v>4</v>
      </c>
      <c r="P1885" s="18" t="s">
        <v>9060</v>
      </c>
      <c r="Q1885" s="18" t="s">
        <v>9061</v>
      </c>
      <c r="R1885" s="18" t="s">
        <v>9074</v>
      </c>
      <c r="S1885" s="17" t="s">
        <v>9059</v>
      </c>
      <c r="T1885" s="18" t="s">
        <v>9068</v>
      </c>
      <c r="U1885" s="19"/>
      <c r="V1885" s="18" t="s">
        <v>9075</v>
      </c>
      <c r="W1885" s="17" t="s">
        <v>5511</v>
      </c>
      <c r="X1885" s="17" t="s">
        <v>8845</v>
      </c>
      <c r="Y1885" s="17" t="s">
        <v>242</v>
      </c>
      <c r="Z1885" s="19"/>
      <c r="AA1885" s="19"/>
      <c r="AB1885" s="17"/>
      <c r="AC1885" s="19"/>
    </row>
    <row r="1886" customFormat="false" ht="43.25" hidden="false" customHeight="false" outlineLevel="0" collapsed="false">
      <c r="A1886" s="10" t="s">
        <v>9076</v>
      </c>
      <c r="B1886" s="17" t="s">
        <v>196</v>
      </c>
      <c r="C1886" s="18" t="s">
        <v>197</v>
      </c>
      <c r="D1886" s="17" t="s">
        <v>19</v>
      </c>
      <c r="E1886" s="17" t="s">
        <v>75</v>
      </c>
      <c r="F1886" s="17" t="s">
        <v>5996</v>
      </c>
      <c r="G1886" s="17" t="s">
        <v>199</v>
      </c>
      <c r="H1886" s="17" t="s">
        <v>34</v>
      </c>
      <c r="I1886" s="17" t="s">
        <v>333</v>
      </c>
      <c r="J1886" s="17" t="s">
        <v>233</v>
      </c>
      <c r="K1886" s="19"/>
      <c r="L1886" s="19"/>
      <c r="M1886" s="19"/>
      <c r="N1886" s="19"/>
      <c r="O1886" s="17" t="n">
        <v>4</v>
      </c>
      <c r="P1886" s="18" t="s">
        <v>9060</v>
      </c>
      <c r="Q1886" s="18" t="s">
        <v>9061</v>
      </c>
      <c r="R1886" s="18" t="s">
        <v>9077</v>
      </c>
      <c r="S1886" s="17" t="s">
        <v>9059</v>
      </c>
      <c r="T1886" s="18" t="s">
        <v>9068</v>
      </c>
      <c r="U1886" s="19"/>
      <c r="V1886" s="18" t="s">
        <v>9078</v>
      </c>
      <c r="W1886" s="17" t="s">
        <v>383</v>
      </c>
      <c r="X1886" s="17" t="s">
        <v>8845</v>
      </c>
      <c r="Y1886" s="17" t="s">
        <v>242</v>
      </c>
      <c r="Z1886" s="19"/>
      <c r="AA1886" s="19"/>
      <c r="AB1886" s="17"/>
      <c r="AC1886" s="19"/>
    </row>
    <row r="1887" customFormat="false" ht="32.8" hidden="false" customHeight="false" outlineLevel="0" collapsed="false">
      <c r="A1887" s="10" t="s">
        <v>9079</v>
      </c>
      <c r="B1887" s="17" t="s">
        <v>196</v>
      </c>
      <c r="C1887" s="18" t="s">
        <v>197</v>
      </c>
      <c r="D1887" s="17" t="s">
        <v>19</v>
      </c>
      <c r="E1887" s="17" t="s">
        <v>75</v>
      </c>
      <c r="F1887" s="17" t="s">
        <v>5996</v>
      </c>
      <c r="G1887" s="17" t="s">
        <v>199</v>
      </c>
      <c r="H1887" s="17" t="s">
        <v>34</v>
      </c>
      <c r="I1887" s="17" t="s">
        <v>283</v>
      </c>
      <c r="J1887" s="17" t="s">
        <v>233</v>
      </c>
      <c r="K1887" s="19"/>
      <c r="L1887" s="19"/>
      <c r="M1887" s="19"/>
      <c r="N1887" s="19"/>
      <c r="O1887" s="17" t="n">
        <v>4</v>
      </c>
      <c r="P1887" s="18" t="s">
        <v>9060</v>
      </c>
      <c r="Q1887" s="18" t="s">
        <v>9061</v>
      </c>
      <c r="R1887" s="18" t="s">
        <v>9080</v>
      </c>
      <c r="S1887" s="17" t="s">
        <v>9081</v>
      </c>
      <c r="T1887" s="18" t="s">
        <v>9082</v>
      </c>
      <c r="U1887" s="19"/>
      <c r="V1887" s="18" t="s">
        <v>9083</v>
      </c>
      <c r="W1887" s="17" t="s">
        <v>5511</v>
      </c>
      <c r="X1887" s="17" t="s">
        <v>8845</v>
      </c>
      <c r="Y1887" s="17" t="s">
        <v>242</v>
      </c>
      <c r="Z1887" s="19"/>
      <c r="AA1887" s="19"/>
      <c r="AB1887" s="17"/>
      <c r="AC1887" s="19"/>
    </row>
    <row r="1888" customFormat="false" ht="53.7" hidden="false" customHeight="false" outlineLevel="0" collapsed="false">
      <c r="A1888" s="10" t="s">
        <v>9084</v>
      </c>
      <c r="B1888" s="17" t="s">
        <v>196</v>
      </c>
      <c r="C1888" s="18" t="s">
        <v>197</v>
      </c>
      <c r="D1888" s="17" t="s">
        <v>19</v>
      </c>
      <c r="E1888" s="17" t="s">
        <v>75</v>
      </c>
      <c r="F1888" s="17" t="s">
        <v>5996</v>
      </c>
      <c r="G1888" s="17" t="s">
        <v>199</v>
      </c>
      <c r="H1888" s="17" t="s">
        <v>34</v>
      </c>
      <c r="I1888" s="17" t="s">
        <v>1028</v>
      </c>
      <c r="J1888" s="17" t="s">
        <v>233</v>
      </c>
      <c r="K1888" s="19"/>
      <c r="L1888" s="19"/>
      <c r="M1888" s="19"/>
      <c r="N1888" s="19"/>
      <c r="O1888" s="17" t="n">
        <v>4</v>
      </c>
      <c r="P1888" s="18" t="s">
        <v>9060</v>
      </c>
      <c r="Q1888" s="18" t="s">
        <v>9085</v>
      </c>
      <c r="R1888" s="18" t="s">
        <v>9086</v>
      </c>
      <c r="S1888" s="17" t="s">
        <v>9036</v>
      </c>
      <c r="T1888" s="18" t="s">
        <v>9087</v>
      </c>
      <c r="U1888" s="19"/>
      <c r="V1888" s="18" t="s">
        <v>9088</v>
      </c>
      <c r="W1888" s="17" t="s">
        <v>5511</v>
      </c>
      <c r="X1888" s="17" t="s">
        <v>8845</v>
      </c>
      <c r="Y1888" s="17" t="s">
        <v>242</v>
      </c>
      <c r="Z1888" s="19"/>
      <c r="AA1888" s="19"/>
      <c r="AB1888" s="17"/>
      <c r="AC1888" s="19"/>
    </row>
    <row r="1889" customFormat="false" ht="32.8" hidden="false" customHeight="false" outlineLevel="0" collapsed="false">
      <c r="A1889" s="10" t="s">
        <v>9089</v>
      </c>
      <c r="B1889" s="17" t="s">
        <v>196</v>
      </c>
      <c r="C1889" s="18" t="s">
        <v>197</v>
      </c>
      <c r="D1889" s="17" t="s">
        <v>19</v>
      </c>
      <c r="E1889" s="17" t="s">
        <v>75</v>
      </c>
      <c r="F1889" s="17" t="s">
        <v>5996</v>
      </c>
      <c r="G1889" s="17" t="s">
        <v>199</v>
      </c>
      <c r="H1889" s="17" t="s">
        <v>34</v>
      </c>
      <c r="I1889" s="17" t="s">
        <v>1028</v>
      </c>
      <c r="J1889" s="17" t="s">
        <v>233</v>
      </c>
      <c r="K1889" s="19"/>
      <c r="L1889" s="19"/>
      <c r="M1889" s="19"/>
      <c r="N1889" s="19"/>
      <c r="O1889" s="17" t="n">
        <v>4</v>
      </c>
      <c r="P1889" s="18" t="s">
        <v>9060</v>
      </c>
      <c r="Q1889" s="18" t="s">
        <v>9085</v>
      </c>
      <c r="R1889" s="18" t="s">
        <v>9090</v>
      </c>
      <c r="S1889" s="17" t="s">
        <v>9091</v>
      </c>
      <c r="T1889" s="18" t="s">
        <v>9092</v>
      </c>
      <c r="U1889" s="19"/>
      <c r="V1889" s="18" t="s">
        <v>9093</v>
      </c>
      <c r="W1889" s="17" t="s">
        <v>5511</v>
      </c>
      <c r="X1889" s="17" t="s">
        <v>8845</v>
      </c>
      <c r="Y1889" s="17" t="s">
        <v>242</v>
      </c>
      <c r="Z1889" s="19"/>
      <c r="AA1889" s="19"/>
      <c r="AB1889" s="17"/>
      <c r="AC1889" s="19"/>
    </row>
    <row r="1890" customFormat="false" ht="43.25" hidden="false" customHeight="false" outlineLevel="0" collapsed="false">
      <c r="A1890" s="10" t="s">
        <v>9094</v>
      </c>
      <c r="B1890" s="17" t="s">
        <v>196</v>
      </c>
      <c r="C1890" s="18" t="s">
        <v>197</v>
      </c>
      <c r="D1890" s="17" t="s">
        <v>19</v>
      </c>
      <c r="E1890" s="17" t="s">
        <v>75</v>
      </c>
      <c r="F1890" s="17" t="s">
        <v>5996</v>
      </c>
      <c r="G1890" s="17" t="s">
        <v>199</v>
      </c>
      <c r="H1890" s="17" t="s">
        <v>34</v>
      </c>
      <c r="I1890" s="17" t="s">
        <v>1028</v>
      </c>
      <c r="J1890" s="17" t="s">
        <v>233</v>
      </c>
      <c r="K1890" s="19"/>
      <c r="L1890" s="19"/>
      <c r="M1890" s="19"/>
      <c r="N1890" s="19"/>
      <c r="O1890" s="17" t="n">
        <v>4</v>
      </c>
      <c r="P1890" s="18" t="s">
        <v>9060</v>
      </c>
      <c r="Q1890" s="18" t="s">
        <v>9085</v>
      </c>
      <c r="R1890" s="18" t="s">
        <v>9095</v>
      </c>
      <c r="S1890" s="17" t="s">
        <v>9036</v>
      </c>
      <c r="T1890" s="18" t="s">
        <v>9096</v>
      </c>
      <c r="U1890" s="19"/>
      <c r="V1890" s="18" t="s">
        <v>9097</v>
      </c>
      <c r="W1890" s="17" t="s">
        <v>5511</v>
      </c>
      <c r="X1890" s="17" t="s">
        <v>8845</v>
      </c>
      <c r="Y1890" s="17" t="s">
        <v>242</v>
      </c>
      <c r="Z1890" s="19"/>
      <c r="AA1890" s="19"/>
      <c r="AB1890" s="17"/>
      <c r="AC1890" s="19"/>
    </row>
    <row r="1891" customFormat="false" ht="43.25" hidden="false" customHeight="false" outlineLevel="0" collapsed="false">
      <c r="A1891" s="10" t="s">
        <v>9098</v>
      </c>
      <c r="B1891" s="17" t="s">
        <v>196</v>
      </c>
      <c r="C1891" s="18" t="s">
        <v>197</v>
      </c>
      <c r="D1891" s="17" t="s">
        <v>19</v>
      </c>
      <c r="E1891" s="17" t="s">
        <v>75</v>
      </c>
      <c r="F1891" s="17" t="s">
        <v>5996</v>
      </c>
      <c r="G1891" s="17" t="s">
        <v>199</v>
      </c>
      <c r="H1891" s="17" t="s">
        <v>34</v>
      </c>
      <c r="I1891" s="17" t="s">
        <v>1028</v>
      </c>
      <c r="J1891" s="17" t="s">
        <v>233</v>
      </c>
      <c r="K1891" s="19"/>
      <c r="L1891" s="19"/>
      <c r="M1891" s="19"/>
      <c r="N1891" s="19"/>
      <c r="O1891" s="17" t="n">
        <v>4</v>
      </c>
      <c r="P1891" s="18" t="s">
        <v>9060</v>
      </c>
      <c r="Q1891" s="18" t="s">
        <v>9085</v>
      </c>
      <c r="R1891" s="18" t="s">
        <v>9099</v>
      </c>
      <c r="S1891" s="17" t="s">
        <v>9094</v>
      </c>
      <c r="T1891" s="18" t="s">
        <v>9100</v>
      </c>
      <c r="U1891" s="19"/>
      <c r="V1891" s="18" t="s">
        <v>9101</v>
      </c>
      <c r="W1891" s="17" t="s">
        <v>5511</v>
      </c>
      <c r="X1891" s="17" t="s">
        <v>8845</v>
      </c>
      <c r="Y1891" s="17" t="s">
        <v>242</v>
      </c>
      <c r="Z1891" s="19"/>
      <c r="AA1891" s="19"/>
      <c r="AB1891" s="17"/>
      <c r="AC1891" s="19"/>
    </row>
    <row r="1892" customFormat="false" ht="43.25" hidden="false" customHeight="false" outlineLevel="0" collapsed="false">
      <c r="A1892" s="10" t="s">
        <v>9102</v>
      </c>
      <c r="B1892" s="17" t="s">
        <v>196</v>
      </c>
      <c r="C1892" s="18" t="s">
        <v>197</v>
      </c>
      <c r="D1892" s="17" t="s">
        <v>19</v>
      </c>
      <c r="E1892" s="17" t="s">
        <v>75</v>
      </c>
      <c r="F1892" s="17" t="s">
        <v>5996</v>
      </c>
      <c r="G1892" s="17" t="s">
        <v>199</v>
      </c>
      <c r="H1892" s="17" t="s">
        <v>34</v>
      </c>
      <c r="I1892" s="17" t="s">
        <v>5507</v>
      </c>
      <c r="J1892" s="17" t="s">
        <v>233</v>
      </c>
      <c r="K1892" s="19"/>
      <c r="L1892" s="19"/>
      <c r="M1892" s="19"/>
      <c r="N1892" s="19"/>
      <c r="O1892" s="17" t="n">
        <v>5</v>
      </c>
      <c r="P1892" s="18" t="s">
        <v>9060</v>
      </c>
      <c r="Q1892" s="18" t="s">
        <v>9085</v>
      </c>
      <c r="R1892" s="18" t="s">
        <v>9103</v>
      </c>
      <c r="S1892" s="17" t="s">
        <v>9104</v>
      </c>
      <c r="T1892" s="18" t="s">
        <v>9105</v>
      </c>
      <c r="U1892" s="19"/>
      <c r="V1892" s="18" t="s">
        <v>9106</v>
      </c>
      <c r="W1892" s="17" t="s">
        <v>5511</v>
      </c>
      <c r="X1892" s="17" t="s">
        <v>8845</v>
      </c>
      <c r="Y1892" s="17" t="s">
        <v>242</v>
      </c>
      <c r="Z1892" s="19"/>
      <c r="AA1892" s="19"/>
      <c r="AB1892" s="17"/>
      <c r="AC1892" s="19"/>
    </row>
    <row r="1893" customFormat="false" ht="43.25" hidden="false" customHeight="false" outlineLevel="0" collapsed="false">
      <c r="A1893" s="10" t="s">
        <v>9107</v>
      </c>
      <c r="B1893" s="17" t="s">
        <v>196</v>
      </c>
      <c r="C1893" s="18" t="s">
        <v>197</v>
      </c>
      <c r="D1893" s="17" t="s">
        <v>19</v>
      </c>
      <c r="E1893" s="17" t="s">
        <v>75</v>
      </c>
      <c r="F1893" s="17" t="s">
        <v>5996</v>
      </c>
      <c r="G1893" s="17" t="s">
        <v>199</v>
      </c>
      <c r="H1893" s="17" t="s">
        <v>34</v>
      </c>
      <c r="I1893" s="17" t="s">
        <v>1028</v>
      </c>
      <c r="J1893" s="17" t="s">
        <v>233</v>
      </c>
      <c r="K1893" s="19"/>
      <c r="L1893" s="19"/>
      <c r="M1893" s="19"/>
      <c r="N1893" s="19"/>
      <c r="O1893" s="17" t="n">
        <v>5</v>
      </c>
      <c r="P1893" s="18" t="s">
        <v>9060</v>
      </c>
      <c r="Q1893" s="18" t="s">
        <v>9085</v>
      </c>
      <c r="R1893" s="18" t="s">
        <v>9108</v>
      </c>
      <c r="S1893" s="17" t="s">
        <v>8926</v>
      </c>
      <c r="T1893" s="18" t="s">
        <v>9109</v>
      </c>
      <c r="U1893" s="19"/>
      <c r="V1893" s="18" t="s">
        <v>9110</v>
      </c>
      <c r="W1893" s="17" t="s">
        <v>5511</v>
      </c>
      <c r="X1893" s="17" t="s">
        <v>8845</v>
      </c>
      <c r="Y1893" s="17" t="s">
        <v>242</v>
      </c>
      <c r="Z1893" s="19"/>
      <c r="AA1893" s="19"/>
      <c r="AB1893" s="17"/>
      <c r="AC1893" s="19"/>
    </row>
    <row r="1894" customFormat="false" ht="22.35" hidden="false" customHeight="false" outlineLevel="0" collapsed="false">
      <c r="A1894" s="10" t="s">
        <v>9111</v>
      </c>
      <c r="B1894" s="17" t="s">
        <v>196</v>
      </c>
      <c r="C1894" s="18" t="s">
        <v>197</v>
      </c>
      <c r="D1894" s="17" t="s">
        <v>19</v>
      </c>
      <c r="E1894" s="17" t="s">
        <v>75</v>
      </c>
      <c r="F1894" s="17" t="s">
        <v>5996</v>
      </c>
      <c r="G1894" s="17" t="s">
        <v>199</v>
      </c>
      <c r="H1894" s="17" t="s">
        <v>34</v>
      </c>
      <c r="I1894" s="17" t="s">
        <v>1028</v>
      </c>
      <c r="J1894" s="17" t="s">
        <v>233</v>
      </c>
      <c r="K1894" s="19"/>
      <c r="L1894" s="19"/>
      <c r="M1894" s="19"/>
      <c r="N1894" s="19"/>
      <c r="O1894" s="17" t="n">
        <v>5</v>
      </c>
      <c r="P1894" s="18" t="s">
        <v>9060</v>
      </c>
      <c r="Q1894" s="18" t="s">
        <v>9085</v>
      </c>
      <c r="R1894" s="18" t="s">
        <v>9112</v>
      </c>
      <c r="S1894" s="17" t="s">
        <v>9107</v>
      </c>
      <c r="T1894" s="18" t="s">
        <v>8883</v>
      </c>
      <c r="U1894" s="19"/>
      <c r="V1894" s="18" t="s">
        <v>8884</v>
      </c>
      <c r="W1894" s="17" t="s">
        <v>5511</v>
      </c>
      <c r="X1894" s="17" t="s">
        <v>8845</v>
      </c>
      <c r="Y1894" s="17" t="s">
        <v>242</v>
      </c>
      <c r="Z1894" s="19"/>
      <c r="AA1894" s="19"/>
      <c r="AB1894" s="17"/>
      <c r="AC1894" s="19"/>
    </row>
    <row r="1895" customFormat="false" ht="32.8" hidden="false" customHeight="false" outlineLevel="0" collapsed="false">
      <c r="A1895" s="10" t="s">
        <v>9113</v>
      </c>
      <c r="B1895" s="17" t="s">
        <v>196</v>
      </c>
      <c r="C1895" s="18" t="s">
        <v>197</v>
      </c>
      <c r="D1895" s="17" t="s">
        <v>19</v>
      </c>
      <c r="E1895" s="17" t="s">
        <v>75</v>
      </c>
      <c r="F1895" s="17" t="s">
        <v>5996</v>
      </c>
      <c r="G1895" s="17" t="s">
        <v>199</v>
      </c>
      <c r="H1895" s="17" t="s">
        <v>34</v>
      </c>
      <c r="I1895" s="17" t="s">
        <v>1028</v>
      </c>
      <c r="J1895" s="17" t="s">
        <v>233</v>
      </c>
      <c r="K1895" s="19"/>
      <c r="L1895" s="19"/>
      <c r="M1895" s="19"/>
      <c r="N1895" s="19"/>
      <c r="O1895" s="17" t="n">
        <v>5</v>
      </c>
      <c r="P1895" s="18" t="s">
        <v>9114</v>
      </c>
      <c r="Q1895" s="18" t="s">
        <v>9115</v>
      </c>
      <c r="R1895" s="18" t="s">
        <v>9116</v>
      </c>
      <c r="S1895" s="17" t="s">
        <v>9053</v>
      </c>
      <c r="T1895" s="18" t="s">
        <v>9117</v>
      </c>
      <c r="U1895" s="19"/>
      <c r="V1895" s="18" t="s">
        <v>9118</v>
      </c>
      <c r="W1895" s="17" t="s">
        <v>5511</v>
      </c>
      <c r="X1895" s="17" t="s">
        <v>8845</v>
      </c>
      <c r="Y1895" s="17" t="s">
        <v>242</v>
      </c>
      <c r="Z1895" s="19"/>
      <c r="AA1895" s="19"/>
      <c r="AB1895" s="17"/>
      <c r="AC1895" s="19"/>
    </row>
    <row r="1896" customFormat="false" ht="43.25" hidden="false" customHeight="false" outlineLevel="0" collapsed="false">
      <c r="A1896" s="10" t="s">
        <v>9119</v>
      </c>
      <c r="B1896" s="17" t="s">
        <v>196</v>
      </c>
      <c r="C1896" s="18" t="s">
        <v>197</v>
      </c>
      <c r="D1896" s="17" t="s">
        <v>19</v>
      </c>
      <c r="E1896" s="17" t="s">
        <v>75</v>
      </c>
      <c r="F1896" s="17" t="s">
        <v>5996</v>
      </c>
      <c r="G1896" s="17" t="s">
        <v>199</v>
      </c>
      <c r="H1896" s="17" t="s">
        <v>34</v>
      </c>
      <c r="I1896" s="17" t="s">
        <v>1028</v>
      </c>
      <c r="J1896" s="17" t="s">
        <v>233</v>
      </c>
      <c r="K1896" s="19"/>
      <c r="L1896" s="19"/>
      <c r="M1896" s="19"/>
      <c r="N1896" s="19"/>
      <c r="O1896" s="17" t="n">
        <v>5</v>
      </c>
      <c r="P1896" s="18" t="s">
        <v>9114</v>
      </c>
      <c r="Q1896" s="18" t="s">
        <v>9115</v>
      </c>
      <c r="R1896" s="18" t="s">
        <v>9120</v>
      </c>
      <c r="S1896" s="17" t="s">
        <v>9113</v>
      </c>
      <c r="T1896" s="18" t="s">
        <v>9121</v>
      </c>
      <c r="U1896" s="19"/>
      <c r="V1896" s="18" t="s">
        <v>9122</v>
      </c>
      <c r="W1896" s="17" t="s">
        <v>5511</v>
      </c>
      <c r="X1896" s="17" t="s">
        <v>8845</v>
      </c>
      <c r="Y1896" s="17" t="s">
        <v>242</v>
      </c>
      <c r="Z1896" s="19"/>
      <c r="AA1896" s="19"/>
      <c r="AB1896" s="17"/>
      <c r="AC1896" s="19"/>
    </row>
    <row r="1897" customFormat="false" ht="32.8" hidden="false" customHeight="false" outlineLevel="0" collapsed="false">
      <c r="A1897" s="10" t="s">
        <v>9123</v>
      </c>
      <c r="B1897" s="17" t="s">
        <v>196</v>
      </c>
      <c r="C1897" s="18" t="s">
        <v>197</v>
      </c>
      <c r="D1897" s="17" t="s">
        <v>19</v>
      </c>
      <c r="E1897" s="17" t="s">
        <v>75</v>
      </c>
      <c r="F1897" s="17" t="s">
        <v>5996</v>
      </c>
      <c r="G1897" s="17" t="s">
        <v>199</v>
      </c>
      <c r="H1897" s="17" t="s">
        <v>34</v>
      </c>
      <c r="I1897" s="17" t="s">
        <v>5507</v>
      </c>
      <c r="J1897" s="17" t="s">
        <v>233</v>
      </c>
      <c r="K1897" s="19"/>
      <c r="L1897" s="19"/>
      <c r="M1897" s="19"/>
      <c r="N1897" s="19"/>
      <c r="O1897" s="17" t="n">
        <v>5</v>
      </c>
      <c r="P1897" s="18" t="s">
        <v>9114</v>
      </c>
      <c r="Q1897" s="18" t="s">
        <v>9115</v>
      </c>
      <c r="R1897" s="18" t="s">
        <v>9124</v>
      </c>
      <c r="S1897" s="17" t="s">
        <v>9125</v>
      </c>
      <c r="T1897" s="18" t="s">
        <v>9126</v>
      </c>
      <c r="U1897" s="19"/>
      <c r="V1897" s="18" t="s">
        <v>9127</v>
      </c>
      <c r="W1897" s="17" t="s">
        <v>5511</v>
      </c>
      <c r="X1897" s="17" t="s">
        <v>8845</v>
      </c>
      <c r="Y1897" s="17" t="s">
        <v>242</v>
      </c>
      <c r="Z1897" s="19"/>
      <c r="AA1897" s="19"/>
      <c r="AB1897" s="17"/>
      <c r="AC1897" s="19"/>
    </row>
    <row r="1898" customFormat="false" ht="32.8" hidden="false" customHeight="false" outlineLevel="0" collapsed="false">
      <c r="A1898" s="10" t="s">
        <v>9128</v>
      </c>
      <c r="B1898" s="17" t="s">
        <v>196</v>
      </c>
      <c r="C1898" s="18" t="s">
        <v>197</v>
      </c>
      <c r="D1898" s="17" t="s">
        <v>19</v>
      </c>
      <c r="E1898" s="17" t="s">
        <v>75</v>
      </c>
      <c r="F1898" s="17" t="s">
        <v>5996</v>
      </c>
      <c r="G1898" s="17" t="s">
        <v>199</v>
      </c>
      <c r="H1898" s="17" t="s">
        <v>34</v>
      </c>
      <c r="I1898" s="17" t="s">
        <v>283</v>
      </c>
      <c r="J1898" s="17" t="s">
        <v>233</v>
      </c>
      <c r="K1898" s="19"/>
      <c r="L1898" s="19"/>
      <c r="M1898" s="19"/>
      <c r="N1898" s="19"/>
      <c r="O1898" s="17" t="n">
        <v>5</v>
      </c>
      <c r="P1898" s="18" t="s">
        <v>9114</v>
      </c>
      <c r="Q1898" s="18" t="s">
        <v>9115</v>
      </c>
      <c r="R1898" s="18" t="s">
        <v>9129</v>
      </c>
      <c r="S1898" s="17" t="s">
        <v>9130</v>
      </c>
      <c r="T1898" s="18" t="s">
        <v>9131</v>
      </c>
      <c r="U1898" s="19"/>
      <c r="V1898" s="18" t="s">
        <v>9132</v>
      </c>
      <c r="W1898" s="17" t="s">
        <v>5511</v>
      </c>
      <c r="X1898" s="17" t="s">
        <v>8845</v>
      </c>
      <c r="Y1898" s="17" t="s">
        <v>242</v>
      </c>
      <c r="Z1898" s="19"/>
      <c r="AA1898" s="19"/>
      <c r="AB1898" s="17"/>
      <c r="AC1898" s="19"/>
    </row>
    <row r="1899" customFormat="false" ht="43.25" hidden="false" customHeight="false" outlineLevel="0" collapsed="false">
      <c r="A1899" s="10" t="s">
        <v>9133</v>
      </c>
      <c r="B1899" s="17" t="s">
        <v>196</v>
      </c>
      <c r="C1899" s="18" t="s">
        <v>197</v>
      </c>
      <c r="D1899" s="17" t="s">
        <v>19</v>
      </c>
      <c r="E1899" s="17" t="s">
        <v>75</v>
      </c>
      <c r="F1899" s="17" t="s">
        <v>5996</v>
      </c>
      <c r="G1899" s="17" t="s">
        <v>199</v>
      </c>
      <c r="H1899" s="17" t="s">
        <v>34</v>
      </c>
      <c r="I1899" s="17" t="s">
        <v>1028</v>
      </c>
      <c r="J1899" s="17" t="s">
        <v>233</v>
      </c>
      <c r="K1899" s="19"/>
      <c r="L1899" s="19"/>
      <c r="M1899" s="19"/>
      <c r="N1899" s="19"/>
      <c r="O1899" s="17" t="n">
        <v>5</v>
      </c>
      <c r="P1899" s="18" t="s">
        <v>9114</v>
      </c>
      <c r="Q1899" s="18" t="s">
        <v>9134</v>
      </c>
      <c r="R1899" s="18" t="s">
        <v>9135</v>
      </c>
      <c r="S1899" s="17" t="s">
        <v>9119</v>
      </c>
      <c r="T1899" s="18" t="s">
        <v>9136</v>
      </c>
      <c r="U1899" s="19"/>
      <c r="V1899" s="18" t="s">
        <v>9137</v>
      </c>
      <c r="W1899" s="17" t="s">
        <v>5511</v>
      </c>
      <c r="X1899" s="17" t="s">
        <v>8845</v>
      </c>
      <c r="Y1899" s="17" t="s">
        <v>242</v>
      </c>
      <c r="Z1899" s="19"/>
      <c r="AA1899" s="19"/>
      <c r="AB1899" s="17"/>
      <c r="AC1899" s="19"/>
    </row>
    <row r="1900" customFormat="false" ht="32.8" hidden="false" customHeight="false" outlineLevel="0" collapsed="false">
      <c r="A1900" s="10" t="s">
        <v>9138</v>
      </c>
      <c r="B1900" s="17" t="s">
        <v>196</v>
      </c>
      <c r="C1900" s="18" t="s">
        <v>197</v>
      </c>
      <c r="D1900" s="17" t="s">
        <v>19</v>
      </c>
      <c r="E1900" s="17" t="s">
        <v>75</v>
      </c>
      <c r="F1900" s="17" t="s">
        <v>5996</v>
      </c>
      <c r="G1900" s="17" t="s">
        <v>199</v>
      </c>
      <c r="H1900" s="17" t="s">
        <v>34</v>
      </c>
      <c r="I1900" s="17" t="s">
        <v>1028</v>
      </c>
      <c r="J1900" s="17" t="s">
        <v>233</v>
      </c>
      <c r="K1900" s="19"/>
      <c r="L1900" s="19"/>
      <c r="M1900" s="19"/>
      <c r="N1900" s="19"/>
      <c r="O1900" s="17" t="n">
        <v>5</v>
      </c>
      <c r="P1900" s="18" t="s">
        <v>9114</v>
      </c>
      <c r="Q1900" s="18" t="s">
        <v>9134</v>
      </c>
      <c r="R1900" s="18" t="s">
        <v>9139</v>
      </c>
      <c r="S1900" s="17" t="s">
        <v>9133</v>
      </c>
      <c r="T1900" s="18" t="s">
        <v>9140</v>
      </c>
      <c r="U1900" s="19"/>
      <c r="V1900" s="18" t="s">
        <v>9141</v>
      </c>
      <c r="W1900" s="17" t="s">
        <v>5511</v>
      </c>
      <c r="X1900" s="17" t="s">
        <v>8845</v>
      </c>
      <c r="Y1900" s="17" t="s">
        <v>242</v>
      </c>
      <c r="Z1900" s="19"/>
      <c r="AA1900" s="19"/>
      <c r="AB1900" s="17"/>
      <c r="AC1900" s="19"/>
    </row>
    <row r="1901" customFormat="false" ht="43.25" hidden="false" customHeight="false" outlineLevel="0" collapsed="false">
      <c r="A1901" s="10" t="s">
        <v>9142</v>
      </c>
      <c r="B1901" s="17" t="s">
        <v>196</v>
      </c>
      <c r="C1901" s="18" t="s">
        <v>197</v>
      </c>
      <c r="D1901" s="17" t="s">
        <v>19</v>
      </c>
      <c r="E1901" s="17" t="s">
        <v>75</v>
      </c>
      <c r="F1901" s="17" t="s">
        <v>5996</v>
      </c>
      <c r="G1901" s="17" t="s">
        <v>199</v>
      </c>
      <c r="H1901" s="17" t="s">
        <v>34</v>
      </c>
      <c r="I1901" s="17" t="s">
        <v>1786</v>
      </c>
      <c r="J1901" s="17" t="s">
        <v>233</v>
      </c>
      <c r="K1901" s="19"/>
      <c r="L1901" s="19"/>
      <c r="M1901" s="19"/>
      <c r="N1901" s="19"/>
      <c r="O1901" s="17" t="n">
        <v>5</v>
      </c>
      <c r="P1901" s="18" t="s">
        <v>9114</v>
      </c>
      <c r="Q1901" s="18" t="s">
        <v>9134</v>
      </c>
      <c r="R1901" s="18" t="s">
        <v>9143</v>
      </c>
      <c r="S1901" s="17" t="s">
        <v>9144</v>
      </c>
      <c r="T1901" s="18" t="s">
        <v>9145</v>
      </c>
      <c r="U1901" s="19"/>
      <c r="V1901" s="18" t="s">
        <v>9146</v>
      </c>
      <c r="W1901" s="17" t="s">
        <v>5511</v>
      </c>
      <c r="X1901" s="17" t="s">
        <v>8845</v>
      </c>
      <c r="Y1901" s="17" t="s">
        <v>242</v>
      </c>
      <c r="Z1901" s="19"/>
      <c r="AA1901" s="19"/>
      <c r="AB1901" s="17"/>
      <c r="AC1901" s="19"/>
    </row>
    <row r="1902" customFormat="false" ht="43.25" hidden="false" customHeight="false" outlineLevel="0" collapsed="false">
      <c r="A1902" s="10" t="s">
        <v>9147</v>
      </c>
      <c r="B1902" s="17" t="s">
        <v>196</v>
      </c>
      <c r="C1902" s="18" t="s">
        <v>197</v>
      </c>
      <c r="D1902" s="17" t="s">
        <v>19</v>
      </c>
      <c r="E1902" s="17" t="s">
        <v>75</v>
      </c>
      <c r="F1902" s="17" t="s">
        <v>5996</v>
      </c>
      <c r="G1902" s="17" t="s">
        <v>199</v>
      </c>
      <c r="H1902" s="17" t="s">
        <v>34</v>
      </c>
      <c r="I1902" s="17" t="s">
        <v>283</v>
      </c>
      <c r="J1902" s="17" t="s">
        <v>233</v>
      </c>
      <c r="K1902" s="19"/>
      <c r="L1902" s="19"/>
      <c r="M1902" s="19"/>
      <c r="N1902" s="19"/>
      <c r="O1902" s="17" t="n">
        <v>5</v>
      </c>
      <c r="P1902" s="18" t="s">
        <v>9114</v>
      </c>
      <c r="Q1902" s="18" t="s">
        <v>9134</v>
      </c>
      <c r="R1902" s="18" t="s">
        <v>9148</v>
      </c>
      <c r="S1902" s="17" t="s">
        <v>9142</v>
      </c>
      <c r="T1902" s="18" t="s">
        <v>9149</v>
      </c>
      <c r="U1902" s="19"/>
      <c r="V1902" s="18" t="s">
        <v>9150</v>
      </c>
      <c r="W1902" s="17" t="s">
        <v>5511</v>
      </c>
      <c r="X1902" s="17" t="s">
        <v>8845</v>
      </c>
      <c r="Y1902" s="17" t="s">
        <v>242</v>
      </c>
      <c r="Z1902" s="19"/>
      <c r="AA1902" s="19"/>
      <c r="AB1902" s="17"/>
      <c r="AC1902" s="19"/>
    </row>
    <row r="1903" customFormat="false" ht="32.8" hidden="false" customHeight="false" outlineLevel="0" collapsed="false">
      <c r="A1903" s="10" t="s">
        <v>9151</v>
      </c>
      <c r="B1903" s="17" t="s">
        <v>196</v>
      </c>
      <c r="C1903" s="18" t="s">
        <v>197</v>
      </c>
      <c r="D1903" s="17" t="s">
        <v>19</v>
      </c>
      <c r="E1903" s="17" t="s">
        <v>75</v>
      </c>
      <c r="F1903" s="17" t="s">
        <v>5996</v>
      </c>
      <c r="G1903" s="17" t="s">
        <v>199</v>
      </c>
      <c r="H1903" s="17" t="s">
        <v>34</v>
      </c>
      <c r="I1903" s="17" t="s">
        <v>1028</v>
      </c>
      <c r="J1903" s="17" t="s">
        <v>233</v>
      </c>
      <c r="K1903" s="19"/>
      <c r="L1903" s="19"/>
      <c r="M1903" s="19"/>
      <c r="N1903" s="19"/>
      <c r="O1903" s="17" t="n">
        <v>5</v>
      </c>
      <c r="P1903" s="18" t="s">
        <v>9114</v>
      </c>
      <c r="Q1903" s="18" t="s">
        <v>9134</v>
      </c>
      <c r="R1903" s="18" t="s">
        <v>9152</v>
      </c>
      <c r="S1903" s="17" t="s">
        <v>9153</v>
      </c>
      <c r="T1903" s="18" t="s">
        <v>9154</v>
      </c>
      <c r="U1903" s="19"/>
      <c r="V1903" s="18" t="s">
        <v>9155</v>
      </c>
      <c r="W1903" s="17" t="s">
        <v>5511</v>
      </c>
      <c r="X1903" s="17" t="s">
        <v>8845</v>
      </c>
      <c r="Y1903" s="17" t="s">
        <v>242</v>
      </c>
      <c r="Z1903" s="19"/>
      <c r="AA1903" s="19"/>
      <c r="AB1903" s="17"/>
      <c r="AC1903" s="19"/>
    </row>
    <row r="1904" customFormat="false" ht="32.8" hidden="false" customHeight="false" outlineLevel="0" collapsed="false">
      <c r="A1904" s="10" t="s">
        <v>9156</v>
      </c>
      <c r="B1904" s="17" t="s">
        <v>196</v>
      </c>
      <c r="C1904" s="18" t="s">
        <v>197</v>
      </c>
      <c r="D1904" s="17" t="s">
        <v>19</v>
      </c>
      <c r="E1904" s="17" t="s">
        <v>75</v>
      </c>
      <c r="F1904" s="17" t="s">
        <v>5996</v>
      </c>
      <c r="G1904" s="17" t="s">
        <v>199</v>
      </c>
      <c r="H1904" s="17" t="s">
        <v>34</v>
      </c>
      <c r="I1904" s="17" t="s">
        <v>1028</v>
      </c>
      <c r="J1904" s="17" t="s">
        <v>233</v>
      </c>
      <c r="K1904" s="19"/>
      <c r="L1904" s="19"/>
      <c r="M1904" s="19"/>
      <c r="N1904" s="19"/>
      <c r="O1904" s="17" t="n">
        <v>5</v>
      </c>
      <c r="P1904" s="18" t="s">
        <v>9114</v>
      </c>
      <c r="Q1904" s="18" t="s">
        <v>9134</v>
      </c>
      <c r="R1904" s="18" t="s">
        <v>9157</v>
      </c>
      <c r="S1904" s="17" t="s">
        <v>9151</v>
      </c>
      <c r="T1904" s="18" t="s">
        <v>8883</v>
      </c>
      <c r="U1904" s="19"/>
      <c r="V1904" s="18" t="s">
        <v>8884</v>
      </c>
      <c r="W1904" s="17" t="s">
        <v>5511</v>
      </c>
      <c r="X1904" s="17" t="s">
        <v>8845</v>
      </c>
      <c r="Y1904" s="17" t="s">
        <v>242</v>
      </c>
      <c r="Z1904" s="19"/>
      <c r="AA1904" s="19"/>
      <c r="AB1904" s="17"/>
      <c r="AC1904" s="19"/>
    </row>
    <row r="1905" customFormat="false" ht="43.25" hidden="false" customHeight="false" outlineLevel="0" collapsed="false">
      <c r="A1905" s="10" t="s">
        <v>9158</v>
      </c>
      <c r="B1905" s="17" t="s">
        <v>88</v>
      </c>
      <c r="C1905" s="18" t="s">
        <v>89</v>
      </c>
      <c r="D1905" s="17" t="s">
        <v>19</v>
      </c>
      <c r="E1905" s="17" t="s">
        <v>229</v>
      </c>
      <c r="F1905" s="17" t="s">
        <v>2777</v>
      </c>
      <c r="G1905" s="17" t="s">
        <v>90</v>
      </c>
      <c r="H1905" s="17" t="s">
        <v>31</v>
      </c>
      <c r="I1905" s="17" t="s">
        <v>2896</v>
      </c>
      <c r="J1905" s="17" t="s">
        <v>233</v>
      </c>
      <c r="K1905" s="19"/>
      <c r="L1905" s="19"/>
      <c r="M1905" s="19"/>
      <c r="N1905" s="19"/>
      <c r="O1905" s="17" t="n">
        <v>0</v>
      </c>
      <c r="P1905" s="18" t="s">
        <v>9159</v>
      </c>
      <c r="Q1905" s="18" t="s">
        <v>9160</v>
      </c>
      <c r="R1905" s="18" t="s">
        <v>9161</v>
      </c>
      <c r="S1905" s="17" t="s">
        <v>1938</v>
      </c>
      <c r="T1905" s="18" t="s">
        <v>9162</v>
      </c>
      <c r="U1905" s="19"/>
      <c r="V1905" s="18" t="s">
        <v>9163</v>
      </c>
      <c r="W1905" s="17" t="s">
        <v>240</v>
      </c>
      <c r="X1905" s="17" t="s">
        <v>8845</v>
      </c>
      <c r="Y1905" s="17" t="s">
        <v>242</v>
      </c>
      <c r="Z1905" s="19"/>
      <c r="AA1905" s="19"/>
      <c r="AB1905" s="17"/>
      <c r="AC1905" s="19"/>
    </row>
    <row r="1906" customFormat="false" ht="32.8" hidden="false" customHeight="false" outlineLevel="0" collapsed="false">
      <c r="A1906" s="10" t="s">
        <v>9164</v>
      </c>
      <c r="B1906" s="17" t="s">
        <v>88</v>
      </c>
      <c r="C1906" s="18" t="s">
        <v>89</v>
      </c>
      <c r="D1906" s="17" t="s">
        <v>19</v>
      </c>
      <c r="E1906" s="17" t="s">
        <v>229</v>
      </c>
      <c r="F1906" s="17" t="s">
        <v>2777</v>
      </c>
      <c r="G1906" s="17" t="s">
        <v>90</v>
      </c>
      <c r="H1906" s="17" t="s">
        <v>31</v>
      </c>
      <c r="I1906" s="17" t="s">
        <v>450</v>
      </c>
      <c r="J1906" s="17" t="s">
        <v>233</v>
      </c>
      <c r="K1906" s="19"/>
      <c r="L1906" s="19"/>
      <c r="M1906" s="19"/>
      <c r="N1906" s="19"/>
      <c r="O1906" s="17" t="n">
        <v>0</v>
      </c>
      <c r="P1906" s="18" t="s">
        <v>9159</v>
      </c>
      <c r="Q1906" s="18" t="s">
        <v>9160</v>
      </c>
      <c r="R1906" s="18" t="s">
        <v>9165</v>
      </c>
      <c r="S1906" s="17" t="s">
        <v>9166</v>
      </c>
      <c r="T1906" s="18" t="s">
        <v>9167</v>
      </c>
      <c r="U1906" s="19"/>
      <c r="V1906" s="18" t="s">
        <v>9168</v>
      </c>
      <c r="W1906" s="17" t="s">
        <v>240</v>
      </c>
      <c r="X1906" s="17" t="s">
        <v>8845</v>
      </c>
      <c r="Y1906" s="17" t="s">
        <v>242</v>
      </c>
      <c r="Z1906" s="19"/>
      <c r="AA1906" s="19"/>
      <c r="AB1906" s="17"/>
      <c r="AC1906" s="19"/>
    </row>
    <row r="1907" customFormat="false" ht="32.8" hidden="false" customHeight="false" outlineLevel="0" collapsed="false">
      <c r="A1907" s="10" t="s">
        <v>9169</v>
      </c>
      <c r="B1907" s="17" t="s">
        <v>88</v>
      </c>
      <c r="C1907" s="18" t="s">
        <v>89</v>
      </c>
      <c r="D1907" s="17" t="s">
        <v>19</v>
      </c>
      <c r="E1907" s="17" t="s">
        <v>75</v>
      </c>
      <c r="F1907" s="17" t="s">
        <v>2777</v>
      </c>
      <c r="G1907" s="17" t="s">
        <v>90</v>
      </c>
      <c r="H1907" s="17" t="s">
        <v>31</v>
      </c>
      <c r="I1907" s="17" t="s">
        <v>450</v>
      </c>
      <c r="J1907" s="17" t="s">
        <v>233</v>
      </c>
      <c r="K1907" s="19"/>
      <c r="L1907" s="19"/>
      <c r="M1907" s="19"/>
      <c r="N1907" s="19"/>
      <c r="O1907" s="17" t="n">
        <v>2</v>
      </c>
      <c r="P1907" s="18" t="s">
        <v>9159</v>
      </c>
      <c r="Q1907" s="18" t="s">
        <v>9160</v>
      </c>
      <c r="R1907" s="18" t="s">
        <v>9170</v>
      </c>
      <c r="S1907" s="17" t="s">
        <v>9171</v>
      </c>
      <c r="T1907" s="18" t="s">
        <v>9172</v>
      </c>
      <c r="U1907" s="19"/>
      <c r="V1907" s="18" t="s">
        <v>9173</v>
      </c>
      <c r="W1907" s="17" t="s">
        <v>240</v>
      </c>
      <c r="X1907" s="17" t="s">
        <v>8845</v>
      </c>
      <c r="Y1907" s="17" t="s">
        <v>242</v>
      </c>
      <c r="Z1907" s="19"/>
      <c r="AA1907" s="19"/>
      <c r="AB1907" s="17"/>
      <c r="AC1907" s="19"/>
    </row>
    <row r="1908" customFormat="false" ht="43.25" hidden="false" customHeight="false" outlineLevel="0" collapsed="false">
      <c r="A1908" s="10" t="s">
        <v>9174</v>
      </c>
      <c r="B1908" s="17" t="s">
        <v>88</v>
      </c>
      <c r="C1908" s="18" t="s">
        <v>89</v>
      </c>
      <c r="D1908" s="17" t="s">
        <v>19</v>
      </c>
      <c r="E1908" s="17" t="s">
        <v>229</v>
      </c>
      <c r="F1908" s="17" t="s">
        <v>2777</v>
      </c>
      <c r="G1908" s="17" t="s">
        <v>90</v>
      </c>
      <c r="H1908" s="17" t="s">
        <v>31</v>
      </c>
      <c r="I1908" s="17" t="s">
        <v>450</v>
      </c>
      <c r="J1908" s="17" t="s">
        <v>233</v>
      </c>
      <c r="K1908" s="19"/>
      <c r="L1908" s="19"/>
      <c r="M1908" s="19"/>
      <c r="N1908" s="19"/>
      <c r="O1908" s="17" t="n">
        <v>0</v>
      </c>
      <c r="P1908" s="18" t="s">
        <v>9159</v>
      </c>
      <c r="Q1908" s="18" t="s">
        <v>9175</v>
      </c>
      <c r="R1908" s="18" t="s">
        <v>9176</v>
      </c>
      <c r="S1908" s="17" t="s">
        <v>9164</v>
      </c>
      <c r="T1908" s="18" t="s">
        <v>9177</v>
      </c>
      <c r="U1908" s="19"/>
      <c r="V1908" s="18" t="s">
        <v>9178</v>
      </c>
      <c r="W1908" s="17" t="s">
        <v>240</v>
      </c>
      <c r="X1908" s="17" t="s">
        <v>8845</v>
      </c>
      <c r="Y1908" s="17" t="s">
        <v>242</v>
      </c>
      <c r="Z1908" s="19"/>
      <c r="AA1908" s="19"/>
      <c r="AB1908" s="17"/>
      <c r="AC1908" s="19"/>
    </row>
    <row r="1909" customFormat="false" ht="32.8" hidden="false" customHeight="false" outlineLevel="0" collapsed="false">
      <c r="A1909" s="10" t="s">
        <v>9179</v>
      </c>
      <c r="B1909" s="17" t="s">
        <v>88</v>
      </c>
      <c r="C1909" s="18" t="s">
        <v>89</v>
      </c>
      <c r="D1909" s="17" t="s">
        <v>19</v>
      </c>
      <c r="E1909" s="17" t="s">
        <v>75</v>
      </c>
      <c r="F1909" s="17" t="s">
        <v>2777</v>
      </c>
      <c r="G1909" s="17" t="s">
        <v>90</v>
      </c>
      <c r="H1909" s="17" t="s">
        <v>31</v>
      </c>
      <c r="I1909" s="17" t="s">
        <v>450</v>
      </c>
      <c r="J1909" s="17" t="s">
        <v>233</v>
      </c>
      <c r="K1909" s="19"/>
      <c r="L1909" s="19"/>
      <c r="M1909" s="19"/>
      <c r="N1909" s="19"/>
      <c r="O1909" s="17" t="n">
        <v>2</v>
      </c>
      <c r="P1909" s="18" t="s">
        <v>9159</v>
      </c>
      <c r="Q1909" s="18" t="s">
        <v>9175</v>
      </c>
      <c r="R1909" s="18" t="s">
        <v>9180</v>
      </c>
      <c r="S1909" s="17" t="s">
        <v>9181</v>
      </c>
      <c r="T1909" s="18" t="s">
        <v>9182</v>
      </c>
      <c r="U1909" s="19"/>
      <c r="V1909" s="18" t="s">
        <v>9183</v>
      </c>
      <c r="W1909" s="17" t="s">
        <v>240</v>
      </c>
      <c r="X1909" s="17" t="s">
        <v>8845</v>
      </c>
      <c r="Y1909" s="17" t="s">
        <v>242</v>
      </c>
      <c r="Z1909" s="19"/>
      <c r="AA1909" s="19"/>
      <c r="AB1909" s="17"/>
      <c r="AC1909" s="19"/>
    </row>
    <row r="1910" customFormat="false" ht="32.8" hidden="false" customHeight="false" outlineLevel="0" collapsed="false">
      <c r="A1910" s="10" t="s">
        <v>9184</v>
      </c>
      <c r="B1910" s="17" t="s">
        <v>88</v>
      </c>
      <c r="C1910" s="18" t="s">
        <v>89</v>
      </c>
      <c r="D1910" s="17" t="s">
        <v>19</v>
      </c>
      <c r="E1910" s="17" t="s">
        <v>75</v>
      </c>
      <c r="F1910" s="17" t="s">
        <v>2777</v>
      </c>
      <c r="G1910" s="17" t="s">
        <v>90</v>
      </c>
      <c r="H1910" s="17" t="s">
        <v>31</v>
      </c>
      <c r="I1910" s="17" t="s">
        <v>450</v>
      </c>
      <c r="J1910" s="17" t="s">
        <v>233</v>
      </c>
      <c r="K1910" s="19"/>
      <c r="L1910" s="19"/>
      <c r="M1910" s="19"/>
      <c r="N1910" s="19"/>
      <c r="O1910" s="17" t="n">
        <v>2</v>
      </c>
      <c r="P1910" s="18" t="s">
        <v>9159</v>
      </c>
      <c r="Q1910" s="18" t="s">
        <v>9175</v>
      </c>
      <c r="R1910" s="18" t="s">
        <v>9185</v>
      </c>
      <c r="S1910" s="17" t="s">
        <v>9179</v>
      </c>
      <c r="T1910" s="18" t="s">
        <v>9186</v>
      </c>
      <c r="U1910" s="19"/>
      <c r="V1910" s="18" t="s">
        <v>9187</v>
      </c>
      <c r="W1910" s="17" t="s">
        <v>240</v>
      </c>
      <c r="X1910" s="17" t="s">
        <v>8845</v>
      </c>
      <c r="Y1910" s="17" t="s">
        <v>242</v>
      </c>
      <c r="Z1910" s="19"/>
      <c r="AA1910" s="19"/>
      <c r="AB1910" s="17"/>
      <c r="AC1910" s="19"/>
    </row>
    <row r="1911" customFormat="false" ht="43.25" hidden="false" customHeight="false" outlineLevel="0" collapsed="false">
      <c r="A1911" s="10" t="s">
        <v>9188</v>
      </c>
      <c r="B1911" s="17" t="s">
        <v>88</v>
      </c>
      <c r="C1911" s="18" t="s">
        <v>89</v>
      </c>
      <c r="D1911" s="17" t="s">
        <v>19</v>
      </c>
      <c r="E1911" s="17" t="s">
        <v>229</v>
      </c>
      <c r="F1911" s="17" t="s">
        <v>2777</v>
      </c>
      <c r="G1911" s="17" t="s">
        <v>90</v>
      </c>
      <c r="H1911" s="17" t="s">
        <v>31</v>
      </c>
      <c r="I1911" s="17" t="s">
        <v>450</v>
      </c>
      <c r="J1911" s="17" t="s">
        <v>233</v>
      </c>
      <c r="K1911" s="19"/>
      <c r="L1911" s="19"/>
      <c r="M1911" s="19"/>
      <c r="N1911" s="19"/>
      <c r="O1911" s="17" t="n">
        <v>0</v>
      </c>
      <c r="P1911" s="18" t="s">
        <v>9159</v>
      </c>
      <c r="Q1911" s="18" t="s">
        <v>9175</v>
      </c>
      <c r="R1911" s="18" t="s">
        <v>9189</v>
      </c>
      <c r="S1911" s="17" t="s">
        <v>9164</v>
      </c>
      <c r="T1911" s="18" t="s">
        <v>9190</v>
      </c>
      <c r="U1911" s="19"/>
      <c r="V1911" s="18" t="s">
        <v>9191</v>
      </c>
      <c r="W1911" s="17" t="s">
        <v>240</v>
      </c>
      <c r="X1911" s="17" t="s">
        <v>8845</v>
      </c>
      <c r="Y1911" s="17" t="s">
        <v>242</v>
      </c>
      <c r="Z1911" s="19"/>
      <c r="AA1911" s="19"/>
      <c r="AB1911" s="17"/>
      <c r="AC1911" s="19"/>
    </row>
    <row r="1912" customFormat="false" ht="32.8" hidden="false" customHeight="false" outlineLevel="0" collapsed="false">
      <c r="A1912" s="10" t="s">
        <v>9192</v>
      </c>
      <c r="B1912" s="17" t="s">
        <v>88</v>
      </c>
      <c r="C1912" s="18" t="s">
        <v>89</v>
      </c>
      <c r="D1912" s="17" t="s">
        <v>19</v>
      </c>
      <c r="E1912" s="17" t="s">
        <v>75</v>
      </c>
      <c r="F1912" s="17" t="s">
        <v>2777</v>
      </c>
      <c r="G1912" s="17" t="s">
        <v>90</v>
      </c>
      <c r="H1912" s="17" t="s">
        <v>31</v>
      </c>
      <c r="I1912" s="17" t="s">
        <v>450</v>
      </c>
      <c r="J1912" s="17" t="s">
        <v>233</v>
      </c>
      <c r="K1912" s="19"/>
      <c r="L1912" s="19"/>
      <c r="M1912" s="19"/>
      <c r="N1912" s="19"/>
      <c r="O1912" s="17" t="n">
        <v>2</v>
      </c>
      <c r="P1912" s="18" t="s">
        <v>9159</v>
      </c>
      <c r="Q1912" s="18" t="s">
        <v>9175</v>
      </c>
      <c r="R1912" s="18" t="s">
        <v>9193</v>
      </c>
      <c r="S1912" s="17" t="s">
        <v>9188</v>
      </c>
      <c r="T1912" s="18" t="s">
        <v>9194</v>
      </c>
      <c r="U1912" s="19"/>
      <c r="V1912" s="18" t="s">
        <v>9195</v>
      </c>
      <c r="W1912" s="17" t="s">
        <v>240</v>
      </c>
      <c r="X1912" s="17" t="s">
        <v>8845</v>
      </c>
      <c r="Y1912" s="17" t="s">
        <v>242</v>
      </c>
      <c r="Z1912" s="19"/>
      <c r="AA1912" s="19"/>
      <c r="AB1912" s="17"/>
      <c r="AC1912" s="19"/>
    </row>
    <row r="1913" customFormat="false" ht="32.8" hidden="false" customHeight="false" outlineLevel="0" collapsed="false">
      <c r="A1913" s="10" t="s">
        <v>9196</v>
      </c>
      <c r="B1913" s="17" t="s">
        <v>88</v>
      </c>
      <c r="C1913" s="18" t="s">
        <v>89</v>
      </c>
      <c r="D1913" s="17" t="s">
        <v>19</v>
      </c>
      <c r="E1913" s="17" t="s">
        <v>75</v>
      </c>
      <c r="F1913" s="17" t="s">
        <v>2777</v>
      </c>
      <c r="G1913" s="17" t="s">
        <v>90</v>
      </c>
      <c r="H1913" s="17" t="s">
        <v>31</v>
      </c>
      <c r="I1913" s="17" t="s">
        <v>232</v>
      </c>
      <c r="J1913" s="17" t="s">
        <v>233</v>
      </c>
      <c r="K1913" s="19"/>
      <c r="L1913" s="19"/>
      <c r="M1913" s="19"/>
      <c r="N1913" s="19"/>
      <c r="O1913" s="17" t="n">
        <v>2</v>
      </c>
      <c r="P1913" s="18" t="s">
        <v>9159</v>
      </c>
      <c r="Q1913" s="18" t="s">
        <v>9175</v>
      </c>
      <c r="R1913" s="18" t="s">
        <v>9197</v>
      </c>
      <c r="S1913" s="17" t="s">
        <v>9198</v>
      </c>
      <c r="T1913" s="18" t="s">
        <v>9199</v>
      </c>
      <c r="U1913" s="19"/>
      <c r="V1913" s="18" t="s">
        <v>9200</v>
      </c>
      <c r="W1913" s="17" t="s">
        <v>240</v>
      </c>
      <c r="X1913" s="17" t="s">
        <v>8845</v>
      </c>
      <c r="Y1913" s="17" t="s">
        <v>242</v>
      </c>
      <c r="Z1913" s="19"/>
      <c r="AA1913" s="19"/>
      <c r="AB1913" s="17"/>
      <c r="AC1913" s="19"/>
    </row>
    <row r="1914" customFormat="false" ht="22.35" hidden="false" customHeight="false" outlineLevel="0" collapsed="false">
      <c r="A1914" s="10" t="s">
        <v>9201</v>
      </c>
      <c r="B1914" s="17" t="s">
        <v>88</v>
      </c>
      <c r="C1914" s="18" t="s">
        <v>89</v>
      </c>
      <c r="D1914" s="17" t="s">
        <v>19</v>
      </c>
      <c r="E1914" s="17" t="s">
        <v>75</v>
      </c>
      <c r="F1914" s="17" t="s">
        <v>2777</v>
      </c>
      <c r="G1914" s="17" t="s">
        <v>90</v>
      </c>
      <c r="H1914" s="17" t="s">
        <v>31</v>
      </c>
      <c r="I1914" s="17" t="s">
        <v>1028</v>
      </c>
      <c r="J1914" s="17" t="s">
        <v>233</v>
      </c>
      <c r="K1914" s="19"/>
      <c r="L1914" s="19"/>
      <c r="M1914" s="19"/>
      <c r="N1914" s="19"/>
      <c r="O1914" s="17" t="n">
        <v>2</v>
      </c>
      <c r="P1914" s="18" t="s">
        <v>9159</v>
      </c>
      <c r="Q1914" s="18" t="s">
        <v>9175</v>
      </c>
      <c r="R1914" s="18" t="s">
        <v>9202</v>
      </c>
      <c r="S1914" s="17" t="s">
        <v>9196</v>
      </c>
      <c r="T1914" s="18" t="s">
        <v>8883</v>
      </c>
      <c r="U1914" s="19"/>
      <c r="V1914" s="18" t="s">
        <v>8884</v>
      </c>
      <c r="W1914" s="17" t="s">
        <v>240</v>
      </c>
      <c r="X1914" s="17" t="s">
        <v>8845</v>
      </c>
      <c r="Y1914" s="17" t="s">
        <v>242</v>
      </c>
      <c r="Z1914" s="19"/>
      <c r="AA1914" s="19"/>
      <c r="AB1914" s="17"/>
      <c r="AC1914" s="19"/>
    </row>
    <row r="1915" customFormat="false" ht="43.25" hidden="false" customHeight="false" outlineLevel="0" collapsed="false">
      <c r="A1915" s="10" t="s">
        <v>9203</v>
      </c>
      <c r="B1915" s="17" t="s">
        <v>88</v>
      </c>
      <c r="C1915" s="18" t="s">
        <v>89</v>
      </c>
      <c r="D1915" s="17" t="s">
        <v>19</v>
      </c>
      <c r="E1915" s="17" t="s">
        <v>75</v>
      </c>
      <c r="F1915" s="17" t="s">
        <v>2777</v>
      </c>
      <c r="G1915" s="17" t="s">
        <v>90</v>
      </c>
      <c r="H1915" s="17" t="s">
        <v>31</v>
      </c>
      <c r="I1915" s="17" t="s">
        <v>2896</v>
      </c>
      <c r="J1915" s="17" t="s">
        <v>233</v>
      </c>
      <c r="K1915" s="19"/>
      <c r="L1915" s="19"/>
      <c r="M1915" s="19"/>
      <c r="N1915" s="19"/>
      <c r="O1915" s="17" t="n">
        <v>2</v>
      </c>
      <c r="P1915" s="18" t="s">
        <v>9204</v>
      </c>
      <c r="Q1915" s="18" t="s">
        <v>9205</v>
      </c>
      <c r="R1915" s="18" t="s">
        <v>9206</v>
      </c>
      <c r="S1915" s="17" t="s">
        <v>9198</v>
      </c>
      <c r="T1915" s="18" t="s">
        <v>9207</v>
      </c>
      <c r="U1915" s="19"/>
      <c r="V1915" s="18" t="s">
        <v>9208</v>
      </c>
      <c r="W1915" s="17" t="s">
        <v>240</v>
      </c>
      <c r="X1915" s="17" t="s">
        <v>8845</v>
      </c>
      <c r="Y1915" s="17" t="s">
        <v>242</v>
      </c>
      <c r="Z1915" s="19"/>
      <c r="AA1915" s="19"/>
      <c r="AB1915" s="17"/>
      <c r="AC1915" s="19"/>
    </row>
    <row r="1916" customFormat="false" ht="32.8" hidden="false" customHeight="false" outlineLevel="0" collapsed="false">
      <c r="A1916" s="10" t="s">
        <v>9209</v>
      </c>
      <c r="B1916" s="17" t="s">
        <v>88</v>
      </c>
      <c r="C1916" s="18" t="s">
        <v>89</v>
      </c>
      <c r="D1916" s="17" t="s">
        <v>19</v>
      </c>
      <c r="E1916" s="17" t="s">
        <v>75</v>
      </c>
      <c r="F1916" s="17" t="s">
        <v>2777</v>
      </c>
      <c r="G1916" s="17" t="s">
        <v>90</v>
      </c>
      <c r="H1916" s="17" t="s">
        <v>31</v>
      </c>
      <c r="I1916" s="17" t="s">
        <v>2896</v>
      </c>
      <c r="J1916" s="17" t="s">
        <v>233</v>
      </c>
      <c r="K1916" s="19"/>
      <c r="L1916" s="19"/>
      <c r="M1916" s="19"/>
      <c r="N1916" s="19"/>
      <c r="O1916" s="17" t="n">
        <v>2</v>
      </c>
      <c r="P1916" s="18" t="s">
        <v>9204</v>
      </c>
      <c r="Q1916" s="18" t="s">
        <v>9205</v>
      </c>
      <c r="R1916" s="18" t="s">
        <v>9210</v>
      </c>
      <c r="S1916" s="17" t="s">
        <v>9203</v>
      </c>
      <c r="T1916" s="18" t="s">
        <v>9211</v>
      </c>
      <c r="U1916" s="19"/>
      <c r="V1916" s="18" t="s">
        <v>9212</v>
      </c>
      <c r="W1916" s="17" t="s">
        <v>240</v>
      </c>
      <c r="X1916" s="17" t="s">
        <v>8845</v>
      </c>
      <c r="Y1916" s="17" t="s">
        <v>242</v>
      </c>
      <c r="Z1916" s="19"/>
      <c r="AA1916" s="19"/>
      <c r="AB1916" s="17"/>
      <c r="AC1916" s="19"/>
    </row>
    <row r="1917" customFormat="false" ht="43.25" hidden="false" customHeight="false" outlineLevel="0" collapsed="false">
      <c r="A1917" s="10" t="s">
        <v>9213</v>
      </c>
      <c r="B1917" s="17" t="s">
        <v>88</v>
      </c>
      <c r="C1917" s="18" t="s">
        <v>89</v>
      </c>
      <c r="D1917" s="17" t="s">
        <v>19</v>
      </c>
      <c r="E1917" s="17" t="s">
        <v>75</v>
      </c>
      <c r="F1917" s="17" t="s">
        <v>2777</v>
      </c>
      <c r="G1917" s="17" t="s">
        <v>90</v>
      </c>
      <c r="H1917" s="17" t="s">
        <v>31</v>
      </c>
      <c r="I1917" s="17" t="s">
        <v>316</v>
      </c>
      <c r="J1917" s="17" t="s">
        <v>233</v>
      </c>
      <c r="K1917" s="19"/>
      <c r="L1917" s="19"/>
      <c r="M1917" s="19"/>
      <c r="N1917" s="19"/>
      <c r="O1917" s="17" t="n">
        <v>2</v>
      </c>
      <c r="P1917" s="18" t="s">
        <v>9204</v>
      </c>
      <c r="Q1917" s="18" t="s">
        <v>9205</v>
      </c>
      <c r="R1917" s="18" t="s">
        <v>9214</v>
      </c>
      <c r="S1917" s="17" t="s">
        <v>9209</v>
      </c>
      <c r="T1917" s="18" t="s">
        <v>9215</v>
      </c>
      <c r="U1917" s="19"/>
      <c r="V1917" s="18" t="s">
        <v>9216</v>
      </c>
      <c r="W1917" s="17" t="s">
        <v>240</v>
      </c>
      <c r="X1917" s="17" t="s">
        <v>8845</v>
      </c>
      <c r="Y1917" s="17" t="s">
        <v>242</v>
      </c>
      <c r="Z1917" s="19"/>
      <c r="AA1917" s="19"/>
      <c r="AB1917" s="17"/>
      <c r="AC1917" s="19"/>
    </row>
    <row r="1918" customFormat="false" ht="32.8" hidden="false" customHeight="false" outlineLevel="0" collapsed="false">
      <c r="A1918" s="10" t="s">
        <v>9217</v>
      </c>
      <c r="B1918" s="17" t="s">
        <v>88</v>
      </c>
      <c r="C1918" s="18" t="s">
        <v>89</v>
      </c>
      <c r="D1918" s="17" t="s">
        <v>19</v>
      </c>
      <c r="E1918" s="17" t="s">
        <v>75</v>
      </c>
      <c r="F1918" s="17" t="s">
        <v>2777</v>
      </c>
      <c r="G1918" s="17" t="s">
        <v>90</v>
      </c>
      <c r="H1918" s="17" t="s">
        <v>31</v>
      </c>
      <c r="I1918" s="17" t="s">
        <v>232</v>
      </c>
      <c r="J1918" s="17" t="s">
        <v>233</v>
      </c>
      <c r="K1918" s="19"/>
      <c r="L1918" s="19"/>
      <c r="M1918" s="19"/>
      <c r="N1918" s="19"/>
      <c r="O1918" s="17" t="n">
        <v>2</v>
      </c>
      <c r="P1918" s="18" t="s">
        <v>9204</v>
      </c>
      <c r="Q1918" s="18" t="s">
        <v>9205</v>
      </c>
      <c r="R1918" s="18" t="s">
        <v>9218</v>
      </c>
      <c r="S1918" s="17" t="s">
        <v>9213</v>
      </c>
      <c r="T1918" s="18" t="s">
        <v>9219</v>
      </c>
      <c r="U1918" s="19"/>
      <c r="V1918" s="18" t="s">
        <v>9220</v>
      </c>
      <c r="W1918" s="17" t="s">
        <v>240</v>
      </c>
      <c r="X1918" s="17" t="s">
        <v>8845</v>
      </c>
      <c r="Y1918" s="17" t="s">
        <v>242</v>
      </c>
      <c r="Z1918" s="19"/>
      <c r="AA1918" s="19"/>
      <c r="AB1918" s="17"/>
      <c r="AC1918" s="19"/>
    </row>
    <row r="1919" customFormat="false" ht="32.8" hidden="false" customHeight="false" outlineLevel="0" collapsed="false">
      <c r="A1919" s="10" t="s">
        <v>9221</v>
      </c>
      <c r="B1919" s="17" t="s">
        <v>88</v>
      </c>
      <c r="C1919" s="18" t="s">
        <v>89</v>
      </c>
      <c r="D1919" s="17" t="s">
        <v>19</v>
      </c>
      <c r="E1919" s="17" t="s">
        <v>229</v>
      </c>
      <c r="F1919" s="17" t="s">
        <v>2777</v>
      </c>
      <c r="G1919" s="17" t="s">
        <v>90</v>
      </c>
      <c r="H1919" s="17" t="s">
        <v>31</v>
      </c>
      <c r="I1919" s="17" t="s">
        <v>1028</v>
      </c>
      <c r="J1919" s="17" t="s">
        <v>233</v>
      </c>
      <c r="K1919" s="19"/>
      <c r="L1919" s="19"/>
      <c r="M1919" s="19"/>
      <c r="N1919" s="19"/>
      <c r="O1919" s="17" t="n">
        <v>0</v>
      </c>
      <c r="P1919" s="18" t="s">
        <v>9204</v>
      </c>
      <c r="Q1919" s="18" t="s">
        <v>9222</v>
      </c>
      <c r="R1919" s="18" t="s">
        <v>9223</v>
      </c>
      <c r="S1919" s="17" t="s">
        <v>9224</v>
      </c>
      <c r="T1919" s="18" t="s">
        <v>9225</v>
      </c>
      <c r="U1919" s="19"/>
      <c r="V1919" s="18" t="s">
        <v>9226</v>
      </c>
      <c r="W1919" s="17" t="s">
        <v>240</v>
      </c>
      <c r="X1919" s="17" t="s">
        <v>8845</v>
      </c>
      <c r="Y1919" s="17" t="s">
        <v>242</v>
      </c>
      <c r="Z1919" s="19"/>
      <c r="AA1919" s="19"/>
      <c r="AB1919" s="17" t="s">
        <v>1681</v>
      </c>
      <c r="AC1919" s="19"/>
    </row>
    <row r="1920" customFormat="false" ht="43.25" hidden="false" customHeight="false" outlineLevel="0" collapsed="false">
      <c r="A1920" s="10" t="s">
        <v>9227</v>
      </c>
      <c r="B1920" s="17" t="s">
        <v>88</v>
      </c>
      <c r="C1920" s="18" t="s">
        <v>89</v>
      </c>
      <c r="D1920" s="17" t="s">
        <v>19</v>
      </c>
      <c r="E1920" s="17" t="s">
        <v>229</v>
      </c>
      <c r="F1920" s="17" t="s">
        <v>2777</v>
      </c>
      <c r="G1920" s="17" t="s">
        <v>90</v>
      </c>
      <c r="H1920" s="17" t="s">
        <v>31</v>
      </c>
      <c r="I1920" s="17" t="s">
        <v>1028</v>
      </c>
      <c r="J1920" s="17" t="s">
        <v>233</v>
      </c>
      <c r="K1920" s="19"/>
      <c r="L1920" s="19"/>
      <c r="M1920" s="19"/>
      <c r="N1920" s="19"/>
      <c r="O1920" s="17" t="n">
        <v>0</v>
      </c>
      <c r="P1920" s="18" t="s">
        <v>9204</v>
      </c>
      <c r="Q1920" s="18" t="s">
        <v>9222</v>
      </c>
      <c r="R1920" s="18" t="s">
        <v>9228</v>
      </c>
      <c r="S1920" s="17" t="s">
        <v>9229</v>
      </c>
      <c r="T1920" s="18" t="s">
        <v>9230</v>
      </c>
      <c r="U1920" s="19"/>
      <c r="V1920" s="18" t="s">
        <v>9231</v>
      </c>
      <c r="W1920" s="17" t="s">
        <v>240</v>
      </c>
      <c r="X1920" s="17" t="s">
        <v>8845</v>
      </c>
      <c r="Y1920" s="17" t="s">
        <v>242</v>
      </c>
      <c r="Z1920" s="19"/>
      <c r="AA1920" s="19"/>
      <c r="AB1920" s="17"/>
      <c r="AC1920" s="19"/>
    </row>
    <row r="1921" customFormat="false" ht="32.8" hidden="false" customHeight="false" outlineLevel="0" collapsed="false">
      <c r="A1921" s="10" t="s">
        <v>9232</v>
      </c>
      <c r="B1921" s="17" t="s">
        <v>88</v>
      </c>
      <c r="C1921" s="18" t="s">
        <v>89</v>
      </c>
      <c r="D1921" s="17" t="s">
        <v>19</v>
      </c>
      <c r="E1921" s="17" t="s">
        <v>75</v>
      </c>
      <c r="F1921" s="17" t="s">
        <v>2777</v>
      </c>
      <c r="G1921" s="17" t="s">
        <v>90</v>
      </c>
      <c r="H1921" s="17" t="s">
        <v>31</v>
      </c>
      <c r="I1921" s="17" t="s">
        <v>893</v>
      </c>
      <c r="J1921" s="17" t="s">
        <v>233</v>
      </c>
      <c r="K1921" s="19"/>
      <c r="L1921" s="19"/>
      <c r="M1921" s="19"/>
      <c r="N1921" s="19"/>
      <c r="O1921" s="17" t="n">
        <v>2</v>
      </c>
      <c r="P1921" s="18" t="s">
        <v>9204</v>
      </c>
      <c r="Q1921" s="18" t="s">
        <v>9222</v>
      </c>
      <c r="R1921" s="18" t="s">
        <v>9233</v>
      </c>
      <c r="S1921" s="17" t="s">
        <v>9227</v>
      </c>
      <c r="T1921" s="18" t="s">
        <v>9234</v>
      </c>
      <c r="U1921" s="19"/>
      <c r="V1921" s="18" t="s">
        <v>9235</v>
      </c>
      <c r="W1921" s="17" t="s">
        <v>240</v>
      </c>
      <c r="X1921" s="17" t="s">
        <v>8845</v>
      </c>
      <c r="Y1921" s="17" t="s">
        <v>242</v>
      </c>
      <c r="Z1921" s="19"/>
      <c r="AA1921" s="19"/>
      <c r="AB1921" s="17"/>
      <c r="AC1921" s="19"/>
    </row>
    <row r="1922" customFormat="false" ht="22.35" hidden="false" customHeight="false" outlineLevel="0" collapsed="false">
      <c r="A1922" s="10" t="s">
        <v>9236</v>
      </c>
      <c r="B1922" s="17" t="s">
        <v>88</v>
      </c>
      <c r="C1922" s="18" t="s">
        <v>89</v>
      </c>
      <c r="D1922" s="17" t="s">
        <v>19</v>
      </c>
      <c r="E1922" s="17" t="s">
        <v>75</v>
      </c>
      <c r="F1922" s="17" t="s">
        <v>2777</v>
      </c>
      <c r="G1922" s="17" t="s">
        <v>90</v>
      </c>
      <c r="H1922" s="17" t="s">
        <v>31</v>
      </c>
      <c r="I1922" s="17" t="s">
        <v>1028</v>
      </c>
      <c r="J1922" s="17" t="s">
        <v>233</v>
      </c>
      <c r="K1922" s="19"/>
      <c r="L1922" s="19"/>
      <c r="M1922" s="19"/>
      <c r="N1922" s="19"/>
      <c r="O1922" s="17" t="n">
        <v>2</v>
      </c>
      <c r="P1922" s="18" t="s">
        <v>9204</v>
      </c>
      <c r="Q1922" s="18" t="s">
        <v>9222</v>
      </c>
      <c r="R1922" s="18" t="s">
        <v>9237</v>
      </c>
      <c r="S1922" s="17" t="s">
        <v>9232</v>
      </c>
      <c r="T1922" s="18" t="s">
        <v>8883</v>
      </c>
      <c r="U1922" s="19"/>
      <c r="V1922" s="18" t="s">
        <v>8884</v>
      </c>
      <c r="W1922" s="17" t="s">
        <v>240</v>
      </c>
      <c r="X1922" s="17" t="s">
        <v>8845</v>
      </c>
      <c r="Y1922" s="17" t="s">
        <v>242</v>
      </c>
      <c r="Z1922" s="19"/>
      <c r="AA1922" s="19"/>
      <c r="AB1922" s="17"/>
      <c r="AC1922" s="19"/>
    </row>
    <row r="1923" customFormat="false" ht="32.8" hidden="false" customHeight="false" outlineLevel="0" collapsed="false">
      <c r="A1923" s="10" t="s">
        <v>9238</v>
      </c>
      <c r="B1923" s="17" t="s">
        <v>191</v>
      </c>
      <c r="C1923" s="18" t="s">
        <v>192</v>
      </c>
      <c r="D1923" s="17" t="s">
        <v>19</v>
      </c>
      <c r="E1923" s="17" t="s">
        <v>229</v>
      </c>
      <c r="F1923" s="17" t="s">
        <v>7069</v>
      </c>
      <c r="G1923" s="17" t="s">
        <v>177</v>
      </c>
      <c r="H1923" s="17" t="s">
        <v>35</v>
      </c>
      <c r="I1923" s="17" t="s">
        <v>1028</v>
      </c>
      <c r="J1923" s="17" t="s">
        <v>233</v>
      </c>
      <c r="K1923" s="19"/>
      <c r="L1923" s="19"/>
      <c r="M1923" s="19"/>
      <c r="N1923" s="19"/>
      <c r="O1923" s="17" t="n">
        <v>0</v>
      </c>
      <c r="P1923" s="18" t="s">
        <v>9239</v>
      </c>
      <c r="Q1923" s="18" t="s">
        <v>9240</v>
      </c>
      <c r="R1923" s="18" t="s">
        <v>9241</v>
      </c>
      <c r="S1923" s="17" t="s">
        <v>237</v>
      </c>
      <c r="T1923" s="18" t="s">
        <v>9242</v>
      </c>
      <c r="U1923" s="19"/>
      <c r="V1923" s="18" t="s">
        <v>9243</v>
      </c>
      <c r="W1923" s="17" t="s">
        <v>240</v>
      </c>
      <c r="X1923" s="17" t="s">
        <v>8845</v>
      </c>
      <c r="Y1923" s="17" t="s">
        <v>242</v>
      </c>
      <c r="Z1923" s="19"/>
      <c r="AA1923" s="19"/>
      <c r="AB1923" s="17"/>
      <c r="AC1923" s="19"/>
    </row>
    <row r="1924" customFormat="false" ht="32.8" hidden="false" customHeight="false" outlineLevel="0" collapsed="false">
      <c r="A1924" s="10" t="s">
        <v>9244</v>
      </c>
      <c r="B1924" s="17" t="s">
        <v>191</v>
      </c>
      <c r="C1924" s="18" t="s">
        <v>192</v>
      </c>
      <c r="D1924" s="17" t="s">
        <v>19</v>
      </c>
      <c r="E1924" s="17" t="s">
        <v>75</v>
      </c>
      <c r="F1924" s="17" t="s">
        <v>7069</v>
      </c>
      <c r="G1924" s="17" t="s">
        <v>177</v>
      </c>
      <c r="H1924" s="17" t="s">
        <v>35</v>
      </c>
      <c r="I1924" s="17" t="s">
        <v>450</v>
      </c>
      <c r="J1924" s="17" t="s">
        <v>233</v>
      </c>
      <c r="K1924" s="19"/>
      <c r="L1924" s="19"/>
      <c r="M1924" s="19"/>
      <c r="N1924" s="19"/>
      <c r="O1924" s="17" t="n">
        <v>1</v>
      </c>
      <c r="P1924" s="18" t="s">
        <v>9239</v>
      </c>
      <c r="Q1924" s="18" t="s">
        <v>9240</v>
      </c>
      <c r="R1924" s="18" t="s">
        <v>9245</v>
      </c>
      <c r="S1924" s="17" t="s">
        <v>5654</v>
      </c>
      <c r="T1924" s="18" t="s">
        <v>9246</v>
      </c>
      <c r="U1924" s="19"/>
      <c r="V1924" s="18" t="s">
        <v>9247</v>
      </c>
      <c r="W1924" s="17" t="s">
        <v>240</v>
      </c>
      <c r="X1924" s="17" t="s">
        <v>8845</v>
      </c>
      <c r="Y1924" s="17" t="s">
        <v>242</v>
      </c>
      <c r="Z1924" s="19"/>
      <c r="AA1924" s="19"/>
      <c r="AB1924" s="17"/>
      <c r="AC1924" s="19"/>
    </row>
    <row r="1925" customFormat="false" ht="43.25" hidden="false" customHeight="false" outlineLevel="0" collapsed="false">
      <c r="A1925" s="10" t="s">
        <v>9248</v>
      </c>
      <c r="B1925" s="17" t="s">
        <v>191</v>
      </c>
      <c r="C1925" s="18" t="s">
        <v>192</v>
      </c>
      <c r="D1925" s="17" t="s">
        <v>19</v>
      </c>
      <c r="E1925" s="17" t="s">
        <v>75</v>
      </c>
      <c r="F1925" s="17" t="s">
        <v>7069</v>
      </c>
      <c r="G1925" s="17" t="s">
        <v>177</v>
      </c>
      <c r="H1925" s="17" t="s">
        <v>35</v>
      </c>
      <c r="I1925" s="17" t="s">
        <v>316</v>
      </c>
      <c r="J1925" s="17" t="s">
        <v>233</v>
      </c>
      <c r="K1925" s="19"/>
      <c r="L1925" s="19"/>
      <c r="M1925" s="19"/>
      <c r="N1925" s="19"/>
      <c r="O1925" s="17" t="n">
        <v>2</v>
      </c>
      <c r="P1925" s="18" t="s">
        <v>9239</v>
      </c>
      <c r="Q1925" s="18" t="s">
        <v>9240</v>
      </c>
      <c r="R1925" s="18" t="s">
        <v>9249</v>
      </c>
      <c r="S1925" s="17" t="s">
        <v>9250</v>
      </c>
      <c r="T1925" s="18" t="s">
        <v>9251</v>
      </c>
      <c r="U1925" s="19"/>
      <c r="V1925" s="18" t="s">
        <v>9252</v>
      </c>
      <c r="W1925" s="17" t="s">
        <v>240</v>
      </c>
      <c r="X1925" s="17" t="s">
        <v>8845</v>
      </c>
      <c r="Y1925" s="17" t="s">
        <v>242</v>
      </c>
      <c r="Z1925" s="19"/>
      <c r="AA1925" s="19"/>
      <c r="AB1925" s="17"/>
      <c r="AC1925" s="19"/>
    </row>
    <row r="1926" customFormat="false" ht="43.25" hidden="false" customHeight="false" outlineLevel="0" collapsed="false">
      <c r="A1926" s="10" t="s">
        <v>9253</v>
      </c>
      <c r="B1926" s="17" t="s">
        <v>191</v>
      </c>
      <c r="C1926" s="18" t="s">
        <v>192</v>
      </c>
      <c r="D1926" s="17" t="s">
        <v>19</v>
      </c>
      <c r="E1926" s="17" t="s">
        <v>75</v>
      </c>
      <c r="F1926" s="17" t="s">
        <v>7069</v>
      </c>
      <c r="G1926" s="17" t="s">
        <v>177</v>
      </c>
      <c r="H1926" s="17" t="s">
        <v>35</v>
      </c>
      <c r="I1926" s="17" t="s">
        <v>316</v>
      </c>
      <c r="J1926" s="17" t="s">
        <v>233</v>
      </c>
      <c r="K1926" s="19"/>
      <c r="L1926" s="19"/>
      <c r="M1926" s="19"/>
      <c r="N1926" s="19"/>
      <c r="O1926" s="17" t="n">
        <v>2</v>
      </c>
      <c r="P1926" s="18" t="s">
        <v>9239</v>
      </c>
      <c r="Q1926" s="18" t="s">
        <v>9240</v>
      </c>
      <c r="R1926" s="18" t="s">
        <v>9254</v>
      </c>
      <c r="S1926" s="17" t="s">
        <v>9255</v>
      </c>
      <c r="T1926" s="18" t="s">
        <v>9256</v>
      </c>
      <c r="U1926" s="19"/>
      <c r="V1926" s="18" t="s">
        <v>9257</v>
      </c>
      <c r="W1926" s="17" t="s">
        <v>240</v>
      </c>
      <c r="X1926" s="17" t="s">
        <v>8845</v>
      </c>
      <c r="Y1926" s="17" t="s">
        <v>242</v>
      </c>
      <c r="Z1926" s="19"/>
      <c r="AA1926" s="19"/>
      <c r="AB1926" s="17"/>
      <c r="AC1926" s="19"/>
    </row>
    <row r="1927" customFormat="false" ht="32.8" hidden="false" customHeight="false" outlineLevel="0" collapsed="false">
      <c r="A1927" s="10" t="s">
        <v>9258</v>
      </c>
      <c r="B1927" s="17" t="s">
        <v>191</v>
      </c>
      <c r="C1927" s="18" t="s">
        <v>192</v>
      </c>
      <c r="D1927" s="17" t="s">
        <v>19</v>
      </c>
      <c r="E1927" s="17" t="s">
        <v>75</v>
      </c>
      <c r="F1927" s="17" t="s">
        <v>7069</v>
      </c>
      <c r="G1927" s="17" t="s">
        <v>177</v>
      </c>
      <c r="H1927" s="17" t="s">
        <v>35</v>
      </c>
      <c r="I1927" s="17" t="s">
        <v>316</v>
      </c>
      <c r="J1927" s="17" t="s">
        <v>233</v>
      </c>
      <c r="K1927" s="19"/>
      <c r="L1927" s="19"/>
      <c r="M1927" s="19"/>
      <c r="N1927" s="19"/>
      <c r="O1927" s="17" t="n">
        <v>2</v>
      </c>
      <c r="P1927" s="18" t="s">
        <v>9239</v>
      </c>
      <c r="Q1927" s="18" t="s">
        <v>9259</v>
      </c>
      <c r="R1927" s="18" t="s">
        <v>9260</v>
      </c>
      <c r="S1927" s="17" t="s">
        <v>9244</v>
      </c>
      <c r="T1927" s="18" t="s">
        <v>9261</v>
      </c>
      <c r="U1927" s="19"/>
      <c r="V1927" s="18" t="s">
        <v>9262</v>
      </c>
      <c r="W1927" s="17" t="s">
        <v>240</v>
      </c>
      <c r="X1927" s="17" t="s">
        <v>8845</v>
      </c>
      <c r="Y1927" s="17" t="s">
        <v>242</v>
      </c>
      <c r="Z1927" s="19"/>
      <c r="AA1927" s="19"/>
      <c r="AB1927" s="17"/>
      <c r="AC1927" s="19"/>
    </row>
    <row r="1928" customFormat="false" ht="43.25" hidden="false" customHeight="false" outlineLevel="0" collapsed="false">
      <c r="A1928" s="10" t="s">
        <v>9263</v>
      </c>
      <c r="B1928" s="17" t="s">
        <v>191</v>
      </c>
      <c r="C1928" s="18" t="s">
        <v>192</v>
      </c>
      <c r="D1928" s="17" t="s">
        <v>19</v>
      </c>
      <c r="E1928" s="17" t="s">
        <v>75</v>
      </c>
      <c r="F1928" s="17" t="s">
        <v>7069</v>
      </c>
      <c r="G1928" s="17" t="s">
        <v>177</v>
      </c>
      <c r="H1928" s="17" t="s">
        <v>35</v>
      </c>
      <c r="I1928" s="17" t="s">
        <v>316</v>
      </c>
      <c r="J1928" s="17" t="s">
        <v>233</v>
      </c>
      <c r="K1928" s="19"/>
      <c r="L1928" s="19"/>
      <c r="M1928" s="19"/>
      <c r="N1928" s="19"/>
      <c r="O1928" s="17" t="n">
        <v>2</v>
      </c>
      <c r="P1928" s="18" t="s">
        <v>9239</v>
      </c>
      <c r="Q1928" s="18" t="s">
        <v>9259</v>
      </c>
      <c r="R1928" s="18" t="s">
        <v>9264</v>
      </c>
      <c r="S1928" s="17" t="s">
        <v>9258</v>
      </c>
      <c r="T1928" s="18" t="s">
        <v>9265</v>
      </c>
      <c r="U1928" s="19"/>
      <c r="V1928" s="18" t="s">
        <v>9266</v>
      </c>
      <c r="W1928" s="17" t="s">
        <v>240</v>
      </c>
      <c r="X1928" s="17" t="s">
        <v>8845</v>
      </c>
      <c r="Y1928" s="17" t="s">
        <v>242</v>
      </c>
      <c r="Z1928" s="19"/>
      <c r="AA1928" s="19"/>
      <c r="AB1928" s="17"/>
      <c r="AC1928" s="19"/>
    </row>
    <row r="1929" customFormat="false" ht="32.8" hidden="false" customHeight="false" outlineLevel="0" collapsed="false">
      <c r="A1929" s="10" t="s">
        <v>9267</v>
      </c>
      <c r="B1929" s="17" t="s">
        <v>191</v>
      </c>
      <c r="C1929" s="18" t="s">
        <v>192</v>
      </c>
      <c r="D1929" s="17" t="s">
        <v>19</v>
      </c>
      <c r="E1929" s="17" t="s">
        <v>75</v>
      </c>
      <c r="F1929" s="17" t="s">
        <v>7069</v>
      </c>
      <c r="G1929" s="17" t="s">
        <v>177</v>
      </c>
      <c r="H1929" s="17" t="s">
        <v>35</v>
      </c>
      <c r="I1929" s="17" t="s">
        <v>316</v>
      </c>
      <c r="J1929" s="17" t="s">
        <v>233</v>
      </c>
      <c r="K1929" s="19"/>
      <c r="L1929" s="19"/>
      <c r="M1929" s="19"/>
      <c r="N1929" s="19"/>
      <c r="O1929" s="17" t="n">
        <v>2</v>
      </c>
      <c r="P1929" s="18" t="s">
        <v>9239</v>
      </c>
      <c r="Q1929" s="18" t="s">
        <v>9259</v>
      </c>
      <c r="R1929" s="18" t="s">
        <v>9268</v>
      </c>
      <c r="S1929" s="17" t="s">
        <v>9269</v>
      </c>
      <c r="T1929" s="18" t="s">
        <v>9270</v>
      </c>
      <c r="U1929" s="19"/>
      <c r="V1929" s="18" t="s">
        <v>9271</v>
      </c>
      <c r="W1929" s="17" t="s">
        <v>240</v>
      </c>
      <c r="X1929" s="17" t="s">
        <v>8845</v>
      </c>
      <c r="Y1929" s="17" t="s">
        <v>242</v>
      </c>
      <c r="Z1929" s="19"/>
      <c r="AA1929" s="19"/>
      <c r="AB1929" s="17"/>
      <c r="AC1929" s="19"/>
    </row>
    <row r="1930" customFormat="false" ht="43.25" hidden="false" customHeight="false" outlineLevel="0" collapsed="false">
      <c r="A1930" s="10" t="s">
        <v>9272</v>
      </c>
      <c r="B1930" s="17" t="s">
        <v>191</v>
      </c>
      <c r="C1930" s="18" t="s">
        <v>192</v>
      </c>
      <c r="D1930" s="17" t="s">
        <v>19</v>
      </c>
      <c r="E1930" s="17" t="s">
        <v>75</v>
      </c>
      <c r="F1930" s="17" t="s">
        <v>7069</v>
      </c>
      <c r="G1930" s="17" t="s">
        <v>177</v>
      </c>
      <c r="H1930" s="17" t="s">
        <v>35</v>
      </c>
      <c r="I1930" s="17" t="s">
        <v>333</v>
      </c>
      <c r="J1930" s="17" t="s">
        <v>233</v>
      </c>
      <c r="K1930" s="19"/>
      <c r="L1930" s="19"/>
      <c r="M1930" s="19"/>
      <c r="N1930" s="19"/>
      <c r="O1930" s="17" t="n">
        <v>2</v>
      </c>
      <c r="P1930" s="18" t="s">
        <v>9239</v>
      </c>
      <c r="Q1930" s="18" t="s">
        <v>9259</v>
      </c>
      <c r="R1930" s="18" t="s">
        <v>9273</v>
      </c>
      <c r="S1930" s="17" t="s">
        <v>9238</v>
      </c>
      <c r="T1930" s="18" t="s">
        <v>9274</v>
      </c>
      <c r="U1930" s="19"/>
      <c r="V1930" s="18" t="s">
        <v>9275</v>
      </c>
      <c r="W1930" s="17" t="s">
        <v>240</v>
      </c>
      <c r="X1930" s="17" t="s">
        <v>8845</v>
      </c>
      <c r="Y1930" s="17" t="s">
        <v>242</v>
      </c>
      <c r="Z1930" s="19"/>
      <c r="AA1930" s="19"/>
      <c r="AB1930" s="17"/>
      <c r="AC1930" s="19"/>
    </row>
    <row r="1931" customFormat="false" ht="43.25" hidden="false" customHeight="false" outlineLevel="0" collapsed="false">
      <c r="A1931" s="10" t="s">
        <v>9276</v>
      </c>
      <c r="B1931" s="17" t="s">
        <v>191</v>
      </c>
      <c r="C1931" s="18" t="s">
        <v>192</v>
      </c>
      <c r="D1931" s="17" t="s">
        <v>19</v>
      </c>
      <c r="E1931" s="17" t="s">
        <v>75</v>
      </c>
      <c r="F1931" s="17" t="s">
        <v>7069</v>
      </c>
      <c r="G1931" s="17" t="s">
        <v>177</v>
      </c>
      <c r="H1931" s="17" t="s">
        <v>35</v>
      </c>
      <c r="I1931" s="17" t="s">
        <v>316</v>
      </c>
      <c r="J1931" s="17" t="s">
        <v>233</v>
      </c>
      <c r="K1931" s="19"/>
      <c r="L1931" s="19"/>
      <c r="M1931" s="19"/>
      <c r="N1931" s="19"/>
      <c r="O1931" s="17" t="n">
        <v>2</v>
      </c>
      <c r="P1931" s="18" t="s">
        <v>9239</v>
      </c>
      <c r="Q1931" s="18" t="s">
        <v>9259</v>
      </c>
      <c r="R1931" s="18" t="s">
        <v>9277</v>
      </c>
      <c r="S1931" s="17" t="s">
        <v>9248</v>
      </c>
      <c r="T1931" s="18" t="s">
        <v>9278</v>
      </c>
      <c r="U1931" s="19"/>
      <c r="V1931" s="18" t="s">
        <v>9279</v>
      </c>
      <c r="W1931" s="17" t="s">
        <v>240</v>
      </c>
      <c r="X1931" s="17" t="s">
        <v>8845</v>
      </c>
      <c r="Y1931" s="17" t="s">
        <v>242</v>
      </c>
      <c r="Z1931" s="19"/>
      <c r="AA1931" s="19"/>
      <c r="AB1931" s="17"/>
      <c r="AC1931" s="19"/>
    </row>
    <row r="1932" customFormat="false" ht="22.35" hidden="false" customHeight="false" outlineLevel="0" collapsed="false">
      <c r="A1932" s="10" t="s">
        <v>9280</v>
      </c>
      <c r="B1932" s="17" t="s">
        <v>191</v>
      </c>
      <c r="C1932" s="18" t="s">
        <v>192</v>
      </c>
      <c r="D1932" s="17" t="s">
        <v>19</v>
      </c>
      <c r="E1932" s="17" t="s">
        <v>75</v>
      </c>
      <c r="F1932" s="17" t="s">
        <v>7069</v>
      </c>
      <c r="G1932" s="17" t="s">
        <v>177</v>
      </c>
      <c r="H1932" s="17" t="s">
        <v>35</v>
      </c>
      <c r="I1932" s="17" t="s">
        <v>1028</v>
      </c>
      <c r="J1932" s="17" t="s">
        <v>233</v>
      </c>
      <c r="K1932" s="19"/>
      <c r="L1932" s="19"/>
      <c r="M1932" s="19"/>
      <c r="N1932" s="19"/>
      <c r="O1932" s="17" t="n">
        <v>2</v>
      </c>
      <c r="P1932" s="18" t="s">
        <v>9239</v>
      </c>
      <c r="Q1932" s="18" t="s">
        <v>9259</v>
      </c>
      <c r="R1932" s="18" t="s">
        <v>9281</v>
      </c>
      <c r="S1932" s="17" t="s">
        <v>9276</v>
      </c>
      <c r="T1932" s="18" t="s">
        <v>8883</v>
      </c>
      <c r="U1932" s="19"/>
      <c r="V1932" s="18" t="s">
        <v>8884</v>
      </c>
      <c r="W1932" s="17" t="s">
        <v>240</v>
      </c>
      <c r="X1932" s="17" t="s">
        <v>8845</v>
      </c>
      <c r="Y1932" s="17" t="s">
        <v>242</v>
      </c>
      <c r="Z1932" s="19"/>
      <c r="AA1932" s="19"/>
      <c r="AB1932" s="17"/>
      <c r="AC1932" s="19"/>
    </row>
    <row r="1933" customFormat="false" ht="43.25" hidden="false" customHeight="false" outlineLevel="0" collapsed="false">
      <c r="A1933" s="10" t="s">
        <v>9282</v>
      </c>
      <c r="B1933" s="17" t="s">
        <v>191</v>
      </c>
      <c r="C1933" s="18" t="s">
        <v>192</v>
      </c>
      <c r="D1933" s="17" t="s">
        <v>19</v>
      </c>
      <c r="E1933" s="17" t="s">
        <v>229</v>
      </c>
      <c r="F1933" s="17" t="s">
        <v>7069</v>
      </c>
      <c r="G1933" s="17" t="s">
        <v>177</v>
      </c>
      <c r="H1933" s="17" t="s">
        <v>35</v>
      </c>
      <c r="I1933" s="17" t="s">
        <v>1028</v>
      </c>
      <c r="J1933" s="17" t="s">
        <v>233</v>
      </c>
      <c r="K1933" s="19"/>
      <c r="L1933" s="19"/>
      <c r="M1933" s="19"/>
      <c r="N1933" s="19"/>
      <c r="O1933" s="17" t="n">
        <v>0</v>
      </c>
      <c r="P1933" s="18" t="s">
        <v>9283</v>
      </c>
      <c r="Q1933" s="18" t="s">
        <v>9284</v>
      </c>
      <c r="R1933" s="18" t="s">
        <v>9285</v>
      </c>
      <c r="S1933" s="17" t="s">
        <v>9238</v>
      </c>
      <c r="T1933" s="18" t="s">
        <v>9286</v>
      </c>
      <c r="U1933" s="19"/>
      <c r="V1933" s="18" t="s">
        <v>9287</v>
      </c>
      <c r="W1933" s="17" t="s">
        <v>240</v>
      </c>
      <c r="X1933" s="17" t="s">
        <v>8845</v>
      </c>
      <c r="Y1933" s="17" t="s">
        <v>242</v>
      </c>
      <c r="Z1933" s="19"/>
      <c r="AA1933" s="19"/>
      <c r="AB1933" s="17"/>
      <c r="AC1933" s="19"/>
    </row>
    <row r="1934" customFormat="false" ht="32.8" hidden="false" customHeight="false" outlineLevel="0" collapsed="false">
      <c r="A1934" s="10" t="s">
        <v>9288</v>
      </c>
      <c r="B1934" s="17" t="s">
        <v>191</v>
      </c>
      <c r="C1934" s="18" t="s">
        <v>192</v>
      </c>
      <c r="D1934" s="17" t="s">
        <v>19</v>
      </c>
      <c r="E1934" s="17" t="s">
        <v>229</v>
      </c>
      <c r="F1934" s="17" t="s">
        <v>7069</v>
      </c>
      <c r="G1934" s="17" t="s">
        <v>177</v>
      </c>
      <c r="H1934" s="17" t="s">
        <v>35</v>
      </c>
      <c r="I1934" s="17" t="s">
        <v>1028</v>
      </c>
      <c r="J1934" s="17" t="s">
        <v>233</v>
      </c>
      <c r="K1934" s="19"/>
      <c r="L1934" s="19"/>
      <c r="M1934" s="19"/>
      <c r="N1934" s="19"/>
      <c r="O1934" s="17" t="n">
        <v>0</v>
      </c>
      <c r="P1934" s="18" t="s">
        <v>9283</v>
      </c>
      <c r="Q1934" s="18" t="s">
        <v>9284</v>
      </c>
      <c r="R1934" s="18" t="s">
        <v>9289</v>
      </c>
      <c r="S1934" s="17" t="s">
        <v>9282</v>
      </c>
      <c r="T1934" s="18" t="s">
        <v>9290</v>
      </c>
      <c r="U1934" s="19"/>
      <c r="V1934" s="18" t="s">
        <v>9291</v>
      </c>
      <c r="W1934" s="17" t="s">
        <v>240</v>
      </c>
      <c r="X1934" s="17" t="s">
        <v>8845</v>
      </c>
      <c r="Y1934" s="17" t="s">
        <v>242</v>
      </c>
      <c r="Z1934" s="19"/>
      <c r="AA1934" s="19"/>
      <c r="AB1934" s="17"/>
      <c r="AC1934" s="19"/>
    </row>
    <row r="1935" customFormat="false" ht="32.8" hidden="false" customHeight="false" outlineLevel="0" collapsed="false">
      <c r="A1935" s="10" t="s">
        <v>9292</v>
      </c>
      <c r="B1935" s="17" t="s">
        <v>191</v>
      </c>
      <c r="C1935" s="18" t="s">
        <v>192</v>
      </c>
      <c r="D1935" s="17" t="s">
        <v>19</v>
      </c>
      <c r="E1935" s="17" t="s">
        <v>75</v>
      </c>
      <c r="F1935" s="17" t="s">
        <v>7069</v>
      </c>
      <c r="G1935" s="17" t="s">
        <v>177</v>
      </c>
      <c r="H1935" s="17" t="s">
        <v>35</v>
      </c>
      <c r="I1935" s="17" t="s">
        <v>1028</v>
      </c>
      <c r="J1935" s="17" t="s">
        <v>233</v>
      </c>
      <c r="K1935" s="19"/>
      <c r="L1935" s="19"/>
      <c r="M1935" s="19"/>
      <c r="N1935" s="19"/>
      <c r="O1935" s="17" t="n">
        <v>1</v>
      </c>
      <c r="P1935" s="18" t="s">
        <v>9283</v>
      </c>
      <c r="Q1935" s="18" t="s">
        <v>9284</v>
      </c>
      <c r="R1935" s="18" t="s">
        <v>9293</v>
      </c>
      <c r="S1935" s="17" t="s">
        <v>9294</v>
      </c>
      <c r="T1935" s="18" t="s">
        <v>9295</v>
      </c>
      <c r="U1935" s="19"/>
      <c r="V1935" s="18" t="s">
        <v>9296</v>
      </c>
      <c r="W1935" s="17" t="s">
        <v>240</v>
      </c>
      <c r="X1935" s="17" t="s">
        <v>8845</v>
      </c>
      <c r="Y1935" s="17" t="s">
        <v>242</v>
      </c>
      <c r="Z1935" s="19"/>
      <c r="AA1935" s="19"/>
      <c r="AB1935" s="17"/>
      <c r="AC1935" s="19"/>
    </row>
    <row r="1936" customFormat="false" ht="43.25" hidden="false" customHeight="false" outlineLevel="0" collapsed="false">
      <c r="A1936" s="10" t="s">
        <v>9297</v>
      </c>
      <c r="B1936" s="17" t="s">
        <v>191</v>
      </c>
      <c r="C1936" s="18" t="s">
        <v>192</v>
      </c>
      <c r="D1936" s="17" t="s">
        <v>19</v>
      </c>
      <c r="E1936" s="17" t="s">
        <v>75</v>
      </c>
      <c r="F1936" s="17" t="s">
        <v>7069</v>
      </c>
      <c r="G1936" s="17" t="s">
        <v>177</v>
      </c>
      <c r="H1936" s="17" t="s">
        <v>35</v>
      </c>
      <c r="I1936" s="17" t="s">
        <v>232</v>
      </c>
      <c r="J1936" s="17" t="s">
        <v>233</v>
      </c>
      <c r="K1936" s="19"/>
      <c r="L1936" s="19"/>
      <c r="M1936" s="19"/>
      <c r="N1936" s="19"/>
      <c r="O1936" s="17" t="n">
        <v>1</v>
      </c>
      <c r="P1936" s="18" t="s">
        <v>9283</v>
      </c>
      <c r="Q1936" s="18" t="s">
        <v>9284</v>
      </c>
      <c r="R1936" s="18" t="s">
        <v>9298</v>
      </c>
      <c r="S1936" s="17" t="s">
        <v>9299</v>
      </c>
      <c r="T1936" s="18" t="s">
        <v>9300</v>
      </c>
      <c r="U1936" s="19"/>
      <c r="V1936" s="18" t="s">
        <v>9301</v>
      </c>
      <c r="W1936" s="17" t="s">
        <v>1217</v>
      </c>
      <c r="X1936" s="17" t="s">
        <v>8845</v>
      </c>
      <c r="Y1936" s="17" t="s">
        <v>242</v>
      </c>
      <c r="Z1936" s="19"/>
      <c r="AA1936" s="19"/>
      <c r="AB1936" s="17"/>
      <c r="AC1936" s="19"/>
    </row>
    <row r="1937" customFormat="false" ht="32.8" hidden="false" customHeight="false" outlineLevel="0" collapsed="false">
      <c r="A1937" s="10" t="s">
        <v>9302</v>
      </c>
      <c r="B1937" s="17" t="s">
        <v>191</v>
      </c>
      <c r="C1937" s="18" t="s">
        <v>192</v>
      </c>
      <c r="D1937" s="17" t="s">
        <v>19</v>
      </c>
      <c r="E1937" s="17" t="s">
        <v>75</v>
      </c>
      <c r="F1937" s="17" t="s">
        <v>7069</v>
      </c>
      <c r="G1937" s="17" t="s">
        <v>177</v>
      </c>
      <c r="H1937" s="17" t="s">
        <v>35</v>
      </c>
      <c r="I1937" s="17" t="s">
        <v>232</v>
      </c>
      <c r="J1937" s="17" t="s">
        <v>233</v>
      </c>
      <c r="K1937" s="19"/>
      <c r="L1937" s="19"/>
      <c r="M1937" s="19"/>
      <c r="N1937" s="19"/>
      <c r="O1937" s="17" t="n">
        <v>1</v>
      </c>
      <c r="P1937" s="18" t="s">
        <v>9283</v>
      </c>
      <c r="Q1937" s="18" t="s">
        <v>9284</v>
      </c>
      <c r="R1937" s="18" t="s">
        <v>9303</v>
      </c>
      <c r="S1937" s="17" t="s">
        <v>9297</v>
      </c>
      <c r="T1937" s="18" t="s">
        <v>9304</v>
      </c>
      <c r="U1937" s="19"/>
      <c r="V1937" s="18" t="s">
        <v>9305</v>
      </c>
      <c r="W1937" s="17" t="s">
        <v>1217</v>
      </c>
      <c r="X1937" s="17" t="s">
        <v>8845</v>
      </c>
      <c r="Y1937" s="17" t="s">
        <v>242</v>
      </c>
      <c r="Z1937" s="19"/>
      <c r="AA1937" s="19"/>
      <c r="AB1937" s="17"/>
      <c r="AC1937" s="19"/>
    </row>
    <row r="1938" customFormat="false" ht="43.25" hidden="false" customHeight="false" outlineLevel="0" collapsed="false">
      <c r="A1938" s="10" t="s">
        <v>9306</v>
      </c>
      <c r="B1938" s="17" t="s">
        <v>191</v>
      </c>
      <c r="C1938" s="18" t="s">
        <v>192</v>
      </c>
      <c r="D1938" s="17" t="s">
        <v>19</v>
      </c>
      <c r="E1938" s="17" t="s">
        <v>75</v>
      </c>
      <c r="F1938" s="17" t="s">
        <v>7069</v>
      </c>
      <c r="G1938" s="17" t="s">
        <v>177</v>
      </c>
      <c r="H1938" s="17" t="s">
        <v>35</v>
      </c>
      <c r="I1938" s="17" t="s">
        <v>1028</v>
      </c>
      <c r="J1938" s="17" t="s">
        <v>233</v>
      </c>
      <c r="K1938" s="19"/>
      <c r="L1938" s="19"/>
      <c r="M1938" s="19"/>
      <c r="N1938" s="19"/>
      <c r="O1938" s="17" t="n">
        <v>1</v>
      </c>
      <c r="P1938" s="18" t="s">
        <v>9283</v>
      </c>
      <c r="Q1938" s="18" t="s">
        <v>9284</v>
      </c>
      <c r="R1938" s="18" t="s">
        <v>9307</v>
      </c>
      <c r="S1938" s="17" t="s">
        <v>9244</v>
      </c>
      <c r="T1938" s="18" t="s">
        <v>9308</v>
      </c>
      <c r="U1938" s="19"/>
      <c r="V1938" s="18" t="s">
        <v>9309</v>
      </c>
      <c r="W1938" s="17" t="s">
        <v>240</v>
      </c>
      <c r="X1938" s="17" t="s">
        <v>8845</v>
      </c>
      <c r="Y1938" s="17" t="s">
        <v>242</v>
      </c>
      <c r="Z1938" s="19"/>
      <c r="AA1938" s="19"/>
      <c r="AB1938" s="17"/>
      <c r="AC1938" s="19"/>
    </row>
    <row r="1939" customFormat="false" ht="32.8" hidden="false" customHeight="false" outlineLevel="0" collapsed="false">
      <c r="A1939" s="10" t="s">
        <v>9310</v>
      </c>
      <c r="B1939" s="17" t="s">
        <v>191</v>
      </c>
      <c r="C1939" s="18" t="s">
        <v>192</v>
      </c>
      <c r="D1939" s="17" t="s">
        <v>19</v>
      </c>
      <c r="E1939" s="17" t="s">
        <v>75</v>
      </c>
      <c r="F1939" s="17" t="s">
        <v>7069</v>
      </c>
      <c r="G1939" s="17" t="s">
        <v>177</v>
      </c>
      <c r="H1939" s="17" t="s">
        <v>35</v>
      </c>
      <c r="I1939" s="17" t="s">
        <v>316</v>
      </c>
      <c r="J1939" s="17" t="s">
        <v>233</v>
      </c>
      <c r="K1939" s="19"/>
      <c r="L1939" s="19"/>
      <c r="M1939" s="19"/>
      <c r="N1939" s="19"/>
      <c r="O1939" s="17" t="n">
        <v>2</v>
      </c>
      <c r="P1939" s="18" t="s">
        <v>9283</v>
      </c>
      <c r="Q1939" s="18" t="s">
        <v>9284</v>
      </c>
      <c r="R1939" s="18" t="s">
        <v>9311</v>
      </c>
      <c r="S1939" s="17" t="s">
        <v>9306</v>
      </c>
      <c r="T1939" s="18" t="s">
        <v>9312</v>
      </c>
      <c r="U1939" s="19"/>
      <c r="V1939" s="18" t="s">
        <v>9313</v>
      </c>
      <c r="W1939" s="17" t="s">
        <v>240</v>
      </c>
      <c r="X1939" s="17" t="s">
        <v>8845</v>
      </c>
      <c r="Y1939" s="17" t="s">
        <v>242</v>
      </c>
      <c r="Z1939" s="19"/>
      <c r="AA1939" s="19"/>
      <c r="AB1939" s="17"/>
      <c r="AC1939" s="19"/>
    </row>
    <row r="1940" customFormat="false" ht="32.8" hidden="false" customHeight="false" outlineLevel="0" collapsed="false">
      <c r="A1940" s="10" t="s">
        <v>9314</v>
      </c>
      <c r="B1940" s="17" t="s">
        <v>191</v>
      </c>
      <c r="C1940" s="18" t="s">
        <v>192</v>
      </c>
      <c r="D1940" s="17" t="s">
        <v>19</v>
      </c>
      <c r="E1940" s="17" t="s">
        <v>75</v>
      </c>
      <c r="F1940" s="17" t="s">
        <v>7069</v>
      </c>
      <c r="G1940" s="17" t="s">
        <v>177</v>
      </c>
      <c r="H1940" s="17" t="s">
        <v>35</v>
      </c>
      <c r="I1940" s="17" t="s">
        <v>1346</v>
      </c>
      <c r="J1940" s="17" t="s">
        <v>233</v>
      </c>
      <c r="K1940" s="19"/>
      <c r="L1940" s="19"/>
      <c r="M1940" s="19"/>
      <c r="N1940" s="19"/>
      <c r="O1940" s="17" t="n">
        <v>1</v>
      </c>
      <c r="P1940" s="18" t="s">
        <v>9283</v>
      </c>
      <c r="Q1940" s="18" t="s">
        <v>9315</v>
      </c>
      <c r="R1940" s="18" t="s">
        <v>9316</v>
      </c>
      <c r="S1940" s="17" t="s">
        <v>237</v>
      </c>
      <c r="T1940" s="18" t="s">
        <v>9317</v>
      </c>
      <c r="U1940" s="19"/>
      <c r="V1940" s="18" t="s">
        <v>9318</v>
      </c>
      <c r="W1940" s="17" t="s">
        <v>240</v>
      </c>
      <c r="X1940" s="17" t="s">
        <v>8845</v>
      </c>
      <c r="Y1940" s="17" t="s">
        <v>242</v>
      </c>
      <c r="Z1940" s="19"/>
      <c r="AA1940" s="19"/>
      <c r="AB1940" s="17"/>
      <c r="AC1940" s="19"/>
    </row>
    <row r="1941" customFormat="false" ht="32.8" hidden="false" customHeight="false" outlineLevel="0" collapsed="false">
      <c r="A1941" s="10" t="s">
        <v>9319</v>
      </c>
      <c r="B1941" s="17" t="s">
        <v>191</v>
      </c>
      <c r="C1941" s="18" t="s">
        <v>192</v>
      </c>
      <c r="D1941" s="17" t="s">
        <v>19</v>
      </c>
      <c r="E1941" s="17" t="s">
        <v>75</v>
      </c>
      <c r="F1941" s="17" t="s">
        <v>7069</v>
      </c>
      <c r="G1941" s="17" t="s">
        <v>177</v>
      </c>
      <c r="H1941" s="17" t="s">
        <v>35</v>
      </c>
      <c r="I1941" s="17" t="s">
        <v>1346</v>
      </c>
      <c r="J1941" s="17" t="s">
        <v>233</v>
      </c>
      <c r="K1941" s="19"/>
      <c r="L1941" s="19"/>
      <c r="M1941" s="19"/>
      <c r="N1941" s="19"/>
      <c r="O1941" s="17" t="n">
        <v>3</v>
      </c>
      <c r="P1941" s="18" t="s">
        <v>9283</v>
      </c>
      <c r="Q1941" s="18" t="s">
        <v>9315</v>
      </c>
      <c r="R1941" s="18" t="s">
        <v>9320</v>
      </c>
      <c r="S1941" s="17" t="s">
        <v>9321</v>
      </c>
      <c r="T1941" s="18" t="s">
        <v>9322</v>
      </c>
      <c r="U1941" s="19"/>
      <c r="V1941" s="18" t="s">
        <v>9323</v>
      </c>
      <c r="W1941" s="17" t="s">
        <v>240</v>
      </c>
      <c r="X1941" s="17" t="s">
        <v>8845</v>
      </c>
      <c r="Y1941" s="17" t="s">
        <v>242</v>
      </c>
      <c r="Z1941" s="19"/>
      <c r="AA1941" s="19"/>
      <c r="AB1941" s="17"/>
      <c r="AC1941" s="19"/>
    </row>
    <row r="1942" customFormat="false" ht="32.8" hidden="false" customHeight="false" outlineLevel="0" collapsed="false">
      <c r="A1942" s="10" t="s">
        <v>9324</v>
      </c>
      <c r="B1942" s="17" t="s">
        <v>191</v>
      </c>
      <c r="C1942" s="18" t="s">
        <v>192</v>
      </c>
      <c r="D1942" s="17" t="s">
        <v>19</v>
      </c>
      <c r="E1942" s="17" t="s">
        <v>75</v>
      </c>
      <c r="F1942" s="17" t="s">
        <v>7069</v>
      </c>
      <c r="G1942" s="17" t="s">
        <v>177</v>
      </c>
      <c r="H1942" s="17" t="s">
        <v>35</v>
      </c>
      <c r="I1942" s="17" t="s">
        <v>1346</v>
      </c>
      <c r="J1942" s="17" t="s">
        <v>233</v>
      </c>
      <c r="K1942" s="19"/>
      <c r="L1942" s="19"/>
      <c r="M1942" s="19"/>
      <c r="N1942" s="19"/>
      <c r="O1942" s="17" t="n">
        <v>3</v>
      </c>
      <c r="P1942" s="18" t="s">
        <v>9283</v>
      </c>
      <c r="Q1942" s="18" t="s">
        <v>9315</v>
      </c>
      <c r="R1942" s="18" t="s">
        <v>9325</v>
      </c>
      <c r="S1942" s="17" t="s">
        <v>9319</v>
      </c>
      <c r="T1942" s="18" t="s">
        <v>9326</v>
      </c>
      <c r="U1942" s="19"/>
      <c r="V1942" s="18" t="s">
        <v>9327</v>
      </c>
      <c r="W1942" s="17" t="s">
        <v>240</v>
      </c>
      <c r="X1942" s="17" t="s">
        <v>8845</v>
      </c>
      <c r="Y1942" s="17" t="s">
        <v>242</v>
      </c>
      <c r="Z1942" s="19"/>
      <c r="AA1942" s="19"/>
      <c r="AB1942" s="17"/>
      <c r="AC1942" s="19"/>
    </row>
    <row r="1943" customFormat="false" ht="43.25" hidden="false" customHeight="false" outlineLevel="0" collapsed="false">
      <c r="A1943" s="10" t="s">
        <v>9328</v>
      </c>
      <c r="B1943" s="17" t="s">
        <v>68</v>
      </c>
      <c r="C1943" s="18" t="s">
        <v>69</v>
      </c>
      <c r="D1943" s="17" t="s">
        <v>19</v>
      </c>
      <c r="E1943" s="17" t="s">
        <v>229</v>
      </c>
      <c r="F1943" s="17" t="s">
        <v>7069</v>
      </c>
      <c r="G1943" s="17" t="s">
        <v>177</v>
      </c>
      <c r="H1943" s="17" t="s">
        <v>35</v>
      </c>
      <c r="I1943" s="17" t="s">
        <v>333</v>
      </c>
      <c r="J1943" s="17" t="s">
        <v>233</v>
      </c>
      <c r="K1943" s="19"/>
      <c r="L1943" s="19"/>
      <c r="M1943" s="19"/>
      <c r="N1943" s="19"/>
      <c r="O1943" s="17" t="n">
        <v>0</v>
      </c>
      <c r="P1943" s="18" t="s">
        <v>9283</v>
      </c>
      <c r="Q1943" s="18" t="s">
        <v>9329</v>
      </c>
      <c r="R1943" s="18" t="s">
        <v>9330</v>
      </c>
      <c r="S1943" s="17" t="s">
        <v>237</v>
      </c>
      <c r="T1943" s="18" t="s">
        <v>9331</v>
      </c>
      <c r="U1943" s="19"/>
      <c r="V1943" s="18" t="s">
        <v>9332</v>
      </c>
      <c r="W1943" s="17" t="s">
        <v>240</v>
      </c>
      <c r="X1943" s="17" t="s">
        <v>8845</v>
      </c>
      <c r="Y1943" s="17" t="s">
        <v>242</v>
      </c>
      <c r="Z1943" s="19"/>
      <c r="AA1943" s="19"/>
      <c r="AB1943" s="17"/>
      <c r="AC1943" s="19"/>
    </row>
    <row r="1944" customFormat="false" ht="43.25" hidden="false" customHeight="false" outlineLevel="0" collapsed="false">
      <c r="A1944" s="10" t="s">
        <v>9333</v>
      </c>
      <c r="B1944" s="17" t="s">
        <v>68</v>
      </c>
      <c r="C1944" s="18" t="s">
        <v>69</v>
      </c>
      <c r="D1944" s="17" t="s">
        <v>19</v>
      </c>
      <c r="E1944" s="17" t="s">
        <v>75</v>
      </c>
      <c r="F1944" s="17" t="s">
        <v>7069</v>
      </c>
      <c r="G1944" s="17" t="s">
        <v>177</v>
      </c>
      <c r="H1944" s="17" t="s">
        <v>35</v>
      </c>
      <c r="I1944" s="17" t="s">
        <v>333</v>
      </c>
      <c r="J1944" s="17" t="s">
        <v>233</v>
      </c>
      <c r="K1944" s="19"/>
      <c r="L1944" s="19"/>
      <c r="M1944" s="19"/>
      <c r="N1944" s="19"/>
      <c r="O1944" s="17" t="n">
        <v>1</v>
      </c>
      <c r="P1944" s="18" t="s">
        <v>9283</v>
      </c>
      <c r="Q1944" s="18" t="s">
        <v>9329</v>
      </c>
      <c r="R1944" s="18" t="s">
        <v>9334</v>
      </c>
      <c r="S1944" s="17" t="s">
        <v>9328</v>
      </c>
      <c r="T1944" s="18" t="s">
        <v>9335</v>
      </c>
      <c r="U1944" s="19"/>
      <c r="V1944" s="18" t="s">
        <v>9336</v>
      </c>
      <c r="W1944" s="17" t="s">
        <v>240</v>
      </c>
      <c r="X1944" s="17" t="s">
        <v>8845</v>
      </c>
      <c r="Y1944" s="17" t="s">
        <v>242</v>
      </c>
      <c r="Z1944" s="19"/>
      <c r="AA1944" s="19"/>
      <c r="AB1944" s="17"/>
      <c r="AC1944" s="19"/>
    </row>
    <row r="1945" customFormat="false" ht="43.25" hidden="false" customHeight="false" outlineLevel="0" collapsed="false">
      <c r="A1945" s="10" t="s">
        <v>9337</v>
      </c>
      <c r="B1945" s="17" t="s">
        <v>68</v>
      </c>
      <c r="C1945" s="18" t="s">
        <v>69</v>
      </c>
      <c r="D1945" s="17" t="s">
        <v>19</v>
      </c>
      <c r="E1945" s="17" t="s">
        <v>75</v>
      </c>
      <c r="F1945" s="17" t="s">
        <v>7069</v>
      </c>
      <c r="G1945" s="17" t="s">
        <v>177</v>
      </c>
      <c r="H1945" s="17" t="s">
        <v>35</v>
      </c>
      <c r="I1945" s="17" t="s">
        <v>333</v>
      </c>
      <c r="J1945" s="17" t="s">
        <v>233</v>
      </c>
      <c r="K1945" s="19"/>
      <c r="L1945" s="19"/>
      <c r="M1945" s="19"/>
      <c r="N1945" s="19"/>
      <c r="O1945" s="17" t="n">
        <v>1</v>
      </c>
      <c r="P1945" s="18" t="s">
        <v>9283</v>
      </c>
      <c r="Q1945" s="18" t="s">
        <v>9329</v>
      </c>
      <c r="R1945" s="18" t="s">
        <v>9338</v>
      </c>
      <c r="S1945" s="17" t="s">
        <v>9339</v>
      </c>
      <c r="T1945" s="18" t="s">
        <v>9340</v>
      </c>
      <c r="U1945" s="19"/>
      <c r="V1945" s="18" t="s">
        <v>9341</v>
      </c>
      <c r="W1945" s="17" t="s">
        <v>240</v>
      </c>
      <c r="X1945" s="17" t="s">
        <v>8845</v>
      </c>
      <c r="Y1945" s="17" t="s">
        <v>242</v>
      </c>
      <c r="Z1945" s="19"/>
      <c r="AA1945" s="19"/>
      <c r="AB1945" s="17"/>
      <c r="AC1945" s="19"/>
    </row>
    <row r="1946" customFormat="false" ht="32.8" hidden="false" customHeight="false" outlineLevel="0" collapsed="false">
      <c r="A1946" s="10" t="s">
        <v>9342</v>
      </c>
      <c r="B1946" s="17" t="s">
        <v>191</v>
      </c>
      <c r="C1946" s="18" t="s">
        <v>192</v>
      </c>
      <c r="D1946" s="17" t="s">
        <v>19</v>
      </c>
      <c r="E1946" s="17" t="s">
        <v>75</v>
      </c>
      <c r="F1946" s="17" t="s">
        <v>7069</v>
      </c>
      <c r="G1946" s="17" t="s">
        <v>177</v>
      </c>
      <c r="H1946" s="17" t="s">
        <v>35</v>
      </c>
      <c r="I1946" s="17" t="s">
        <v>1028</v>
      </c>
      <c r="J1946" s="17" t="s">
        <v>233</v>
      </c>
      <c r="K1946" s="19"/>
      <c r="L1946" s="19"/>
      <c r="M1946" s="19"/>
      <c r="N1946" s="19"/>
      <c r="O1946" s="17" t="n">
        <v>3</v>
      </c>
      <c r="P1946" s="18" t="s">
        <v>9283</v>
      </c>
      <c r="Q1946" s="18" t="s">
        <v>9329</v>
      </c>
      <c r="R1946" s="18" t="s">
        <v>9343</v>
      </c>
      <c r="S1946" s="17" t="s">
        <v>9337</v>
      </c>
      <c r="T1946" s="18" t="s">
        <v>8883</v>
      </c>
      <c r="U1946" s="19"/>
      <c r="V1946" s="18" t="s">
        <v>8884</v>
      </c>
      <c r="W1946" s="17" t="s">
        <v>240</v>
      </c>
      <c r="X1946" s="17" t="s">
        <v>8845</v>
      </c>
      <c r="Y1946" s="17" t="s">
        <v>242</v>
      </c>
      <c r="Z1946" s="19"/>
      <c r="AA1946" s="19"/>
      <c r="AB1946" s="17"/>
      <c r="AC1946" s="19"/>
    </row>
    <row r="1947" customFormat="false" ht="43.25" hidden="false" customHeight="false" outlineLevel="0" collapsed="false">
      <c r="A1947" s="10" t="s">
        <v>9344</v>
      </c>
      <c r="B1947" s="17" t="s">
        <v>191</v>
      </c>
      <c r="C1947" s="18" t="s">
        <v>192</v>
      </c>
      <c r="D1947" s="17" t="s">
        <v>19</v>
      </c>
      <c r="E1947" s="17" t="s">
        <v>229</v>
      </c>
      <c r="F1947" s="17" t="s">
        <v>7069</v>
      </c>
      <c r="G1947" s="17" t="s">
        <v>177</v>
      </c>
      <c r="H1947" s="17" t="s">
        <v>35</v>
      </c>
      <c r="I1947" s="17" t="s">
        <v>1028</v>
      </c>
      <c r="J1947" s="17" t="s">
        <v>233</v>
      </c>
      <c r="K1947" s="19"/>
      <c r="L1947" s="19"/>
      <c r="M1947" s="19"/>
      <c r="N1947" s="19"/>
      <c r="O1947" s="17" t="n">
        <v>0</v>
      </c>
      <c r="P1947" s="18" t="s">
        <v>9345</v>
      </c>
      <c r="Q1947" s="18" t="s">
        <v>9346</v>
      </c>
      <c r="R1947" s="18" t="s">
        <v>9347</v>
      </c>
      <c r="S1947" s="17" t="s">
        <v>237</v>
      </c>
      <c r="T1947" s="18" t="s">
        <v>9348</v>
      </c>
      <c r="U1947" s="19"/>
      <c r="V1947" s="18" t="s">
        <v>9349</v>
      </c>
      <c r="W1947" s="17" t="s">
        <v>240</v>
      </c>
      <c r="X1947" s="17" t="s">
        <v>8845</v>
      </c>
      <c r="Y1947" s="17" t="s">
        <v>242</v>
      </c>
      <c r="Z1947" s="19"/>
      <c r="AA1947" s="19"/>
      <c r="AB1947" s="17"/>
      <c r="AC1947" s="19"/>
    </row>
    <row r="1948" customFormat="false" ht="32.8" hidden="false" customHeight="false" outlineLevel="0" collapsed="false">
      <c r="A1948" s="10" t="s">
        <v>9350</v>
      </c>
      <c r="B1948" s="17" t="s">
        <v>191</v>
      </c>
      <c r="C1948" s="18" t="s">
        <v>192</v>
      </c>
      <c r="D1948" s="17" t="s">
        <v>19</v>
      </c>
      <c r="E1948" s="17" t="s">
        <v>75</v>
      </c>
      <c r="F1948" s="17" t="s">
        <v>7069</v>
      </c>
      <c r="G1948" s="17" t="s">
        <v>177</v>
      </c>
      <c r="H1948" s="17" t="s">
        <v>35</v>
      </c>
      <c r="I1948" s="17" t="s">
        <v>1028</v>
      </c>
      <c r="J1948" s="17" t="s">
        <v>233</v>
      </c>
      <c r="K1948" s="19"/>
      <c r="L1948" s="19"/>
      <c r="M1948" s="19"/>
      <c r="N1948" s="19"/>
      <c r="O1948" s="17" t="n">
        <v>1</v>
      </c>
      <c r="P1948" s="18" t="s">
        <v>9345</v>
      </c>
      <c r="Q1948" s="18" t="s">
        <v>9346</v>
      </c>
      <c r="R1948" s="18" t="s">
        <v>9351</v>
      </c>
      <c r="S1948" s="17" t="s">
        <v>9352</v>
      </c>
      <c r="T1948" s="18" t="s">
        <v>9353</v>
      </c>
      <c r="U1948" s="19"/>
      <c r="V1948" s="18" t="s">
        <v>9354</v>
      </c>
      <c r="W1948" s="17" t="s">
        <v>240</v>
      </c>
      <c r="X1948" s="17" t="s">
        <v>8845</v>
      </c>
      <c r="Y1948" s="17" t="s">
        <v>242</v>
      </c>
      <c r="Z1948" s="19"/>
      <c r="AA1948" s="19"/>
      <c r="AB1948" s="17" t="s">
        <v>1681</v>
      </c>
      <c r="AC1948" s="19"/>
    </row>
    <row r="1949" customFormat="false" ht="43.25" hidden="false" customHeight="false" outlineLevel="0" collapsed="false">
      <c r="A1949" s="10" t="s">
        <v>9355</v>
      </c>
      <c r="B1949" s="17" t="s">
        <v>191</v>
      </c>
      <c r="C1949" s="18" t="s">
        <v>192</v>
      </c>
      <c r="D1949" s="17" t="s">
        <v>19</v>
      </c>
      <c r="E1949" s="17" t="s">
        <v>75</v>
      </c>
      <c r="F1949" s="17" t="s">
        <v>7069</v>
      </c>
      <c r="G1949" s="17" t="s">
        <v>177</v>
      </c>
      <c r="H1949" s="17" t="s">
        <v>35</v>
      </c>
      <c r="I1949" s="17" t="s">
        <v>1028</v>
      </c>
      <c r="J1949" s="17" t="s">
        <v>233</v>
      </c>
      <c r="K1949" s="19"/>
      <c r="L1949" s="19"/>
      <c r="M1949" s="19"/>
      <c r="N1949" s="19"/>
      <c r="O1949" s="17" t="n">
        <v>1</v>
      </c>
      <c r="P1949" s="18" t="s">
        <v>9345</v>
      </c>
      <c r="Q1949" s="18" t="s">
        <v>9346</v>
      </c>
      <c r="R1949" s="18" t="s">
        <v>9356</v>
      </c>
      <c r="S1949" s="17" t="s">
        <v>9357</v>
      </c>
      <c r="T1949" s="18" t="s">
        <v>9358</v>
      </c>
      <c r="U1949" s="19"/>
      <c r="V1949" s="18" t="s">
        <v>9359</v>
      </c>
      <c r="W1949" s="17" t="s">
        <v>240</v>
      </c>
      <c r="X1949" s="17" t="s">
        <v>8845</v>
      </c>
      <c r="Y1949" s="17" t="s">
        <v>242</v>
      </c>
      <c r="Z1949" s="19"/>
      <c r="AA1949" s="19"/>
      <c r="AB1949" s="17" t="s">
        <v>1681</v>
      </c>
      <c r="AC1949" s="19"/>
    </row>
    <row r="1950" customFormat="false" ht="32.8" hidden="false" customHeight="false" outlineLevel="0" collapsed="false">
      <c r="A1950" s="10" t="s">
        <v>9360</v>
      </c>
      <c r="B1950" s="17" t="s">
        <v>191</v>
      </c>
      <c r="C1950" s="18" t="s">
        <v>192</v>
      </c>
      <c r="D1950" s="17" t="s">
        <v>19</v>
      </c>
      <c r="E1950" s="17" t="s">
        <v>75</v>
      </c>
      <c r="F1950" s="17" t="s">
        <v>7069</v>
      </c>
      <c r="G1950" s="17" t="s">
        <v>177</v>
      </c>
      <c r="H1950" s="17" t="s">
        <v>35</v>
      </c>
      <c r="I1950" s="17" t="s">
        <v>1028</v>
      </c>
      <c r="J1950" s="17" t="s">
        <v>233</v>
      </c>
      <c r="K1950" s="19"/>
      <c r="L1950" s="19"/>
      <c r="M1950" s="19"/>
      <c r="N1950" s="19"/>
      <c r="O1950" s="17" t="n">
        <v>1</v>
      </c>
      <c r="P1950" s="18" t="s">
        <v>9345</v>
      </c>
      <c r="Q1950" s="18" t="s">
        <v>9346</v>
      </c>
      <c r="R1950" s="18" t="s">
        <v>9361</v>
      </c>
      <c r="S1950" s="17" t="s">
        <v>9362</v>
      </c>
      <c r="T1950" s="18" t="s">
        <v>9363</v>
      </c>
      <c r="U1950" s="19"/>
      <c r="V1950" s="18" t="s">
        <v>9364</v>
      </c>
      <c r="W1950" s="17" t="s">
        <v>240</v>
      </c>
      <c r="X1950" s="17" t="s">
        <v>8845</v>
      </c>
      <c r="Y1950" s="17" t="s">
        <v>242</v>
      </c>
      <c r="Z1950" s="19"/>
      <c r="AA1950" s="19"/>
      <c r="AB1950" s="17" t="s">
        <v>1681</v>
      </c>
      <c r="AC1950" s="19"/>
    </row>
    <row r="1951" customFormat="false" ht="43.25" hidden="false" customHeight="false" outlineLevel="0" collapsed="false">
      <c r="A1951" s="10" t="s">
        <v>9365</v>
      </c>
      <c r="B1951" s="17" t="s">
        <v>191</v>
      </c>
      <c r="C1951" s="18" t="s">
        <v>192</v>
      </c>
      <c r="D1951" s="17" t="s">
        <v>19</v>
      </c>
      <c r="E1951" s="17" t="s">
        <v>75</v>
      </c>
      <c r="F1951" s="17" t="s">
        <v>7069</v>
      </c>
      <c r="G1951" s="17" t="s">
        <v>177</v>
      </c>
      <c r="H1951" s="17" t="s">
        <v>35</v>
      </c>
      <c r="I1951" s="17" t="s">
        <v>1028</v>
      </c>
      <c r="J1951" s="17" t="s">
        <v>233</v>
      </c>
      <c r="K1951" s="19"/>
      <c r="L1951" s="19"/>
      <c r="M1951" s="19"/>
      <c r="N1951" s="19"/>
      <c r="O1951" s="17" t="n">
        <v>1</v>
      </c>
      <c r="P1951" s="18" t="s">
        <v>9345</v>
      </c>
      <c r="Q1951" s="18" t="s">
        <v>9366</v>
      </c>
      <c r="R1951" s="18" t="s">
        <v>9367</v>
      </c>
      <c r="S1951" s="17" t="s">
        <v>9344</v>
      </c>
      <c r="T1951" s="18" t="s">
        <v>9368</v>
      </c>
      <c r="U1951" s="19"/>
      <c r="V1951" s="18" t="s">
        <v>9369</v>
      </c>
      <c r="W1951" s="17" t="s">
        <v>240</v>
      </c>
      <c r="X1951" s="17" t="s">
        <v>8845</v>
      </c>
      <c r="Y1951" s="17" t="s">
        <v>242</v>
      </c>
      <c r="Z1951" s="19"/>
      <c r="AA1951" s="19"/>
      <c r="AB1951" s="17"/>
      <c r="AC1951" s="19"/>
    </row>
    <row r="1952" customFormat="false" ht="32.8" hidden="false" customHeight="false" outlineLevel="0" collapsed="false">
      <c r="A1952" s="10" t="s">
        <v>9370</v>
      </c>
      <c r="B1952" s="17" t="s">
        <v>191</v>
      </c>
      <c r="C1952" s="18" t="s">
        <v>192</v>
      </c>
      <c r="D1952" s="17" t="s">
        <v>19</v>
      </c>
      <c r="E1952" s="17" t="s">
        <v>75</v>
      </c>
      <c r="F1952" s="17" t="s">
        <v>7069</v>
      </c>
      <c r="G1952" s="17" t="s">
        <v>177</v>
      </c>
      <c r="H1952" s="17" t="s">
        <v>35</v>
      </c>
      <c r="I1952" s="17" t="s">
        <v>1028</v>
      </c>
      <c r="J1952" s="17" t="s">
        <v>233</v>
      </c>
      <c r="K1952" s="19"/>
      <c r="L1952" s="19"/>
      <c r="M1952" s="19"/>
      <c r="N1952" s="19"/>
      <c r="O1952" s="17" t="n">
        <v>1</v>
      </c>
      <c r="P1952" s="18" t="s">
        <v>9345</v>
      </c>
      <c r="Q1952" s="18" t="s">
        <v>9366</v>
      </c>
      <c r="R1952" s="18" t="s">
        <v>9371</v>
      </c>
      <c r="S1952" s="17" t="s">
        <v>9365</v>
      </c>
      <c r="T1952" s="18" t="s">
        <v>9372</v>
      </c>
      <c r="U1952" s="19"/>
      <c r="V1952" s="18" t="s">
        <v>9373</v>
      </c>
      <c r="W1952" s="17" t="s">
        <v>240</v>
      </c>
      <c r="X1952" s="17" t="s">
        <v>8845</v>
      </c>
      <c r="Y1952" s="17" t="s">
        <v>242</v>
      </c>
      <c r="Z1952" s="19"/>
      <c r="AA1952" s="19"/>
      <c r="AB1952" s="17"/>
      <c r="AC1952" s="19"/>
    </row>
    <row r="1953" customFormat="false" ht="43.25" hidden="false" customHeight="false" outlineLevel="0" collapsed="false">
      <c r="A1953" s="10" t="s">
        <v>9374</v>
      </c>
      <c r="B1953" s="17" t="s">
        <v>191</v>
      </c>
      <c r="C1953" s="18" t="s">
        <v>192</v>
      </c>
      <c r="D1953" s="17" t="s">
        <v>19</v>
      </c>
      <c r="E1953" s="17" t="s">
        <v>75</v>
      </c>
      <c r="F1953" s="17" t="s">
        <v>7069</v>
      </c>
      <c r="G1953" s="17" t="s">
        <v>177</v>
      </c>
      <c r="H1953" s="17" t="s">
        <v>35</v>
      </c>
      <c r="I1953" s="17" t="s">
        <v>1028</v>
      </c>
      <c r="J1953" s="17" t="s">
        <v>233</v>
      </c>
      <c r="K1953" s="19"/>
      <c r="L1953" s="19"/>
      <c r="M1953" s="19"/>
      <c r="N1953" s="19"/>
      <c r="O1953" s="17" t="n">
        <v>1</v>
      </c>
      <c r="P1953" s="18" t="s">
        <v>9345</v>
      </c>
      <c r="Q1953" s="18" t="s">
        <v>9366</v>
      </c>
      <c r="R1953" s="18" t="s">
        <v>9375</v>
      </c>
      <c r="S1953" s="17" t="s">
        <v>9365</v>
      </c>
      <c r="T1953" s="18" t="s">
        <v>9376</v>
      </c>
      <c r="U1953" s="19"/>
      <c r="V1953" s="18" t="s">
        <v>9377</v>
      </c>
      <c r="W1953" s="17" t="s">
        <v>240</v>
      </c>
      <c r="X1953" s="17" t="s">
        <v>8845</v>
      </c>
      <c r="Y1953" s="17" t="s">
        <v>242</v>
      </c>
      <c r="Z1953" s="19"/>
      <c r="AA1953" s="19"/>
      <c r="AB1953" s="17"/>
      <c r="AC1953" s="19"/>
    </row>
    <row r="1954" customFormat="false" ht="32.8" hidden="false" customHeight="false" outlineLevel="0" collapsed="false">
      <c r="A1954" s="10" t="s">
        <v>9378</v>
      </c>
      <c r="B1954" s="17" t="s">
        <v>191</v>
      </c>
      <c r="C1954" s="18" t="s">
        <v>192</v>
      </c>
      <c r="D1954" s="17" t="s">
        <v>19</v>
      </c>
      <c r="E1954" s="17" t="s">
        <v>75</v>
      </c>
      <c r="F1954" s="17" t="s">
        <v>7069</v>
      </c>
      <c r="G1954" s="17" t="s">
        <v>177</v>
      </c>
      <c r="H1954" s="17" t="s">
        <v>35</v>
      </c>
      <c r="I1954" s="17" t="s">
        <v>1028</v>
      </c>
      <c r="J1954" s="17" t="s">
        <v>233</v>
      </c>
      <c r="K1954" s="19"/>
      <c r="L1954" s="19"/>
      <c r="M1954" s="19"/>
      <c r="N1954" s="19"/>
      <c r="O1954" s="17" t="n">
        <v>1</v>
      </c>
      <c r="P1954" s="18" t="s">
        <v>9345</v>
      </c>
      <c r="Q1954" s="18" t="s">
        <v>9366</v>
      </c>
      <c r="R1954" s="18" t="s">
        <v>9379</v>
      </c>
      <c r="S1954" s="17" t="s">
        <v>9355</v>
      </c>
      <c r="T1954" s="18" t="s">
        <v>9380</v>
      </c>
      <c r="U1954" s="19"/>
      <c r="V1954" s="18" t="s">
        <v>9381</v>
      </c>
      <c r="W1954" s="17" t="s">
        <v>240</v>
      </c>
      <c r="X1954" s="17" t="s">
        <v>8845</v>
      </c>
      <c r="Y1954" s="17" t="s">
        <v>242</v>
      </c>
      <c r="Z1954" s="19"/>
      <c r="AA1954" s="19"/>
      <c r="AB1954" s="17"/>
      <c r="AC1954" s="19"/>
    </row>
    <row r="1955" customFormat="false" ht="32.8" hidden="false" customHeight="false" outlineLevel="0" collapsed="false">
      <c r="A1955" s="10" t="s">
        <v>9382</v>
      </c>
      <c r="B1955" s="17" t="s">
        <v>191</v>
      </c>
      <c r="C1955" s="18" t="s">
        <v>192</v>
      </c>
      <c r="D1955" s="17" t="s">
        <v>19</v>
      </c>
      <c r="E1955" s="17" t="s">
        <v>75</v>
      </c>
      <c r="F1955" s="17" t="s">
        <v>7069</v>
      </c>
      <c r="G1955" s="17" t="s">
        <v>177</v>
      </c>
      <c r="H1955" s="17" t="s">
        <v>35</v>
      </c>
      <c r="I1955" s="17" t="s">
        <v>1028</v>
      </c>
      <c r="J1955" s="17" t="s">
        <v>233</v>
      </c>
      <c r="K1955" s="19"/>
      <c r="L1955" s="19"/>
      <c r="M1955" s="19"/>
      <c r="N1955" s="19"/>
      <c r="O1955" s="17" t="n">
        <v>1</v>
      </c>
      <c r="P1955" s="18" t="s">
        <v>9345</v>
      </c>
      <c r="Q1955" s="18" t="s">
        <v>9366</v>
      </c>
      <c r="R1955" s="18" t="s">
        <v>9383</v>
      </c>
      <c r="S1955" s="17" t="s">
        <v>9384</v>
      </c>
      <c r="T1955" s="18" t="s">
        <v>9385</v>
      </c>
      <c r="U1955" s="19"/>
      <c r="V1955" s="18" t="s">
        <v>9386</v>
      </c>
      <c r="W1955" s="17" t="s">
        <v>240</v>
      </c>
      <c r="X1955" s="17" t="s">
        <v>8845</v>
      </c>
      <c r="Y1955" s="17" t="s">
        <v>242</v>
      </c>
      <c r="Z1955" s="19"/>
      <c r="AA1955" s="19"/>
      <c r="AB1955" s="17" t="s">
        <v>1681</v>
      </c>
      <c r="AC1955" s="19"/>
    </row>
    <row r="1956" customFormat="false" ht="43.25" hidden="false" customHeight="false" outlineLevel="0" collapsed="false">
      <c r="A1956" s="10" t="s">
        <v>9387</v>
      </c>
      <c r="B1956" s="17" t="s">
        <v>191</v>
      </c>
      <c r="C1956" s="18" t="s">
        <v>192</v>
      </c>
      <c r="D1956" s="17" t="s">
        <v>19</v>
      </c>
      <c r="E1956" s="17" t="s">
        <v>75</v>
      </c>
      <c r="F1956" s="17" t="s">
        <v>7069</v>
      </c>
      <c r="G1956" s="17" t="s">
        <v>177</v>
      </c>
      <c r="H1956" s="17" t="s">
        <v>35</v>
      </c>
      <c r="I1956" s="17" t="s">
        <v>928</v>
      </c>
      <c r="J1956" s="17" t="s">
        <v>233</v>
      </c>
      <c r="K1956" s="19"/>
      <c r="L1956" s="19"/>
      <c r="M1956" s="19"/>
      <c r="N1956" s="19"/>
      <c r="O1956" s="17" t="n">
        <v>1</v>
      </c>
      <c r="P1956" s="18" t="s">
        <v>9345</v>
      </c>
      <c r="Q1956" s="18" t="s">
        <v>9366</v>
      </c>
      <c r="R1956" s="18" t="s">
        <v>9388</v>
      </c>
      <c r="S1956" s="17" t="s">
        <v>9389</v>
      </c>
      <c r="T1956" s="18" t="s">
        <v>9390</v>
      </c>
      <c r="U1956" s="19"/>
      <c r="V1956" s="18" t="s">
        <v>9391</v>
      </c>
      <c r="W1956" s="17" t="s">
        <v>240</v>
      </c>
      <c r="X1956" s="17" t="s">
        <v>8845</v>
      </c>
      <c r="Y1956" s="17" t="s">
        <v>242</v>
      </c>
      <c r="Z1956" s="19"/>
      <c r="AA1956" s="19"/>
      <c r="AB1956" s="17"/>
      <c r="AC1956" s="19"/>
    </row>
    <row r="1957" customFormat="false" ht="32.8" hidden="false" customHeight="false" outlineLevel="0" collapsed="false">
      <c r="A1957" s="10" t="s">
        <v>9392</v>
      </c>
      <c r="B1957" s="17" t="s">
        <v>191</v>
      </c>
      <c r="C1957" s="18" t="s">
        <v>192</v>
      </c>
      <c r="D1957" s="17" t="s">
        <v>19</v>
      </c>
      <c r="E1957" s="17" t="s">
        <v>75</v>
      </c>
      <c r="F1957" s="17" t="s">
        <v>7069</v>
      </c>
      <c r="G1957" s="17" t="s">
        <v>177</v>
      </c>
      <c r="H1957" s="17" t="s">
        <v>35</v>
      </c>
      <c r="I1957" s="17" t="s">
        <v>928</v>
      </c>
      <c r="J1957" s="17" t="s">
        <v>233</v>
      </c>
      <c r="K1957" s="19"/>
      <c r="L1957" s="19"/>
      <c r="M1957" s="19"/>
      <c r="N1957" s="19"/>
      <c r="O1957" s="17" t="n">
        <v>1</v>
      </c>
      <c r="P1957" s="18" t="s">
        <v>9345</v>
      </c>
      <c r="Q1957" s="18" t="s">
        <v>9366</v>
      </c>
      <c r="R1957" s="18" t="s">
        <v>9393</v>
      </c>
      <c r="S1957" s="17" t="s">
        <v>9387</v>
      </c>
      <c r="T1957" s="18" t="s">
        <v>9394</v>
      </c>
      <c r="U1957" s="19"/>
      <c r="V1957" s="18" t="s">
        <v>9395</v>
      </c>
      <c r="W1957" s="17" t="s">
        <v>240</v>
      </c>
      <c r="X1957" s="17" t="s">
        <v>8845</v>
      </c>
      <c r="Y1957" s="17" t="s">
        <v>242</v>
      </c>
      <c r="Z1957" s="19"/>
      <c r="AA1957" s="19"/>
      <c r="AB1957" s="17"/>
      <c r="AC1957" s="19"/>
    </row>
    <row r="1958" customFormat="false" ht="32.8" hidden="false" customHeight="false" outlineLevel="0" collapsed="false">
      <c r="A1958" s="10" t="s">
        <v>9396</v>
      </c>
      <c r="B1958" s="17" t="s">
        <v>191</v>
      </c>
      <c r="C1958" s="18" t="s">
        <v>192</v>
      </c>
      <c r="D1958" s="17" t="s">
        <v>19</v>
      </c>
      <c r="E1958" s="17" t="s">
        <v>75</v>
      </c>
      <c r="F1958" s="17" t="s">
        <v>7069</v>
      </c>
      <c r="G1958" s="17" t="s">
        <v>177</v>
      </c>
      <c r="H1958" s="17" t="s">
        <v>35</v>
      </c>
      <c r="I1958" s="17" t="s">
        <v>1028</v>
      </c>
      <c r="J1958" s="17" t="s">
        <v>233</v>
      </c>
      <c r="K1958" s="19"/>
      <c r="L1958" s="19"/>
      <c r="M1958" s="19"/>
      <c r="N1958" s="19"/>
      <c r="O1958" s="17" t="n">
        <v>1</v>
      </c>
      <c r="P1958" s="18" t="s">
        <v>9345</v>
      </c>
      <c r="Q1958" s="18" t="s">
        <v>9366</v>
      </c>
      <c r="R1958" s="18" t="s">
        <v>9397</v>
      </c>
      <c r="S1958" s="17" t="s">
        <v>9392</v>
      </c>
      <c r="T1958" s="18" t="s">
        <v>8883</v>
      </c>
      <c r="U1958" s="19"/>
      <c r="V1958" s="18" t="s">
        <v>8884</v>
      </c>
      <c r="W1958" s="17" t="s">
        <v>240</v>
      </c>
      <c r="X1958" s="17" t="s">
        <v>8845</v>
      </c>
      <c r="Y1958" s="17" t="s">
        <v>242</v>
      </c>
      <c r="Z1958" s="19"/>
      <c r="AA1958" s="19"/>
      <c r="AB1958" s="17"/>
      <c r="AC1958" s="19"/>
    </row>
    <row r="1959" customFormat="false" ht="53.7" hidden="false" customHeight="false" outlineLevel="0" collapsed="false">
      <c r="A1959" s="10" t="s">
        <v>9398</v>
      </c>
      <c r="B1959" s="17" t="s">
        <v>181</v>
      </c>
      <c r="C1959" s="18" t="s">
        <v>182</v>
      </c>
      <c r="D1959" s="17" t="s">
        <v>19</v>
      </c>
      <c r="E1959" s="17" t="s">
        <v>229</v>
      </c>
      <c r="F1959" s="17" t="s">
        <v>7069</v>
      </c>
      <c r="G1959" s="17" t="s">
        <v>177</v>
      </c>
      <c r="H1959" s="17" t="s">
        <v>35</v>
      </c>
      <c r="I1959" s="17" t="s">
        <v>928</v>
      </c>
      <c r="J1959" s="17" t="s">
        <v>233</v>
      </c>
      <c r="K1959" s="19"/>
      <c r="L1959" s="19"/>
      <c r="M1959" s="19"/>
      <c r="N1959" s="19"/>
      <c r="O1959" s="17" t="n">
        <v>0</v>
      </c>
      <c r="P1959" s="18" t="s">
        <v>9399</v>
      </c>
      <c r="Q1959" s="18" t="s">
        <v>9400</v>
      </c>
      <c r="R1959" s="18" t="s">
        <v>9401</v>
      </c>
      <c r="S1959" s="17" t="s">
        <v>7413</v>
      </c>
      <c r="T1959" s="18" t="s">
        <v>9402</v>
      </c>
      <c r="U1959" s="19"/>
      <c r="V1959" s="18" t="s">
        <v>9403</v>
      </c>
      <c r="W1959" s="17" t="s">
        <v>240</v>
      </c>
      <c r="X1959" s="17" t="s">
        <v>8845</v>
      </c>
      <c r="Y1959" s="17" t="s">
        <v>242</v>
      </c>
      <c r="Z1959" s="19"/>
      <c r="AA1959" s="19"/>
      <c r="AB1959" s="17"/>
      <c r="AC1959" s="19"/>
    </row>
    <row r="1960" customFormat="false" ht="43.25" hidden="false" customHeight="false" outlineLevel="0" collapsed="false">
      <c r="A1960" s="10" t="s">
        <v>9404</v>
      </c>
      <c r="B1960" s="17" t="s">
        <v>181</v>
      </c>
      <c r="C1960" s="18" t="s">
        <v>182</v>
      </c>
      <c r="D1960" s="17" t="s">
        <v>19</v>
      </c>
      <c r="E1960" s="17" t="s">
        <v>229</v>
      </c>
      <c r="F1960" s="17" t="s">
        <v>7069</v>
      </c>
      <c r="G1960" s="17" t="s">
        <v>177</v>
      </c>
      <c r="H1960" s="17" t="s">
        <v>35</v>
      </c>
      <c r="I1960" s="17" t="s">
        <v>1028</v>
      </c>
      <c r="J1960" s="17" t="s">
        <v>233</v>
      </c>
      <c r="K1960" s="19"/>
      <c r="L1960" s="19"/>
      <c r="M1960" s="19"/>
      <c r="N1960" s="19"/>
      <c r="O1960" s="17" t="n">
        <v>0</v>
      </c>
      <c r="P1960" s="18" t="s">
        <v>9399</v>
      </c>
      <c r="Q1960" s="18" t="s">
        <v>9400</v>
      </c>
      <c r="R1960" s="18" t="s">
        <v>9405</v>
      </c>
      <c r="S1960" s="17" t="s">
        <v>9398</v>
      </c>
      <c r="T1960" s="18" t="s">
        <v>9406</v>
      </c>
      <c r="U1960" s="19"/>
      <c r="V1960" s="18" t="s">
        <v>9407</v>
      </c>
      <c r="W1960" s="17" t="s">
        <v>240</v>
      </c>
      <c r="X1960" s="17" t="s">
        <v>8845</v>
      </c>
      <c r="Y1960" s="17" t="s">
        <v>242</v>
      </c>
      <c r="Z1960" s="19"/>
      <c r="AA1960" s="19"/>
      <c r="AB1960" s="17"/>
      <c r="AC1960" s="19"/>
    </row>
    <row r="1961" customFormat="false" ht="32.8" hidden="false" customHeight="false" outlineLevel="0" collapsed="false">
      <c r="A1961" s="10" t="s">
        <v>9408</v>
      </c>
      <c r="B1961" s="17" t="s">
        <v>181</v>
      </c>
      <c r="C1961" s="18" t="s">
        <v>182</v>
      </c>
      <c r="D1961" s="17" t="s">
        <v>19</v>
      </c>
      <c r="E1961" s="17" t="s">
        <v>229</v>
      </c>
      <c r="F1961" s="17" t="s">
        <v>7069</v>
      </c>
      <c r="G1961" s="17" t="s">
        <v>177</v>
      </c>
      <c r="H1961" s="17" t="s">
        <v>35</v>
      </c>
      <c r="I1961" s="17" t="s">
        <v>928</v>
      </c>
      <c r="J1961" s="17" t="s">
        <v>233</v>
      </c>
      <c r="K1961" s="19"/>
      <c r="L1961" s="19"/>
      <c r="M1961" s="19"/>
      <c r="N1961" s="19"/>
      <c r="O1961" s="17" t="n">
        <v>0</v>
      </c>
      <c r="P1961" s="18" t="s">
        <v>9399</v>
      </c>
      <c r="Q1961" s="18" t="s">
        <v>9400</v>
      </c>
      <c r="R1961" s="18" t="s">
        <v>9409</v>
      </c>
      <c r="S1961" s="17" t="s">
        <v>9398</v>
      </c>
      <c r="T1961" s="18" t="s">
        <v>9410</v>
      </c>
      <c r="U1961" s="19"/>
      <c r="V1961" s="18" t="s">
        <v>9411</v>
      </c>
      <c r="W1961" s="17" t="s">
        <v>240</v>
      </c>
      <c r="X1961" s="17" t="s">
        <v>8845</v>
      </c>
      <c r="Y1961" s="17" t="s">
        <v>242</v>
      </c>
      <c r="Z1961" s="19"/>
      <c r="AA1961" s="19"/>
      <c r="AB1961" s="17"/>
      <c r="AC1961" s="19"/>
    </row>
    <row r="1962" customFormat="false" ht="43.25" hidden="false" customHeight="false" outlineLevel="0" collapsed="false">
      <c r="A1962" s="10" t="s">
        <v>9412</v>
      </c>
      <c r="B1962" s="17" t="s">
        <v>124</v>
      </c>
      <c r="C1962" s="18" t="s">
        <v>125</v>
      </c>
      <c r="D1962" s="17" t="s">
        <v>19</v>
      </c>
      <c r="E1962" s="17" t="s">
        <v>75</v>
      </c>
      <c r="F1962" s="17" t="s">
        <v>7069</v>
      </c>
      <c r="G1962" s="17" t="s">
        <v>177</v>
      </c>
      <c r="H1962" s="17" t="s">
        <v>34</v>
      </c>
      <c r="I1962" s="17" t="s">
        <v>2638</v>
      </c>
      <c r="J1962" s="17" t="s">
        <v>233</v>
      </c>
      <c r="K1962" s="19"/>
      <c r="L1962" s="19"/>
      <c r="M1962" s="19"/>
      <c r="N1962" s="19"/>
      <c r="O1962" s="17" t="n">
        <v>3</v>
      </c>
      <c r="P1962" s="18" t="s">
        <v>9399</v>
      </c>
      <c r="Q1962" s="18" t="s">
        <v>9413</v>
      </c>
      <c r="R1962" s="18" t="s">
        <v>9414</v>
      </c>
      <c r="S1962" s="17" t="s">
        <v>9415</v>
      </c>
      <c r="T1962" s="18" t="s">
        <v>9416</v>
      </c>
      <c r="U1962" s="19"/>
      <c r="V1962" s="18" t="s">
        <v>9417</v>
      </c>
      <c r="W1962" s="17" t="s">
        <v>5511</v>
      </c>
      <c r="X1962" s="17" t="s">
        <v>8845</v>
      </c>
      <c r="Y1962" s="17" t="s">
        <v>242</v>
      </c>
      <c r="Z1962" s="19"/>
      <c r="AA1962" s="19"/>
      <c r="AB1962" s="17"/>
      <c r="AC1962" s="19"/>
    </row>
    <row r="1963" customFormat="false" ht="32.8" hidden="false" customHeight="false" outlineLevel="0" collapsed="false">
      <c r="A1963" s="10" t="s">
        <v>9418</v>
      </c>
      <c r="B1963" s="17" t="s">
        <v>124</v>
      </c>
      <c r="C1963" s="18" t="s">
        <v>125</v>
      </c>
      <c r="D1963" s="17" t="s">
        <v>19</v>
      </c>
      <c r="E1963" s="17" t="s">
        <v>75</v>
      </c>
      <c r="F1963" s="17" t="s">
        <v>7069</v>
      </c>
      <c r="G1963" s="17" t="s">
        <v>177</v>
      </c>
      <c r="H1963" s="17" t="s">
        <v>34</v>
      </c>
      <c r="I1963" s="17" t="s">
        <v>2638</v>
      </c>
      <c r="J1963" s="17" t="s">
        <v>233</v>
      </c>
      <c r="K1963" s="19"/>
      <c r="L1963" s="19"/>
      <c r="M1963" s="19"/>
      <c r="N1963" s="19"/>
      <c r="O1963" s="17" t="n">
        <v>3</v>
      </c>
      <c r="P1963" s="18" t="s">
        <v>9399</v>
      </c>
      <c r="Q1963" s="18" t="s">
        <v>9413</v>
      </c>
      <c r="R1963" s="18" t="s">
        <v>9419</v>
      </c>
      <c r="S1963" s="17" t="s">
        <v>9412</v>
      </c>
      <c r="T1963" s="18" t="s">
        <v>9420</v>
      </c>
      <c r="U1963" s="19"/>
      <c r="V1963" s="18" t="s">
        <v>9421</v>
      </c>
      <c r="W1963" s="17" t="s">
        <v>5511</v>
      </c>
      <c r="X1963" s="17" t="s">
        <v>8845</v>
      </c>
      <c r="Y1963" s="17" t="s">
        <v>242</v>
      </c>
      <c r="Z1963" s="19"/>
      <c r="AA1963" s="19"/>
      <c r="AB1963" s="17"/>
      <c r="AC1963" s="19"/>
    </row>
    <row r="1964" customFormat="false" ht="32.8" hidden="false" customHeight="false" outlineLevel="0" collapsed="false">
      <c r="A1964" s="10" t="s">
        <v>9422</v>
      </c>
      <c r="B1964" s="17" t="s">
        <v>143</v>
      </c>
      <c r="C1964" s="18" t="s">
        <v>144</v>
      </c>
      <c r="D1964" s="17" t="s">
        <v>19</v>
      </c>
      <c r="E1964" s="17" t="s">
        <v>75</v>
      </c>
      <c r="F1964" s="17" t="s">
        <v>7069</v>
      </c>
      <c r="G1964" s="17" t="s">
        <v>177</v>
      </c>
      <c r="H1964" s="17" t="s">
        <v>34</v>
      </c>
      <c r="I1964" s="17" t="s">
        <v>2638</v>
      </c>
      <c r="J1964" s="17" t="s">
        <v>233</v>
      </c>
      <c r="K1964" s="19"/>
      <c r="L1964" s="19"/>
      <c r="M1964" s="19"/>
      <c r="N1964" s="19"/>
      <c r="O1964" s="17" t="n">
        <v>3</v>
      </c>
      <c r="P1964" s="18" t="s">
        <v>9399</v>
      </c>
      <c r="Q1964" s="18" t="s">
        <v>9413</v>
      </c>
      <c r="R1964" s="18" t="s">
        <v>9423</v>
      </c>
      <c r="S1964" s="17" t="s">
        <v>9398</v>
      </c>
      <c r="T1964" s="18" t="s">
        <v>9424</v>
      </c>
      <c r="U1964" s="19"/>
      <c r="V1964" s="18" t="s">
        <v>9425</v>
      </c>
      <c r="W1964" s="17" t="s">
        <v>240</v>
      </c>
      <c r="X1964" s="17" t="s">
        <v>8845</v>
      </c>
      <c r="Y1964" s="17" t="s">
        <v>242</v>
      </c>
      <c r="Z1964" s="19"/>
      <c r="AA1964" s="19"/>
      <c r="AB1964" s="17"/>
      <c r="AC1964" s="19"/>
    </row>
    <row r="1965" customFormat="false" ht="32.8" hidden="false" customHeight="false" outlineLevel="0" collapsed="false">
      <c r="A1965" s="10" t="s">
        <v>9426</v>
      </c>
      <c r="B1965" s="17" t="s">
        <v>100</v>
      </c>
      <c r="C1965" s="18" t="s">
        <v>101</v>
      </c>
      <c r="D1965" s="17" t="s">
        <v>19</v>
      </c>
      <c r="E1965" s="17" t="s">
        <v>75</v>
      </c>
      <c r="F1965" s="17" t="s">
        <v>7069</v>
      </c>
      <c r="G1965" s="17" t="s">
        <v>177</v>
      </c>
      <c r="H1965" s="17" t="s">
        <v>33</v>
      </c>
      <c r="I1965" s="17" t="s">
        <v>1564</v>
      </c>
      <c r="J1965" s="17" t="s">
        <v>233</v>
      </c>
      <c r="K1965" s="19"/>
      <c r="L1965" s="19"/>
      <c r="M1965" s="19"/>
      <c r="N1965" s="19"/>
      <c r="O1965" s="17" t="n">
        <v>3</v>
      </c>
      <c r="P1965" s="18" t="s">
        <v>9399</v>
      </c>
      <c r="Q1965" s="18" t="s">
        <v>9413</v>
      </c>
      <c r="R1965" s="18" t="s">
        <v>9427</v>
      </c>
      <c r="S1965" s="17" t="s">
        <v>9398</v>
      </c>
      <c r="T1965" s="18" t="s">
        <v>9428</v>
      </c>
      <c r="U1965" s="19"/>
      <c r="V1965" s="18" t="s">
        <v>9429</v>
      </c>
      <c r="W1965" s="17" t="s">
        <v>240</v>
      </c>
      <c r="X1965" s="17" t="s">
        <v>8845</v>
      </c>
      <c r="Y1965" s="17" t="s">
        <v>242</v>
      </c>
      <c r="Z1965" s="19"/>
      <c r="AA1965" s="19"/>
      <c r="AB1965" s="17"/>
      <c r="AC1965" s="19"/>
    </row>
    <row r="1966" customFormat="false" ht="43.25" hidden="false" customHeight="false" outlineLevel="0" collapsed="false">
      <c r="A1966" s="10" t="s">
        <v>9430</v>
      </c>
      <c r="B1966" s="17" t="s">
        <v>181</v>
      </c>
      <c r="C1966" s="18" t="s">
        <v>182</v>
      </c>
      <c r="D1966" s="17" t="s">
        <v>19</v>
      </c>
      <c r="E1966" s="17" t="s">
        <v>75</v>
      </c>
      <c r="F1966" s="17" t="s">
        <v>7069</v>
      </c>
      <c r="G1966" s="17" t="s">
        <v>177</v>
      </c>
      <c r="H1966" s="17" t="s">
        <v>35</v>
      </c>
      <c r="I1966" s="17" t="s">
        <v>1413</v>
      </c>
      <c r="J1966" s="17" t="s">
        <v>233</v>
      </c>
      <c r="K1966" s="19"/>
      <c r="L1966" s="19"/>
      <c r="M1966" s="19"/>
      <c r="N1966" s="19"/>
      <c r="O1966" s="17" t="n">
        <v>3</v>
      </c>
      <c r="P1966" s="18" t="s">
        <v>9399</v>
      </c>
      <c r="Q1966" s="18" t="s">
        <v>9431</v>
      </c>
      <c r="R1966" s="18" t="s">
        <v>9432</v>
      </c>
      <c r="S1966" s="17" t="s">
        <v>9433</v>
      </c>
      <c r="T1966" s="18" t="s">
        <v>9434</v>
      </c>
      <c r="U1966" s="19"/>
      <c r="V1966" s="18" t="s">
        <v>9435</v>
      </c>
      <c r="W1966" s="17" t="s">
        <v>240</v>
      </c>
      <c r="X1966" s="17" t="s">
        <v>8845</v>
      </c>
      <c r="Y1966" s="17" t="s">
        <v>242</v>
      </c>
      <c r="Z1966" s="19"/>
      <c r="AA1966" s="19"/>
      <c r="AB1966" s="17"/>
      <c r="AC1966" s="19"/>
    </row>
    <row r="1967" customFormat="false" ht="32.8" hidden="false" customHeight="false" outlineLevel="0" collapsed="false">
      <c r="A1967" s="10" t="s">
        <v>9436</v>
      </c>
      <c r="B1967" s="17" t="s">
        <v>181</v>
      </c>
      <c r="C1967" s="18" t="s">
        <v>182</v>
      </c>
      <c r="D1967" s="17" t="s">
        <v>19</v>
      </c>
      <c r="E1967" s="17" t="s">
        <v>75</v>
      </c>
      <c r="F1967" s="17" t="s">
        <v>7069</v>
      </c>
      <c r="G1967" s="17" t="s">
        <v>177</v>
      </c>
      <c r="H1967" s="17" t="s">
        <v>35</v>
      </c>
      <c r="I1967" s="17" t="s">
        <v>1413</v>
      </c>
      <c r="J1967" s="17" t="s">
        <v>233</v>
      </c>
      <c r="K1967" s="19"/>
      <c r="L1967" s="19"/>
      <c r="M1967" s="19"/>
      <c r="N1967" s="19"/>
      <c r="O1967" s="17" t="n">
        <v>3</v>
      </c>
      <c r="P1967" s="18" t="s">
        <v>9399</v>
      </c>
      <c r="Q1967" s="18" t="s">
        <v>9431</v>
      </c>
      <c r="R1967" s="18" t="s">
        <v>9437</v>
      </c>
      <c r="S1967" s="17" t="s">
        <v>9430</v>
      </c>
      <c r="T1967" s="18" t="s">
        <v>9438</v>
      </c>
      <c r="U1967" s="19"/>
      <c r="V1967" s="18" t="s">
        <v>9439</v>
      </c>
      <c r="W1967" s="17" t="s">
        <v>240</v>
      </c>
      <c r="X1967" s="17" t="s">
        <v>8845</v>
      </c>
      <c r="Y1967" s="17" t="s">
        <v>242</v>
      </c>
      <c r="Z1967" s="19"/>
      <c r="AA1967" s="19"/>
      <c r="AB1967" s="17"/>
      <c r="AC1967" s="19"/>
    </row>
    <row r="1968" customFormat="false" ht="43.25" hidden="false" customHeight="false" outlineLevel="0" collapsed="false">
      <c r="A1968" s="10" t="s">
        <v>9440</v>
      </c>
      <c r="B1968" s="17" t="s">
        <v>127</v>
      </c>
      <c r="C1968" s="18" t="s">
        <v>128</v>
      </c>
      <c r="D1968" s="17" t="s">
        <v>19</v>
      </c>
      <c r="E1968" s="17" t="s">
        <v>75</v>
      </c>
      <c r="F1968" s="17" t="s">
        <v>7069</v>
      </c>
      <c r="G1968" s="17" t="s">
        <v>177</v>
      </c>
      <c r="H1968" s="17" t="s">
        <v>34</v>
      </c>
      <c r="I1968" s="17" t="s">
        <v>369</v>
      </c>
      <c r="J1968" s="17" t="s">
        <v>233</v>
      </c>
      <c r="K1968" s="19"/>
      <c r="L1968" s="19"/>
      <c r="M1968" s="19"/>
      <c r="N1968" s="19"/>
      <c r="O1968" s="17" t="n">
        <v>4</v>
      </c>
      <c r="P1968" s="18" t="s">
        <v>9399</v>
      </c>
      <c r="Q1968" s="18" t="s">
        <v>9431</v>
      </c>
      <c r="R1968" s="18" t="s">
        <v>9441</v>
      </c>
      <c r="S1968" s="17" t="s">
        <v>9442</v>
      </c>
      <c r="T1968" s="18" t="s">
        <v>9443</v>
      </c>
      <c r="U1968" s="19"/>
      <c r="V1968" s="18" t="s">
        <v>9444</v>
      </c>
      <c r="W1968" s="17" t="s">
        <v>5511</v>
      </c>
      <c r="X1968" s="17" t="s">
        <v>8845</v>
      </c>
      <c r="Y1968" s="17" t="s">
        <v>242</v>
      </c>
      <c r="Z1968" s="19"/>
      <c r="AA1968" s="19"/>
      <c r="AB1968" s="17"/>
      <c r="AC1968" s="19"/>
    </row>
    <row r="1969" customFormat="false" ht="32.8" hidden="false" customHeight="false" outlineLevel="0" collapsed="false">
      <c r="A1969" s="10" t="s">
        <v>9445</v>
      </c>
      <c r="B1969" s="17" t="s">
        <v>127</v>
      </c>
      <c r="C1969" s="18" t="s">
        <v>128</v>
      </c>
      <c r="D1969" s="17" t="s">
        <v>19</v>
      </c>
      <c r="E1969" s="17" t="s">
        <v>75</v>
      </c>
      <c r="F1969" s="17" t="s">
        <v>7069</v>
      </c>
      <c r="G1969" s="17" t="s">
        <v>177</v>
      </c>
      <c r="H1969" s="17" t="s">
        <v>34</v>
      </c>
      <c r="I1969" s="17" t="s">
        <v>369</v>
      </c>
      <c r="J1969" s="17" t="s">
        <v>233</v>
      </c>
      <c r="K1969" s="19"/>
      <c r="L1969" s="19"/>
      <c r="M1969" s="19"/>
      <c r="N1969" s="19"/>
      <c r="O1969" s="17" t="n">
        <v>4</v>
      </c>
      <c r="P1969" s="18" t="s">
        <v>9399</v>
      </c>
      <c r="Q1969" s="18" t="s">
        <v>9431</v>
      </c>
      <c r="R1969" s="18" t="s">
        <v>9446</v>
      </c>
      <c r="S1969" s="17" t="s">
        <v>9440</v>
      </c>
      <c r="T1969" s="18" t="s">
        <v>9447</v>
      </c>
      <c r="U1969" s="19"/>
      <c r="V1969" s="18" t="s">
        <v>9448</v>
      </c>
      <c r="W1969" s="17" t="s">
        <v>5511</v>
      </c>
      <c r="X1969" s="17" t="s">
        <v>8845</v>
      </c>
      <c r="Y1969" s="17" t="s">
        <v>242</v>
      </c>
      <c r="Z1969" s="19"/>
      <c r="AA1969" s="19"/>
      <c r="AB1969" s="17"/>
      <c r="AC1969" s="19"/>
    </row>
    <row r="1970" customFormat="false" ht="43.25" hidden="false" customHeight="false" outlineLevel="0" collapsed="false">
      <c r="A1970" s="10" t="s">
        <v>9449</v>
      </c>
      <c r="B1970" s="17" t="s">
        <v>181</v>
      </c>
      <c r="C1970" s="18" t="s">
        <v>182</v>
      </c>
      <c r="D1970" s="17" t="s">
        <v>19</v>
      </c>
      <c r="E1970" s="17" t="s">
        <v>75</v>
      </c>
      <c r="F1970" s="17" t="s">
        <v>7069</v>
      </c>
      <c r="G1970" s="17" t="s">
        <v>177</v>
      </c>
      <c r="H1970" s="17" t="s">
        <v>35</v>
      </c>
      <c r="I1970" s="17" t="s">
        <v>1564</v>
      </c>
      <c r="J1970" s="17" t="s">
        <v>233</v>
      </c>
      <c r="K1970" s="19"/>
      <c r="L1970" s="19"/>
      <c r="M1970" s="19"/>
      <c r="N1970" s="19"/>
      <c r="O1970" s="17" t="n">
        <v>3</v>
      </c>
      <c r="P1970" s="18" t="s">
        <v>9399</v>
      </c>
      <c r="Q1970" s="18" t="s">
        <v>9431</v>
      </c>
      <c r="R1970" s="18" t="s">
        <v>9450</v>
      </c>
      <c r="S1970" s="17" t="s">
        <v>9451</v>
      </c>
      <c r="T1970" s="18" t="s">
        <v>9452</v>
      </c>
      <c r="U1970" s="19"/>
      <c r="V1970" s="18" t="s">
        <v>9453</v>
      </c>
      <c r="W1970" s="17" t="s">
        <v>240</v>
      </c>
      <c r="X1970" s="17" t="s">
        <v>8845</v>
      </c>
      <c r="Y1970" s="17" t="s">
        <v>242</v>
      </c>
      <c r="Z1970" s="19"/>
      <c r="AA1970" s="19"/>
      <c r="AB1970" s="17"/>
      <c r="AC1970" s="19"/>
    </row>
    <row r="1971" customFormat="false" ht="22.35" hidden="false" customHeight="false" outlineLevel="0" collapsed="false">
      <c r="A1971" s="10" t="s">
        <v>9454</v>
      </c>
      <c r="B1971" s="17" t="s">
        <v>181</v>
      </c>
      <c r="C1971" s="18" t="s">
        <v>182</v>
      </c>
      <c r="D1971" s="17" t="s">
        <v>19</v>
      </c>
      <c r="E1971" s="17" t="s">
        <v>75</v>
      </c>
      <c r="F1971" s="17" t="s">
        <v>7069</v>
      </c>
      <c r="G1971" s="17" t="s">
        <v>177</v>
      </c>
      <c r="H1971" s="17" t="s">
        <v>35</v>
      </c>
      <c r="I1971" s="17" t="s">
        <v>1028</v>
      </c>
      <c r="J1971" s="17" t="s">
        <v>233</v>
      </c>
      <c r="K1971" s="19"/>
      <c r="L1971" s="19"/>
      <c r="M1971" s="19"/>
      <c r="N1971" s="19"/>
      <c r="O1971" s="17" t="n">
        <v>3</v>
      </c>
      <c r="P1971" s="18" t="s">
        <v>9399</v>
      </c>
      <c r="Q1971" s="18" t="s">
        <v>9431</v>
      </c>
      <c r="R1971" s="18" t="s">
        <v>9455</v>
      </c>
      <c r="S1971" s="17" t="s">
        <v>9449</v>
      </c>
      <c r="T1971" s="18" t="s">
        <v>8883</v>
      </c>
      <c r="U1971" s="19"/>
      <c r="V1971" s="18" t="s">
        <v>8884</v>
      </c>
      <c r="W1971" s="17" t="s">
        <v>240</v>
      </c>
      <c r="X1971" s="17" t="s">
        <v>8845</v>
      </c>
      <c r="Y1971" s="17" t="s">
        <v>242</v>
      </c>
      <c r="Z1971" s="19"/>
      <c r="AA1971" s="19"/>
      <c r="AB1971" s="17"/>
      <c r="AC1971" s="19"/>
    </row>
    <row r="1972" customFormat="false" ht="43.25" hidden="false" customHeight="false" outlineLevel="0" collapsed="false">
      <c r="A1972" s="10" t="s">
        <v>9456</v>
      </c>
      <c r="B1972" s="17" t="s">
        <v>116</v>
      </c>
      <c r="C1972" s="18" t="s">
        <v>117</v>
      </c>
      <c r="D1972" s="17" t="s">
        <v>19</v>
      </c>
      <c r="E1972" s="17" t="s">
        <v>229</v>
      </c>
      <c r="F1972" s="17" t="s">
        <v>5647</v>
      </c>
      <c r="G1972" s="17" t="s">
        <v>118</v>
      </c>
      <c r="H1972" s="17" t="s">
        <v>31</v>
      </c>
      <c r="I1972" s="17" t="s">
        <v>232</v>
      </c>
      <c r="J1972" s="17" t="s">
        <v>233</v>
      </c>
      <c r="K1972" s="19"/>
      <c r="L1972" s="19"/>
      <c r="M1972" s="19"/>
      <c r="N1972" s="19"/>
      <c r="O1972" s="17" t="n">
        <v>0</v>
      </c>
      <c r="P1972" s="18" t="s">
        <v>9457</v>
      </c>
      <c r="Q1972" s="18" t="s">
        <v>9458</v>
      </c>
      <c r="R1972" s="18" t="s">
        <v>9459</v>
      </c>
      <c r="S1972" s="17" t="s">
        <v>5011</v>
      </c>
      <c r="T1972" s="18" t="s">
        <v>9460</v>
      </c>
      <c r="U1972" s="19"/>
      <c r="V1972" s="18" t="s">
        <v>9461</v>
      </c>
      <c r="W1972" s="17" t="s">
        <v>240</v>
      </c>
      <c r="X1972" s="17" t="s">
        <v>8845</v>
      </c>
      <c r="Y1972" s="17" t="s">
        <v>242</v>
      </c>
      <c r="Z1972" s="19"/>
      <c r="AA1972" s="19"/>
      <c r="AB1972" s="17"/>
      <c r="AC1972" s="19"/>
    </row>
    <row r="1973" customFormat="false" ht="32.8" hidden="false" customHeight="false" outlineLevel="0" collapsed="false">
      <c r="A1973" s="10" t="s">
        <v>9462</v>
      </c>
      <c r="B1973" s="17" t="s">
        <v>116</v>
      </c>
      <c r="C1973" s="18" t="s">
        <v>117</v>
      </c>
      <c r="D1973" s="17" t="s">
        <v>19</v>
      </c>
      <c r="E1973" s="17" t="s">
        <v>229</v>
      </c>
      <c r="F1973" s="17" t="s">
        <v>5647</v>
      </c>
      <c r="G1973" s="17" t="s">
        <v>118</v>
      </c>
      <c r="H1973" s="17" t="s">
        <v>31</v>
      </c>
      <c r="I1973" s="17" t="s">
        <v>232</v>
      </c>
      <c r="J1973" s="17" t="s">
        <v>233</v>
      </c>
      <c r="K1973" s="19"/>
      <c r="L1973" s="19"/>
      <c r="M1973" s="19"/>
      <c r="N1973" s="19"/>
      <c r="O1973" s="17" t="n">
        <v>0</v>
      </c>
      <c r="P1973" s="18" t="s">
        <v>9457</v>
      </c>
      <c r="Q1973" s="18" t="s">
        <v>9458</v>
      </c>
      <c r="R1973" s="18" t="s">
        <v>9463</v>
      </c>
      <c r="S1973" s="17" t="s">
        <v>9456</v>
      </c>
      <c r="T1973" s="18" t="s">
        <v>9464</v>
      </c>
      <c r="U1973" s="19"/>
      <c r="V1973" s="18" t="s">
        <v>9465</v>
      </c>
      <c r="W1973" s="17" t="s">
        <v>240</v>
      </c>
      <c r="X1973" s="17" t="s">
        <v>8845</v>
      </c>
      <c r="Y1973" s="17" t="s">
        <v>242</v>
      </c>
      <c r="Z1973" s="19"/>
      <c r="AA1973" s="19"/>
      <c r="AB1973" s="17"/>
      <c r="AC1973" s="19"/>
    </row>
    <row r="1974" customFormat="false" ht="43.25" hidden="false" customHeight="false" outlineLevel="0" collapsed="false">
      <c r="A1974" s="10" t="s">
        <v>9466</v>
      </c>
      <c r="B1974" s="17" t="s">
        <v>116</v>
      </c>
      <c r="C1974" s="18" t="s">
        <v>117</v>
      </c>
      <c r="D1974" s="17" t="s">
        <v>19</v>
      </c>
      <c r="E1974" s="17" t="s">
        <v>75</v>
      </c>
      <c r="F1974" s="17" t="s">
        <v>5647</v>
      </c>
      <c r="G1974" s="17" t="s">
        <v>118</v>
      </c>
      <c r="H1974" s="17" t="s">
        <v>31</v>
      </c>
      <c r="I1974" s="17" t="s">
        <v>316</v>
      </c>
      <c r="J1974" s="17" t="s">
        <v>233</v>
      </c>
      <c r="K1974" s="19"/>
      <c r="L1974" s="19"/>
      <c r="M1974" s="19"/>
      <c r="N1974" s="19"/>
      <c r="O1974" s="17" t="n">
        <v>2</v>
      </c>
      <c r="P1974" s="18" t="s">
        <v>9457</v>
      </c>
      <c r="Q1974" s="18" t="s">
        <v>9458</v>
      </c>
      <c r="R1974" s="18" t="s">
        <v>9467</v>
      </c>
      <c r="S1974" s="17" t="s">
        <v>9462</v>
      </c>
      <c r="T1974" s="18" t="s">
        <v>9468</v>
      </c>
      <c r="U1974" s="19"/>
      <c r="V1974" s="18" t="s">
        <v>9469</v>
      </c>
      <c r="W1974" s="17" t="s">
        <v>240</v>
      </c>
      <c r="X1974" s="17" t="s">
        <v>8845</v>
      </c>
      <c r="Y1974" s="17" t="s">
        <v>242</v>
      </c>
      <c r="Z1974" s="19"/>
      <c r="AA1974" s="19"/>
      <c r="AB1974" s="17"/>
      <c r="AC1974" s="19"/>
    </row>
    <row r="1975" customFormat="false" ht="43.25" hidden="false" customHeight="false" outlineLevel="0" collapsed="false">
      <c r="A1975" s="10" t="s">
        <v>9470</v>
      </c>
      <c r="B1975" s="17" t="s">
        <v>116</v>
      </c>
      <c r="C1975" s="18" t="s">
        <v>117</v>
      </c>
      <c r="D1975" s="17" t="s">
        <v>19</v>
      </c>
      <c r="E1975" s="17" t="s">
        <v>75</v>
      </c>
      <c r="F1975" s="17" t="s">
        <v>5647</v>
      </c>
      <c r="G1975" s="17" t="s">
        <v>118</v>
      </c>
      <c r="H1975" s="17" t="s">
        <v>31</v>
      </c>
      <c r="I1975" s="17" t="s">
        <v>369</v>
      </c>
      <c r="J1975" s="17" t="s">
        <v>233</v>
      </c>
      <c r="K1975" s="19"/>
      <c r="L1975" s="19"/>
      <c r="M1975" s="19"/>
      <c r="N1975" s="19"/>
      <c r="O1975" s="17" t="n">
        <v>2</v>
      </c>
      <c r="P1975" s="18" t="s">
        <v>9457</v>
      </c>
      <c r="Q1975" s="18" t="s">
        <v>9458</v>
      </c>
      <c r="R1975" s="18" t="s">
        <v>9471</v>
      </c>
      <c r="S1975" s="17" t="s">
        <v>9466</v>
      </c>
      <c r="T1975" s="18" t="s">
        <v>9472</v>
      </c>
      <c r="U1975" s="19"/>
      <c r="V1975" s="18" t="s">
        <v>9473</v>
      </c>
      <c r="W1975" s="17" t="s">
        <v>240</v>
      </c>
      <c r="X1975" s="17" t="s">
        <v>8845</v>
      </c>
      <c r="Y1975" s="17" t="s">
        <v>242</v>
      </c>
      <c r="Z1975" s="19"/>
      <c r="AA1975" s="19"/>
      <c r="AB1975" s="17"/>
      <c r="AC1975" s="19"/>
    </row>
    <row r="1976" customFormat="false" ht="43.25" hidden="false" customHeight="false" outlineLevel="0" collapsed="false">
      <c r="A1976" s="10" t="s">
        <v>9474</v>
      </c>
      <c r="B1976" s="17" t="s">
        <v>116</v>
      </c>
      <c r="C1976" s="18" t="s">
        <v>117</v>
      </c>
      <c r="D1976" s="17" t="s">
        <v>19</v>
      </c>
      <c r="E1976" s="17" t="s">
        <v>75</v>
      </c>
      <c r="F1976" s="17" t="s">
        <v>5647</v>
      </c>
      <c r="G1976" s="17" t="s">
        <v>118</v>
      </c>
      <c r="H1976" s="17" t="s">
        <v>31</v>
      </c>
      <c r="I1976" s="17" t="s">
        <v>316</v>
      </c>
      <c r="J1976" s="17" t="s">
        <v>233</v>
      </c>
      <c r="K1976" s="19"/>
      <c r="L1976" s="19"/>
      <c r="M1976" s="19"/>
      <c r="N1976" s="19"/>
      <c r="O1976" s="17" t="n">
        <v>2</v>
      </c>
      <c r="P1976" s="18" t="s">
        <v>9457</v>
      </c>
      <c r="Q1976" s="18" t="s">
        <v>9475</v>
      </c>
      <c r="R1976" s="18" t="s">
        <v>9476</v>
      </c>
      <c r="S1976" s="17" t="s">
        <v>9477</v>
      </c>
      <c r="T1976" s="18" t="s">
        <v>9478</v>
      </c>
      <c r="U1976" s="19"/>
      <c r="V1976" s="18" t="s">
        <v>9479</v>
      </c>
      <c r="W1976" s="17" t="s">
        <v>240</v>
      </c>
      <c r="X1976" s="17" t="s">
        <v>8845</v>
      </c>
      <c r="Y1976" s="17" t="s">
        <v>242</v>
      </c>
      <c r="Z1976" s="19"/>
      <c r="AA1976" s="19"/>
      <c r="AB1976" s="17"/>
      <c r="AC1976" s="19"/>
    </row>
    <row r="1977" customFormat="false" ht="32.8" hidden="false" customHeight="false" outlineLevel="0" collapsed="false">
      <c r="A1977" s="10" t="s">
        <v>9480</v>
      </c>
      <c r="B1977" s="17" t="s">
        <v>116</v>
      </c>
      <c r="C1977" s="18" t="s">
        <v>117</v>
      </c>
      <c r="D1977" s="17" t="s">
        <v>19</v>
      </c>
      <c r="E1977" s="17" t="s">
        <v>75</v>
      </c>
      <c r="F1977" s="17" t="s">
        <v>5647</v>
      </c>
      <c r="G1977" s="17" t="s">
        <v>118</v>
      </c>
      <c r="H1977" s="17" t="s">
        <v>31</v>
      </c>
      <c r="I1977" s="17" t="s">
        <v>316</v>
      </c>
      <c r="J1977" s="17" t="s">
        <v>233</v>
      </c>
      <c r="K1977" s="19"/>
      <c r="L1977" s="19"/>
      <c r="M1977" s="19"/>
      <c r="N1977" s="19"/>
      <c r="O1977" s="17" t="n">
        <v>2</v>
      </c>
      <c r="P1977" s="18" t="s">
        <v>9457</v>
      </c>
      <c r="Q1977" s="18" t="s">
        <v>9475</v>
      </c>
      <c r="R1977" s="18" t="s">
        <v>9481</v>
      </c>
      <c r="S1977" s="17" t="s">
        <v>9474</v>
      </c>
      <c r="T1977" s="18" t="s">
        <v>9482</v>
      </c>
      <c r="U1977" s="19"/>
      <c r="V1977" s="18" t="s">
        <v>9483</v>
      </c>
      <c r="W1977" s="17" t="s">
        <v>240</v>
      </c>
      <c r="X1977" s="17" t="s">
        <v>8845</v>
      </c>
      <c r="Y1977" s="17" t="s">
        <v>242</v>
      </c>
      <c r="Z1977" s="19"/>
      <c r="AA1977" s="19"/>
      <c r="AB1977" s="17"/>
      <c r="AC1977" s="19"/>
    </row>
    <row r="1978" customFormat="false" ht="32.8" hidden="false" customHeight="false" outlineLevel="0" collapsed="false">
      <c r="A1978" s="10" t="s">
        <v>9484</v>
      </c>
      <c r="B1978" s="17" t="s">
        <v>116</v>
      </c>
      <c r="C1978" s="18" t="s">
        <v>117</v>
      </c>
      <c r="D1978" s="17" t="s">
        <v>19</v>
      </c>
      <c r="E1978" s="17" t="s">
        <v>75</v>
      </c>
      <c r="F1978" s="17" t="s">
        <v>5647</v>
      </c>
      <c r="G1978" s="17" t="s">
        <v>118</v>
      </c>
      <c r="H1978" s="17" t="s">
        <v>31</v>
      </c>
      <c r="I1978" s="17" t="s">
        <v>1028</v>
      </c>
      <c r="J1978" s="17" t="s">
        <v>233</v>
      </c>
      <c r="K1978" s="19"/>
      <c r="L1978" s="19"/>
      <c r="M1978" s="19"/>
      <c r="N1978" s="19"/>
      <c r="O1978" s="17" t="n">
        <v>1</v>
      </c>
      <c r="P1978" s="18" t="s">
        <v>9457</v>
      </c>
      <c r="Q1978" s="18" t="s">
        <v>9475</v>
      </c>
      <c r="R1978" s="18" t="s">
        <v>9485</v>
      </c>
      <c r="S1978" s="17" t="s">
        <v>9486</v>
      </c>
      <c r="T1978" s="18" t="s">
        <v>9487</v>
      </c>
      <c r="U1978" s="19"/>
      <c r="V1978" s="18" t="s">
        <v>9488</v>
      </c>
      <c r="W1978" s="17" t="s">
        <v>240</v>
      </c>
      <c r="X1978" s="17" t="s">
        <v>8845</v>
      </c>
      <c r="Y1978" s="17" t="s">
        <v>242</v>
      </c>
      <c r="Z1978" s="19"/>
      <c r="AA1978" s="19"/>
      <c r="AB1978" s="17"/>
      <c r="AC1978" s="19"/>
    </row>
    <row r="1979" customFormat="false" ht="32.8" hidden="false" customHeight="false" outlineLevel="0" collapsed="false">
      <c r="A1979" s="10" t="s">
        <v>9489</v>
      </c>
      <c r="B1979" s="17" t="s">
        <v>116</v>
      </c>
      <c r="C1979" s="18" t="s">
        <v>117</v>
      </c>
      <c r="D1979" s="17" t="s">
        <v>19</v>
      </c>
      <c r="E1979" s="17" t="s">
        <v>75</v>
      </c>
      <c r="F1979" s="17" t="s">
        <v>5647</v>
      </c>
      <c r="G1979" s="17" t="s">
        <v>118</v>
      </c>
      <c r="H1979" s="17" t="s">
        <v>31</v>
      </c>
      <c r="I1979" s="17" t="s">
        <v>333</v>
      </c>
      <c r="J1979" s="17" t="s">
        <v>233</v>
      </c>
      <c r="K1979" s="19"/>
      <c r="L1979" s="19"/>
      <c r="M1979" s="19"/>
      <c r="N1979" s="19"/>
      <c r="O1979" s="17" t="n">
        <v>2</v>
      </c>
      <c r="P1979" s="18" t="s">
        <v>9457</v>
      </c>
      <c r="Q1979" s="18" t="s">
        <v>9475</v>
      </c>
      <c r="R1979" s="18" t="s">
        <v>9490</v>
      </c>
      <c r="S1979" s="17" t="s">
        <v>9474</v>
      </c>
      <c r="T1979" s="18" t="s">
        <v>9491</v>
      </c>
      <c r="U1979" s="19"/>
      <c r="V1979" s="18" t="s">
        <v>9492</v>
      </c>
      <c r="W1979" s="17" t="s">
        <v>240</v>
      </c>
      <c r="X1979" s="17" t="s">
        <v>8845</v>
      </c>
      <c r="Y1979" s="17" t="s">
        <v>242</v>
      </c>
      <c r="Z1979" s="19"/>
      <c r="AA1979" s="19"/>
      <c r="AB1979" s="17"/>
      <c r="AC1979" s="19"/>
    </row>
    <row r="1980" customFormat="false" ht="43.25" hidden="false" customHeight="false" outlineLevel="0" collapsed="false">
      <c r="A1980" s="10" t="s">
        <v>9493</v>
      </c>
      <c r="B1980" s="17" t="s">
        <v>116</v>
      </c>
      <c r="C1980" s="18" t="s">
        <v>117</v>
      </c>
      <c r="D1980" s="17" t="s">
        <v>19</v>
      </c>
      <c r="E1980" s="17" t="s">
        <v>75</v>
      </c>
      <c r="F1980" s="17" t="s">
        <v>5647</v>
      </c>
      <c r="G1980" s="17" t="s">
        <v>118</v>
      </c>
      <c r="H1980" s="17" t="s">
        <v>31</v>
      </c>
      <c r="I1980" s="17" t="s">
        <v>450</v>
      </c>
      <c r="J1980" s="17" t="s">
        <v>233</v>
      </c>
      <c r="K1980" s="19"/>
      <c r="L1980" s="19"/>
      <c r="M1980" s="19"/>
      <c r="N1980" s="19"/>
      <c r="O1980" s="17" t="n">
        <v>3</v>
      </c>
      <c r="P1980" s="18" t="s">
        <v>9457</v>
      </c>
      <c r="Q1980" s="18" t="s">
        <v>9475</v>
      </c>
      <c r="R1980" s="18" t="s">
        <v>9494</v>
      </c>
      <c r="S1980" s="17" t="s">
        <v>9495</v>
      </c>
      <c r="T1980" s="18" t="s">
        <v>9496</v>
      </c>
      <c r="U1980" s="19"/>
      <c r="V1980" s="18" t="s">
        <v>9497</v>
      </c>
      <c r="W1980" s="17" t="s">
        <v>240</v>
      </c>
      <c r="X1980" s="17" t="s">
        <v>8845</v>
      </c>
      <c r="Y1980" s="17" t="s">
        <v>242</v>
      </c>
      <c r="Z1980" s="19"/>
      <c r="AA1980" s="19"/>
      <c r="AB1980" s="17"/>
      <c r="AC1980" s="19"/>
    </row>
    <row r="1981" customFormat="false" ht="32.8" hidden="false" customHeight="false" outlineLevel="0" collapsed="false">
      <c r="A1981" s="10" t="s">
        <v>9498</v>
      </c>
      <c r="B1981" s="17" t="s">
        <v>116</v>
      </c>
      <c r="C1981" s="18" t="s">
        <v>117</v>
      </c>
      <c r="D1981" s="17" t="s">
        <v>19</v>
      </c>
      <c r="E1981" s="17" t="s">
        <v>75</v>
      </c>
      <c r="F1981" s="17" t="s">
        <v>5647</v>
      </c>
      <c r="G1981" s="17" t="s">
        <v>118</v>
      </c>
      <c r="H1981" s="17" t="s">
        <v>31</v>
      </c>
      <c r="I1981" s="17" t="s">
        <v>1028</v>
      </c>
      <c r="J1981" s="17" t="s">
        <v>233</v>
      </c>
      <c r="K1981" s="19"/>
      <c r="L1981" s="19"/>
      <c r="M1981" s="19"/>
      <c r="N1981" s="19"/>
      <c r="O1981" s="17" t="n">
        <v>3</v>
      </c>
      <c r="P1981" s="18" t="s">
        <v>9457</v>
      </c>
      <c r="Q1981" s="18" t="s">
        <v>9475</v>
      </c>
      <c r="R1981" s="18" t="s">
        <v>9499</v>
      </c>
      <c r="S1981" s="17" t="s">
        <v>9493</v>
      </c>
      <c r="T1981" s="18" t="s">
        <v>8883</v>
      </c>
      <c r="U1981" s="19"/>
      <c r="V1981" s="18" t="s">
        <v>8884</v>
      </c>
      <c r="W1981" s="17" t="s">
        <v>240</v>
      </c>
      <c r="X1981" s="17" t="s">
        <v>8845</v>
      </c>
      <c r="Y1981" s="17" t="s">
        <v>242</v>
      </c>
      <c r="Z1981" s="19"/>
      <c r="AA1981" s="19"/>
      <c r="AB1981" s="17"/>
      <c r="AC1981" s="19"/>
    </row>
    <row r="1982" customFormat="false" ht="43.25" hidden="false" customHeight="false" outlineLevel="0" collapsed="false">
      <c r="A1982" s="10" t="s">
        <v>9500</v>
      </c>
      <c r="B1982" s="17" t="s">
        <v>187</v>
      </c>
      <c r="C1982" s="18" t="s">
        <v>188</v>
      </c>
      <c r="D1982" s="17" t="s">
        <v>19</v>
      </c>
      <c r="E1982" s="17" t="s">
        <v>75</v>
      </c>
      <c r="F1982" s="17" t="s">
        <v>7069</v>
      </c>
      <c r="G1982" s="17" t="s">
        <v>177</v>
      </c>
      <c r="H1982" s="17" t="s">
        <v>28</v>
      </c>
      <c r="I1982" s="17" t="s">
        <v>232</v>
      </c>
      <c r="J1982" s="17" t="s">
        <v>233</v>
      </c>
      <c r="K1982" s="19"/>
      <c r="L1982" s="19"/>
      <c r="M1982" s="19"/>
      <c r="N1982" s="19"/>
      <c r="O1982" s="17" t="n">
        <v>1</v>
      </c>
      <c r="P1982" s="18" t="s">
        <v>9501</v>
      </c>
      <c r="Q1982" s="18" t="s">
        <v>9502</v>
      </c>
      <c r="R1982" s="18" t="s">
        <v>9503</v>
      </c>
      <c r="S1982" s="17" t="s">
        <v>9504</v>
      </c>
      <c r="T1982" s="18" t="s">
        <v>9505</v>
      </c>
      <c r="U1982" s="19"/>
      <c r="V1982" s="18" t="s">
        <v>9506</v>
      </c>
      <c r="W1982" s="17" t="s">
        <v>240</v>
      </c>
      <c r="X1982" s="17" t="s">
        <v>9507</v>
      </c>
      <c r="Y1982" s="17" t="s">
        <v>242</v>
      </c>
      <c r="Z1982" s="19"/>
      <c r="AA1982" s="19"/>
      <c r="AB1982" s="17"/>
      <c r="AC1982" s="19"/>
    </row>
    <row r="1983" customFormat="false" ht="43.25" hidden="false" customHeight="false" outlineLevel="0" collapsed="false">
      <c r="A1983" s="10" t="s">
        <v>9508</v>
      </c>
      <c r="B1983" s="17" t="s">
        <v>187</v>
      </c>
      <c r="C1983" s="18" t="s">
        <v>188</v>
      </c>
      <c r="D1983" s="17" t="s">
        <v>19</v>
      </c>
      <c r="E1983" s="17" t="s">
        <v>75</v>
      </c>
      <c r="F1983" s="17" t="s">
        <v>7069</v>
      </c>
      <c r="G1983" s="17" t="s">
        <v>177</v>
      </c>
      <c r="H1983" s="17" t="s">
        <v>28</v>
      </c>
      <c r="I1983" s="17" t="s">
        <v>232</v>
      </c>
      <c r="J1983" s="17" t="s">
        <v>233</v>
      </c>
      <c r="K1983" s="19"/>
      <c r="L1983" s="19"/>
      <c r="M1983" s="19"/>
      <c r="N1983" s="19"/>
      <c r="O1983" s="17" t="n">
        <v>1</v>
      </c>
      <c r="P1983" s="18" t="s">
        <v>9501</v>
      </c>
      <c r="Q1983" s="18" t="s">
        <v>9502</v>
      </c>
      <c r="R1983" s="18" t="s">
        <v>9509</v>
      </c>
      <c r="S1983" s="17" t="s">
        <v>9510</v>
      </c>
      <c r="T1983" s="18" t="s">
        <v>9511</v>
      </c>
      <c r="U1983" s="19"/>
      <c r="V1983" s="18" t="s">
        <v>9512</v>
      </c>
      <c r="W1983" s="17" t="s">
        <v>240</v>
      </c>
      <c r="X1983" s="17" t="s">
        <v>9507</v>
      </c>
      <c r="Y1983" s="17" t="s">
        <v>242</v>
      </c>
      <c r="Z1983" s="19"/>
      <c r="AA1983" s="19"/>
      <c r="AB1983" s="17"/>
      <c r="AC1983" s="19"/>
    </row>
    <row r="1984" customFormat="false" ht="32.8" hidden="false" customHeight="false" outlineLevel="0" collapsed="false">
      <c r="A1984" s="10" t="s">
        <v>9513</v>
      </c>
      <c r="B1984" s="17" t="s">
        <v>187</v>
      </c>
      <c r="C1984" s="18" t="s">
        <v>188</v>
      </c>
      <c r="D1984" s="17" t="s">
        <v>19</v>
      </c>
      <c r="E1984" s="17" t="s">
        <v>75</v>
      </c>
      <c r="F1984" s="17" t="s">
        <v>7069</v>
      </c>
      <c r="G1984" s="17" t="s">
        <v>177</v>
      </c>
      <c r="H1984" s="17" t="s">
        <v>28</v>
      </c>
      <c r="I1984" s="17" t="s">
        <v>289</v>
      </c>
      <c r="J1984" s="17" t="s">
        <v>233</v>
      </c>
      <c r="K1984" s="19"/>
      <c r="L1984" s="19"/>
      <c r="M1984" s="19"/>
      <c r="N1984" s="19"/>
      <c r="O1984" s="17" t="n">
        <v>2</v>
      </c>
      <c r="P1984" s="18" t="s">
        <v>9501</v>
      </c>
      <c r="Q1984" s="18" t="s">
        <v>9502</v>
      </c>
      <c r="R1984" s="18" t="s">
        <v>9514</v>
      </c>
      <c r="S1984" s="17" t="s">
        <v>9508</v>
      </c>
      <c r="T1984" s="18" t="s">
        <v>9515</v>
      </c>
      <c r="U1984" s="19"/>
      <c r="V1984" s="18" t="s">
        <v>9516</v>
      </c>
      <c r="W1984" s="17" t="s">
        <v>240</v>
      </c>
      <c r="X1984" s="17" t="s">
        <v>9507</v>
      </c>
      <c r="Y1984" s="17" t="s">
        <v>242</v>
      </c>
      <c r="Z1984" s="19"/>
      <c r="AA1984" s="19"/>
      <c r="AB1984" s="17"/>
      <c r="AC1984" s="19"/>
    </row>
    <row r="1985" customFormat="false" ht="32.8" hidden="false" customHeight="false" outlineLevel="0" collapsed="false">
      <c r="A1985" s="10" t="s">
        <v>9517</v>
      </c>
      <c r="B1985" s="17" t="s">
        <v>187</v>
      </c>
      <c r="C1985" s="18" t="s">
        <v>188</v>
      </c>
      <c r="D1985" s="17" t="s">
        <v>19</v>
      </c>
      <c r="E1985" s="17" t="s">
        <v>75</v>
      </c>
      <c r="F1985" s="17" t="s">
        <v>7069</v>
      </c>
      <c r="G1985" s="17" t="s">
        <v>177</v>
      </c>
      <c r="H1985" s="17" t="s">
        <v>28</v>
      </c>
      <c r="I1985" s="17" t="s">
        <v>289</v>
      </c>
      <c r="J1985" s="17" t="s">
        <v>233</v>
      </c>
      <c r="K1985" s="19"/>
      <c r="L1985" s="19"/>
      <c r="M1985" s="19"/>
      <c r="N1985" s="19"/>
      <c r="O1985" s="17" t="n">
        <v>3</v>
      </c>
      <c r="P1985" s="18" t="s">
        <v>9501</v>
      </c>
      <c r="Q1985" s="18" t="s">
        <v>9502</v>
      </c>
      <c r="R1985" s="18" t="s">
        <v>9518</v>
      </c>
      <c r="S1985" s="17" t="s">
        <v>9519</v>
      </c>
      <c r="T1985" s="18" t="s">
        <v>9520</v>
      </c>
      <c r="U1985" s="19"/>
      <c r="V1985" s="18" t="s">
        <v>9521</v>
      </c>
      <c r="W1985" s="17" t="s">
        <v>383</v>
      </c>
      <c r="X1985" s="17" t="s">
        <v>9507</v>
      </c>
      <c r="Y1985" s="17" t="s">
        <v>242</v>
      </c>
      <c r="Z1985" s="19"/>
      <c r="AA1985" s="19"/>
      <c r="AB1985" s="17"/>
      <c r="AC1985" s="19"/>
    </row>
    <row r="1986" customFormat="false" ht="32.8" hidden="false" customHeight="false" outlineLevel="0" collapsed="false">
      <c r="A1986" s="10" t="s">
        <v>9522</v>
      </c>
      <c r="B1986" s="17" t="s">
        <v>187</v>
      </c>
      <c r="C1986" s="18" t="s">
        <v>188</v>
      </c>
      <c r="D1986" s="17" t="s">
        <v>19</v>
      </c>
      <c r="E1986" s="17" t="s">
        <v>75</v>
      </c>
      <c r="F1986" s="17" t="s">
        <v>7069</v>
      </c>
      <c r="G1986" s="17" t="s">
        <v>177</v>
      </c>
      <c r="H1986" s="17" t="s">
        <v>28</v>
      </c>
      <c r="I1986" s="17" t="s">
        <v>333</v>
      </c>
      <c r="J1986" s="17" t="s">
        <v>233</v>
      </c>
      <c r="K1986" s="19"/>
      <c r="L1986" s="19"/>
      <c r="M1986" s="19"/>
      <c r="N1986" s="19"/>
      <c r="O1986" s="17" t="n">
        <v>2</v>
      </c>
      <c r="P1986" s="18" t="s">
        <v>9501</v>
      </c>
      <c r="Q1986" s="18" t="s">
        <v>9502</v>
      </c>
      <c r="R1986" s="18" t="s">
        <v>9523</v>
      </c>
      <c r="S1986" s="17" t="s">
        <v>9524</v>
      </c>
      <c r="T1986" s="18" t="s">
        <v>9525</v>
      </c>
      <c r="U1986" s="19"/>
      <c r="V1986" s="18" t="s">
        <v>9526</v>
      </c>
      <c r="W1986" s="17" t="s">
        <v>240</v>
      </c>
      <c r="X1986" s="17" t="s">
        <v>9507</v>
      </c>
      <c r="Y1986" s="17" t="s">
        <v>242</v>
      </c>
      <c r="Z1986" s="19"/>
      <c r="AA1986" s="19"/>
      <c r="AB1986" s="17"/>
      <c r="AC1986" s="19"/>
    </row>
    <row r="1987" customFormat="false" ht="32.8" hidden="false" customHeight="false" outlineLevel="0" collapsed="false">
      <c r="A1987" s="10" t="s">
        <v>9527</v>
      </c>
      <c r="B1987" s="17" t="s">
        <v>187</v>
      </c>
      <c r="C1987" s="18" t="s">
        <v>188</v>
      </c>
      <c r="D1987" s="17" t="s">
        <v>19</v>
      </c>
      <c r="E1987" s="17" t="s">
        <v>75</v>
      </c>
      <c r="F1987" s="17" t="s">
        <v>7069</v>
      </c>
      <c r="G1987" s="17" t="s">
        <v>177</v>
      </c>
      <c r="H1987" s="17" t="s">
        <v>28</v>
      </c>
      <c r="I1987" s="17" t="s">
        <v>1028</v>
      </c>
      <c r="J1987" s="17" t="s">
        <v>233</v>
      </c>
      <c r="K1987" s="19"/>
      <c r="L1987" s="19"/>
      <c r="M1987" s="19"/>
      <c r="N1987" s="19"/>
      <c r="O1987" s="17" t="n">
        <v>2</v>
      </c>
      <c r="P1987" s="18" t="s">
        <v>9501</v>
      </c>
      <c r="Q1987" s="18" t="s">
        <v>9502</v>
      </c>
      <c r="R1987" s="18" t="s">
        <v>9528</v>
      </c>
      <c r="S1987" s="17" t="s">
        <v>9508</v>
      </c>
      <c r="T1987" s="18" t="s">
        <v>9529</v>
      </c>
      <c r="U1987" s="19"/>
      <c r="V1987" s="18" t="s">
        <v>9530</v>
      </c>
      <c r="W1987" s="17" t="s">
        <v>240</v>
      </c>
      <c r="X1987" s="17" t="s">
        <v>9507</v>
      </c>
      <c r="Y1987" s="17" t="s">
        <v>242</v>
      </c>
      <c r="Z1987" s="19"/>
      <c r="AA1987" s="19"/>
      <c r="AB1987" s="17"/>
      <c r="AC1987" s="19"/>
    </row>
    <row r="1988" customFormat="false" ht="32.8" hidden="false" customHeight="false" outlineLevel="0" collapsed="false">
      <c r="A1988" s="10" t="s">
        <v>9531</v>
      </c>
      <c r="B1988" s="17" t="s">
        <v>187</v>
      </c>
      <c r="C1988" s="18" t="s">
        <v>188</v>
      </c>
      <c r="D1988" s="17" t="s">
        <v>19</v>
      </c>
      <c r="E1988" s="17" t="s">
        <v>75</v>
      </c>
      <c r="F1988" s="17" t="s">
        <v>7069</v>
      </c>
      <c r="G1988" s="17" t="s">
        <v>177</v>
      </c>
      <c r="H1988" s="17" t="s">
        <v>28</v>
      </c>
      <c r="I1988" s="17" t="s">
        <v>1028</v>
      </c>
      <c r="J1988" s="17" t="s">
        <v>233</v>
      </c>
      <c r="K1988" s="19"/>
      <c r="L1988" s="19"/>
      <c r="M1988" s="19"/>
      <c r="N1988" s="19"/>
      <c r="O1988" s="17" t="n">
        <v>2</v>
      </c>
      <c r="P1988" s="18" t="s">
        <v>9501</v>
      </c>
      <c r="Q1988" s="18" t="s">
        <v>9532</v>
      </c>
      <c r="R1988" s="18" t="s">
        <v>9533</v>
      </c>
      <c r="S1988" s="17" t="s">
        <v>9500</v>
      </c>
      <c r="T1988" s="18" t="s">
        <v>9534</v>
      </c>
      <c r="U1988" s="19"/>
      <c r="V1988" s="18" t="s">
        <v>9535</v>
      </c>
      <c r="W1988" s="17" t="s">
        <v>240</v>
      </c>
      <c r="X1988" s="17" t="s">
        <v>9507</v>
      </c>
      <c r="Y1988" s="17" t="s">
        <v>242</v>
      </c>
      <c r="Z1988" s="19"/>
      <c r="AA1988" s="19"/>
      <c r="AB1988" s="17"/>
      <c r="AC1988" s="19"/>
    </row>
    <row r="1989" customFormat="false" ht="32.8" hidden="false" customHeight="false" outlineLevel="0" collapsed="false">
      <c r="A1989" s="10" t="s">
        <v>9536</v>
      </c>
      <c r="B1989" s="17" t="s">
        <v>187</v>
      </c>
      <c r="C1989" s="18" t="s">
        <v>188</v>
      </c>
      <c r="D1989" s="17" t="s">
        <v>19</v>
      </c>
      <c r="E1989" s="17" t="s">
        <v>75</v>
      </c>
      <c r="F1989" s="17" t="s">
        <v>7069</v>
      </c>
      <c r="G1989" s="17" t="s">
        <v>177</v>
      </c>
      <c r="H1989" s="17" t="s">
        <v>28</v>
      </c>
      <c r="I1989" s="17" t="s">
        <v>928</v>
      </c>
      <c r="J1989" s="17" t="s">
        <v>233</v>
      </c>
      <c r="K1989" s="19"/>
      <c r="L1989" s="19"/>
      <c r="M1989" s="19"/>
      <c r="N1989" s="19"/>
      <c r="O1989" s="17" t="n">
        <v>3</v>
      </c>
      <c r="P1989" s="18" t="s">
        <v>9501</v>
      </c>
      <c r="Q1989" s="18" t="s">
        <v>9532</v>
      </c>
      <c r="R1989" s="18" t="s">
        <v>9537</v>
      </c>
      <c r="S1989" s="17" t="s">
        <v>9531</v>
      </c>
      <c r="T1989" s="18" t="s">
        <v>9538</v>
      </c>
      <c r="U1989" s="19"/>
      <c r="V1989" s="18" t="s">
        <v>9539</v>
      </c>
      <c r="W1989" s="17" t="s">
        <v>1217</v>
      </c>
      <c r="X1989" s="17" t="s">
        <v>9507</v>
      </c>
      <c r="Y1989" s="17" t="s">
        <v>242</v>
      </c>
      <c r="Z1989" s="19"/>
      <c r="AA1989" s="19"/>
      <c r="AB1989" s="17"/>
      <c r="AC1989" s="19"/>
    </row>
    <row r="1990" customFormat="false" ht="43.25" hidden="false" customHeight="false" outlineLevel="0" collapsed="false">
      <c r="A1990" s="10" t="s">
        <v>9540</v>
      </c>
      <c r="B1990" s="17" t="s">
        <v>187</v>
      </c>
      <c r="C1990" s="18" t="s">
        <v>188</v>
      </c>
      <c r="D1990" s="17" t="s">
        <v>19</v>
      </c>
      <c r="E1990" s="17" t="s">
        <v>75</v>
      </c>
      <c r="F1990" s="17" t="s">
        <v>7069</v>
      </c>
      <c r="G1990" s="17" t="s">
        <v>177</v>
      </c>
      <c r="H1990" s="17" t="s">
        <v>28</v>
      </c>
      <c r="I1990" s="17" t="s">
        <v>369</v>
      </c>
      <c r="J1990" s="17" t="s">
        <v>233</v>
      </c>
      <c r="K1990" s="19"/>
      <c r="L1990" s="19"/>
      <c r="M1990" s="19"/>
      <c r="N1990" s="19"/>
      <c r="O1990" s="17" t="n">
        <v>2</v>
      </c>
      <c r="P1990" s="18" t="s">
        <v>9501</v>
      </c>
      <c r="Q1990" s="18" t="s">
        <v>9532</v>
      </c>
      <c r="R1990" s="18" t="s">
        <v>9541</v>
      </c>
      <c r="S1990" s="17" t="s">
        <v>9542</v>
      </c>
      <c r="T1990" s="18" t="s">
        <v>9543</v>
      </c>
      <c r="U1990" s="19"/>
      <c r="V1990" s="18" t="s">
        <v>9544</v>
      </c>
      <c r="W1990" s="17" t="s">
        <v>240</v>
      </c>
      <c r="X1990" s="17" t="s">
        <v>9507</v>
      </c>
      <c r="Y1990" s="17" t="s">
        <v>242</v>
      </c>
      <c r="Z1990" s="19"/>
      <c r="AA1990" s="19"/>
      <c r="AB1990" s="17"/>
      <c r="AC1990" s="19"/>
    </row>
    <row r="1991" customFormat="false" ht="32.8" hidden="false" customHeight="false" outlineLevel="0" collapsed="false">
      <c r="A1991" s="10" t="s">
        <v>9545</v>
      </c>
      <c r="B1991" s="17" t="s">
        <v>187</v>
      </c>
      <c r="C1991" s="18" t="s">
        <v>188</v>
      </c>
      <c r="D1991" s="17" t="s">
        <v>19</v>
      </c>
      <c r="E1991" s="17" t="s">
        <v>75</v>
      </c>
      <c r="F1991" s="17" t="s">
        <v>7069</v>
      </c>
      <c r="G1991" s="17" t="s">
        <v>177</v>
      </c>
      <c r="H1991" s="17" t="s">
        <v>28</v>
      </c>
      <c r="I1991" s="17" t="s">
        <v>316</v>
      </c>
      <c r="J1991" s="17" t="s">
        <v>233</v>
      </c>
      <c r="K1991" s="19"/>
      <c r="L1991" s="19"/>
      <c r="M1991" s="19"/>
      <c r="N1991" s="19"/>
      <c r="O1991" s="17" t="n">
        <v>2</v>
      </c>
      <c r="P1991" s="18" t="s">
        <v>9501</v>
      </c>
      <c r="Q1991" s="18" t="s">
        <v>9532</v>
      </c>
      <c r="R1991" s="18" t="s">
        <v>9546</v>
      </c>
      <c r="S1991" s="17" t="s">
        <v>9547</v>
      </c>
      <c r="T1991" s="18" t="s">
        <v>9548</v>
      </c>
      <c r="U1991" s="19"/>
      <c r="V1991" s="18" t="s">
        <v>9549</v>
      </c>
      <c r="W1991" s="17" t="s">
        <v>240</v>
      </c>
      <c r="X1991" s="17" t="s">
        <v>9507</v>
      </c>
      <c r="Y1991" s="17" t="s">
        <v>242</v>
      </c>
      <c r="Z1991" s="19"/>
      <c r="AA1991" s="19"/>
      <c r="AB1991" s="17"/>
      <c r="AC1991" s="19"/>
    </row>
    <row r="1992" customFormat="false" ht="22.35" hidden="false" customHeight="false" outlineLevel="0" collapsed="false">
      <c r="A1992" s="10" t="s">
        <v>9550</v>
      </c>
      <c r="B1992" s="17" t="s">
        <v>187</v>
      </c>
      <c r="C1992" s="18" t="s">
        <v>188</v>
      </c>
      <c r="D1992" s="17" t="s">
        <v>19</v>
      </c>
      <c r="E1992" s="17" t="s">
        <v>75</v>
      </c>
      <c r="F1992" s="17" t="s">
        <v>7069</v>
      </c>
      <c r="G1992" s="17" t="s">
        <v>177</v>
      </c>
      <c r="H1992" s="17" t="s">
        <v>28</v>
      </c>
      <c r="I1992" s="17" t="s">
        <v>277</v>
      </c>
      <c r="J1992" s="17" t="s">
        <v>233</v>
      </c>
      <c r="K1992" s="19"/>
      <c r="L1992" s="19"/>
      <c r="M1992" s="19"/>
      <c r="N1992" s="19"/>
      <c r="O1992" s="17" t="n">
        <v>2</v>
      </c>
      <c r="P1992" s="18" t="s">
        <v>9501</v>
      </c>
      <c r="Q1992" s="18" t="s">
        <v>9532</v>
      </c>
      <c r="R1992" s="18" t="s">
        <v>9551</v>
      </c>
      <c r="S1992" s="17" t="s">
        <v>9545</v>
      </c>
      <c r="T1992" s="18" t="s">
        <v>2695</v>
      </c>
      <c r="U1992" s="19"/>
      <c r="V1992" s="18" t="s">
        <v>9552</v>
      </c>
      <c r="W1992" s="17" t="s">
        <v>240</v>
      </c>
      <c r="X1992" s="17" t="s">
        <v>9507</v>
      </c>
      <c r="Y1992" s="17" t="s">
        <v>242</v>
      </c>
      <c r="Z1992" s="19"/>
      <c r="AA1992" s="19"/>
      <c r="AB1992" s="17"/>
      <c r="AC1992" s="19"/>
    </row>
    <row r="1993" customFormat="false" ht="32.8" hidden="false" customHeight="false" outlineLevel="0" collapsed="false">
      <c r="A1993" s="10" t="s">
        <v>9553</v>
      </c>
      <c r="B1993" s="17" t="s">
        <v>187</v>
      </c>
      <c r="C1993" s="18" t="s">
        <v>188</v>
      </c>
      <c r="D1993" s="17" t="s">
        <v>19</v>
      </c>
      <c r="E1993" s="17" t="s">
        <v>75</v>
      </c>
      <c r="F1993" s="17" t="s">
        <v>7069</v>
      </c>
      <c r="G1993" s="17" t="s">
        <v>177</v>
      </c>
      <c r="H1993" s="17" t="s">
        <v>28</v>
      </c>
      <c r="I1993" s="17" t="s">
        <v>450</v>
      </c>
      <c r="J1993" s="17" t="s">
        <v>233</v>
      </c>
      <c r="K1993" s="19"/>
      <c r="L1993" s="19"/>
      <c r="M1993" s="19"/>
      <c r="N1993" s="19"/>
      <c r="O1993" s="17" t="n">
        <v>3</v>
      </c>
      <c r="P1993" s="18" t="s">
        <v>9501</v>
      </c>
      <c r="Q1993" s="18" t="s">
        <v>9532</v>
      </c>
      <c r="R1993" s="18" t="s">
        <v>9554</v>
      </c>
      <c r="S1993" s="17" t="s">
        <v>9545</v>
      </c>
      <c r="T1993" s="18" t="s">
        <v>9555</v>
      </c>
      <c r="U1993" s="19"/>
      <c r="V1993" s="18" t="s">
        <v>9556</v>
      </c>
      <c r="W1993" s="17" t="s">
        <v>240</v>
      </c>
      <c r="X1993" s="17" t="s">
        <v>9507</v>
      </c>
      <c r="Y1993" s="17" t="s">
        <v>242</v>
      </c>
      <c r="Z1993" s="19"/>
      <c r="AA1993" s="19"/>
      <c r="AB1993" s="17"/>
      <c r="AC1993" s="19"/>
    </row>
    <row r="1994" customFormat="false" ht="32.8" hidden="false" customHeight="false" outlineLevel="0" collapsed="false">
      <c r="A1994" s="10" t="s">
        <v>9557</v>
      </c>
      <c r="B1994" s="17" t="s">
        <v>187</v>
      </c>
      <c r="C1994" s="18" t="s">
        <v>188</v>
      </c>
      <c r="D1994" s="17" t="s">
        <v>19</v>
      </c>
      <c r="E1994" s="17" t="s">
        <v>75</v>
      </c>
      <c r="F1994" s="17" t="s">
        <v>7069</v>
      </c>
      <c r="G1994" s="17" t="s">
        <v>177</v>
      </c>
      <c r="H1994" s="17" t="s">
        <v>28</v>
      </c>
      <c r="I1994" s="17" t="s">
        <v>369</v>
      </c>
      <c r="J1994" s="17" t="s">
        <v>233</v>
      </c>
      <c r="K1994" s="19"/>
      <c r="L1994" s="19"/>
      <c r="M1994" s="19"/>
      <c r="N1994" s="19"/>
      <c r="O1994" s="17" t="n">
        <v>3</v>
      </c>
      <c r="P1994" s="18" t="s">
        <v>9501</v>
      </c>
      <c r="Q1994" s="18" t="s">
        <v>9532</v>
      </c>
      <c r="R1994" s="18" t="s">
        <v>9558</v>
      </c>
      <c r="S1994" s="17" t="s">
        <v>9559</v>
      </c>
      <c r="T1994" s="18" t="s">
        <v>9560</v>
      </c>
      <c r="U1994" s="19"/>
      <c r="V1994" s="18" t="s">
        <v>9561</v>
      </c>
      <c r="W1994" s="17" t="s">
        <v>240</v>
      </c>
      <c r="X1994" s="17" t="s">
        <v>9507</v>
      </c>
      <c r="Y1994" s="17" t="s">
        <v>242</v>
      </c>
      <c r="Z1994" s="19"/>
      <c r="AA1994" s="19"/>
      <c r="AB1994" s="17"/>
      <c r="AC1994" s="19"/>
    </row>
    <row r="1995" customFormat="false" ht="32.8" hidden="false" customHeight="false" outlineLevel="0" collapsed="false">
      <c r="A1995" s="10" t="s">
        <v>9562</v>
      </c>
      <c r="B1995" s="17" t="s">
        <v>187</v>
      </c>
      <c r="C1995" s="18" t="s">
        <v>188</v>
      </c>
      <c r="D1995" s="17" t="s">
        <v>19</v>
      </c>
      <c r="E1995" s="17" t="s">
        <v>75</v>
      </c>
      <c r="F1995" s="17" t="s">
        <v>7069</v>
      </c>
      <c r="G1995" s="17" t="s">
        <v>177</v>
      </c>
      <c r="H1995" s="17" t="s">
        <v>28</v>
      </c>
      <c r="I1995" s="17" t="s">
        <v>1028</v>
      </c>
      <c r="J1995" s="17" t="s">
        <v>233</v>
      </c>
      <c r="K1995" s="19"/>
      <c r="L1995" s="19"/>
      <c r="M1995" s="19"/>
      <c r="N1995" s="19"/>
      <c r="O1995" s="17" t="n">
        <v>3</v>
      </c>
      <c r="P1995" s="18" t="s">
        <v>9501</v>
      </c>
      <c r="Q1995" s="18" t="s">
        <v>9563</v>
      </c>
      <c r="R1995" s="18" t="s">
        <v>9564</v>
      </c>
      <c r="S1995" s="17" t="s">
        <v>9565</v>
      </c>
      <c r="T1995" s="18" t="s">
        <v>9566</v>
      </c>
      <c r="U1995" s="19"/>
      <c r="V1995" s="18" t="s">
        <v>9567</v>
      </c>
      <c r="W1995" s="17" t="s">
        <v>240</v>
      </c>
      <c r="X1995" s="17" t="s">
        <v>9507</v>
      </c>
      <c r="Y1995" s="17" t="s">
        <v>242</v>
      </c>
      <c r="Z1995" s="19"/>
      <c r="AA1995" s="19"/>
      <c r="AB1995" s="17"/>
      <c r="AC1995" s="19"/>
    </row>
    <row r="1996" customFormat="false" ht="22.35" hidden="false" customHeight="false" outlineLevel="0" collapsed="false">
      <c r="A1996" s="10" t="s">
        <v>9568</v>
      </c>
      <c r="B1996" s="17" t="s">
        <v>187</v>
      </c>
      <c r="C1996" s="18" t="s">
        <v>188</v>
      </c>
      <c r="D1996" s="17" t="s">
        <v>19</v>
      </c>
      <c r="E1996" s="17" t="s">
        <v>75</v>
      </c>
      <c r="F1996" s="17" t="s">
        <v>7069</v>
      </c>
      <c r="G1996" s="17" t="s">
        <v>177</v>
      </c>
      <c r="H1996" s="17" t="s">
        <v>28</v>
      </c>
      <c r="I1996" s="17" t="s">
        <v>1028</v>
      </c>
      <c r="J1996" s="17" t="s">
        <v>233</v>
      </c>
      <c r="K1996" s="19"/>
      <c r="L1996" s="19"/>
      <c r="M1996" s="19"/>
      <c r="N1996" s="19"/>
      <c r="O1996" s="17" t="n">
        <v>4</v>
      </c>
      <c r="P1996" s="18" t="s">
        <v>9501</v>
      </c>
      <c r="Q1996" s="18" t="s">
        <v>9563</v>
      </c>
      <c r="R1996" s="18" t="s">
        <v>9569</v>
      </c>
      <c r="S1996" s="17" t="s">
        <v>9562</v>
      </c>
      <c r="T1996" s="18" t="s">
        <v>9570</v>
      </c>
      <c r="U1996" s="19"/>
      <c r="V1996" s="18" t="s">
        <v>4226</v>
      </c>
      <c r="W1996" s="17" t="s">
        <v>240</v>
      </c>
      <c r="X1996" s="17" t="s">
        <v>9507</v>
      </c>
      <c r="Y1996" s="17" t="s">
        <v>242</v>
      </c>
      <c r="Z1996" s="19"/>
      <c r="AA1996" s="19"/>
      <c r="AB1996" s="17"/>
      <c r="AC1996" s="19"/>
    </row>
    <row r="1997" customFormat="false" ht="43.25" hidden="false" customHeight="false" outlineLevel="0" collapsed="false">
      <c r="A1997" s="10" t="s">
        <v>9571</v>
      </c>
      <c r="B1997" s="17" t="s">
        <v>187</v>
      </c>
      <c r="C1997" s="18" t="s">
        <v>188</v>
      </c>
      <c r="D1997" s="17" t="s">
        <v>19</v>
      </c>
      <c r="E1997" s="17" t="s">
        <v>75</v>
      </c>
      <c r="F1997" s="17" t="s">
        <v>7069</v>
      </c>
      <c r="G1997" s="17" t="s">
        <v>177</v>
      </c>
      <c r="H1997" s="17" t="s">
        <v>28</v>
      </c>
      <c r="I1997" s="17" t="s">
        <v>1028</v>
      </c>
      <c r="J1997" s="17" t="s">
        <v>233</v>
      </c>
      <c r="K1997" s="19"/>
      <c r="L1997" s="19"/>
      <c r="M1997" s="19"/>
      <c r="N1997" s="19"/>
      <c r="O1997" s="17" t="n">
        <v>2</v>
      </c>
      <c r="P1997" s="18" t="s">
        <v>9572</v>
      </c>
      <c r="Q1997" s="18" t="s">
        <v>9573</v>
      </c>
      <c r="R1997" s="18" t="s">
        <v>9574</v>
      </c>
      <c r="S1997" s="17" t="s">
        <v>237</v>
      </c>
      <c r="T1997" s="18" t="s">
        <v>9575</v>
      </c>
      <c r="U1997" s="19"/>
      <c r="V1997" s="18" t="s">
        <v>9576</v>
      </c>
      <c r="W1997" s="17" t="s">
        <v>240</v>
      </c>
      <c r="X1997" s="17" t="s">
        <v>9577</v>
      </c>
      <c r="Y1997" s="17" t="s">
        <v>242</v>
      </c>
      <c r="Z1997" s="19"/>
      <c r="AA1997" s="19"/>
      <c r="AB1997" s="17"/>
      <c r="AC1997" s="19"/>
    </row>
    <row r="1998" customFormat="false" ht="43.25" hidden="false" customHeight="false" outlineLevel="0" collapsed="false">
      <c r="A1998" s="10" t="s">
        <v>9578</v>
      </c>
      <c r="B1998" s="17" t="s">
        <v>187</v>
      </c>
      <c r="C1998" s="18" t="s">
        <v>188</v>
      </c>
      <c r="D1998" s="17" t="s">
        <v>19</v>
      </c>
      <c r="E1998" s="17" t="s">
        <v>75</v>
      </c>
      <c r="F1998" s="17" t="s">
        <v>7069</v>
      </c>
      <c r="G1998" s="17" t="s">
        <v>177</v>
      </c>
      <c r="H1998" s="17" t="s">
        <v>28</v>
      </c>
      <c r="I1998" s="17" t="s">
        <v>450</v>
      </c>
      <c r="J1998" s="17" t="s">
        <v>233</v>
      </c>
      <c r="K1998" s="19"/>
      <c r="L1998" s="19"/>
      <c r="M1998" s="19"/>
      <c r="N1998" s="19"/>
      <c r="O1998" s="17" t="n">
        <v>2</v>
      </c>
      <c r="P1998" s="18" t="s">
        <v>9572</v>
      </c>
      <c r="Q1998" s="18" t="s">
        <v>9573</v>
      </c>
      <c r="R1998" s="18" t="s">
        <v>9579</v>
      </c>
      <c r="S1998" s="17" t="s">
        <v>9571</v>
      </c>
      <c r="T1998" s="18" t="s">
        <v>9580</v>
      </c>
      <c r="U1998" s="19"/>
      <c r="V1998" s="18" t="s">
        <v>9581</v>
      </c>
      <c r="W1998" s="17" t="s">
        <v>240</v>
      </c>
      <c r="X1998" s="17" t="s">
        <v>9577</v>
      </c>
      <c r="Y1998" s="17" t="s">
        <v>242</v>
      </c>
      <c r="Z1998" s="19"/>
      <c r="AA1998" s="19"/>
      <c r="AB1998" s="17"/>
      <c r="AC1998" s="19"/>
    </row>
    <row r="1999" customFormat="false" ht="32.8" hidden="false" customHeight="false" outlineLevel="0" collapsed="false">
      <c r="A1999" s="10" t="s">
        <v>9582</v>
      </c>
      <c r="B1999" s="17" t="s">
        <v>187</v>
      </c>
      <c r="C1999" s="18" t="s">
        <v>188</v>
      </c>
      <c r="D1999" s="17" t="s">
        <v>19</v>
      </c>
      <c r="E1999" s="17" t="s">
        <v>75</v>
      </c>
      <c r="F1999" s="17" t="s">
        <v>7069</v>
      </c>
      <c r="G1999" s="17" t="s">
        <v>177</v>
      </c>
      <c r="H1999" s="17" t="s">
        <v>28</v>
      </c>
      <c r="I1999" s="17" t="s">
        <v>450</v>
      </c>
      <c r="J1999" s="17" t="s">
        <v>233</v>
      </c>
      <c r="K1999" s="19"/>
      <c r="L1999" s="19"/>
      <c r="M1999" s="19"/>
      <c r="N1999" s="19"/>
      <c r="O1999" s="17" t="n">
        <v>2</v>
      </c>
      <c r="P1999" s="18" t="s">
        <v>9572</v>
      </c>
      <c r="Q1999" s="18" t="s">
        <v>9573</v>
      </c>
      <c r="R1999" s="18" t="s">
        <v>9583</v>
      </c>
      <c r="S1999" s="17" t="s">
        <v>9584</v>
      </c>
      <c r="T1999" s="18" t="s">
        <v>9585</v>
      </c>
      <c r="U1999" s="19"/>
      <c r="V1999" s="18" t="s">
        <v>9586</v>
      </c>
      <c r="W1999" s="17" t="s">
        <v>240</v>
      </c>
      <c r="X1999" s="17" t="s">
        <v>9577</v>
      </c>
      <c r="Y1999" s="17" t="s">
        <v>242</v>
      </c>
      <c r="Z1999" s="19"/>
      <c r="AA1999" s="19"/>
      <c r="AB1999" s="17"/>
      <c r="AC1999" s="19"/>
    </row>
    <row r="2000" customFormat="false" ht="32.8" hidden="false" customHeight="false" outlineLevel="0" collapsed="false">
      <c r="A2000" s="10" t="s">
        <v>9587</v>
      </c>
      <c r="B2000" s="17" t="s">
        <v>187</v>
      </c>
      <c r="C2000" s="18" t="s">
        <v>188</v>
      </c>
      <c r="D2000" s="17" t="s">
        <v>19</v>
      </c>
      <c r="E2000" s="17" t="s">
        <v>75</v>
      </c>
      <c r="F2000" s="17" t="s">
        <v>7069</v>
      </c>
      <c r="G2000" s="17" t="s">
        <v>177</v>
      </c>
      <c r="H2000" s="17" t="s">
        <v>28</v>
      </c>
      <c r="I2000" s="17" t="s">
        <v>450</v>
      </c>
      <c r="J2000" s="17" t="s">
        <v>233</v>
      </c>
      <c r="K2000" s="19"/>
      <c r="L2000" s="19"/>
      <c r="M2000" s="19"/>
      <c r="N2000" s="19"/>
      <c r="O2000" s="17" t="n">
        <v>2</v>
      </c>
      <c r="P2000" s="18" t="s">
        <v>9572</v>
      </c>
      <c r="Q2000" s="18" t="s">
        <v>9573</v>
      </c>
      <c r="R2000" s="18" t="s">
        <v>9588</v>
      </c>
      <c r="S2000" s="17" t="s">
        <v>9589</v>
      </c>
      <c r="T2000" s="18" t="s">
        <v>9590</v>
      </c>
      <c r="U2000" s="19"/>
      <c r="V2000" s="18" t="s">
        <v>9591</v>
      </c>
      <c r="W2000" s="17" t="s">
        <v>240</v>
      </c>
      <c r="X2000" s="17" t="s">
        <v>9577</v>
      </c>
      <c r="Y2000" s="17" t="s">
        <v>242</v>
      </c>
      <c r="Z2000" s="19"/>
      <c r="AA2000" s="19"/>
      <c r="AB2000" s="17"/>
      <c r="AC2000" s="19"/>
    </row>
    <row r="2001" customFormat="false" ht="32.8" hidden="false" customHeight="false" outlineLevel="0" collapsed="false">
      <c r="A2001" s="10" t="s">
        <v>9592</v>
      </c>
      <c r="B2001" s="17" t="s">
        <v>187</v>
      </c>
      <c r="C2001" s="18" t="s">
        <v>188</v>
      </c>
      <c r="D2001" s="17" t="s">
        <v>19</v>
      </c>
      <c r="E2001" s="17" t="s">
        <v>75</v>
      </c>
      <c r="F2001" s="17" t="s">
        <v>7069</v>
      </c>
      <c r="G2001" s="17" t="s">
        <v>177</v>
      </c>
      <c r="H2001" s="17" t="s">
        <v>28</v>
      </c>
      <c r="I2001" s="17" t="s">
        <v>2896</v>
      </c>
      <c r="J2001" s="17" t="s">
        <v>233</v>
      </c>
      <c r="K2001" s="19"/>
      <c r="L2001" s="19"/>
      <c r="M2001" s="19"/>
      <c r="N2001" s="19"/>
      <c r="O2001" s="17" t="n">
        <v>2</v>
      </c>
      <c r="P2001" s="18" t="s">
        <v>9572</v>
      </c>
      <c r="Q2001" s="18" t="s">
        <v>9573</v>
      </c>
      <c r="R2001" s="18" t="s">
        <v>9593</v>
      </c>
      <c r="S2001" s="17" t="s">
        <v>9582</v>
      </c>
      <c r="T2001" s="18" t="s">
        <v>9594</v>
      </c>
      <c r="U2001" s="19"/>
      <c r="V2001" s="18" t="s">
        <v>9595</v>
      </c>
      <c r="W2001" s="17" t="s">
        <v>240</v>
      </c>
      <c r="X2001" s="17" t="s">
        <v>9577</v>
      </c>
      <c r="Y2001" s="17" t="s">
        <v>242</v>
      </c>
      <c r="Z2001" s="19"/>
      <c r="AA2001" s="19"/>
      <c r="AB2001" s="17"/>
      <c r="AC2001" s="19"/>
    </row>
    <row r="2002" customFormat="false" ht="43.25" hidden="false" customHeight="false" outlineLevel="0" collapsed="false">
      <c r="A2002" s="10" t="s">
        <v>9596</v>
      </c>
      <c r="B2002" s="17" t="s">
        <v>187</v>
      </c>
      <c r="C2002" s="18" t="s">
        <v>188</v>
      </c>
      <c r="D2002" s="17" t="s">
        <v>19</v>
      </c>
      <c r="E2002" s="17" t="s">
        <v>75</v>
      </c>
      <c r="F2002" s="17" t="s">
        <v>7069</v>
      </c>
      <c r="G2002" s="17" t="s">
        <v>177</v>
      </c>
      <c r="H2002" s="17" t="s">
        <v>28</v>
      </c>
      <c r="I2002" s="17" t="s">
        <v>333</v>
      </c>
      <c r="J2002" s="17" t="s">
        <v>233</v>
      </c>
      <c r="K2002" s="19"/>
      <c r="L2002" s="19"/>
      <c r="M2002" s="19"/>
      <c r="N2002" s="19"/>
      <c r="O2002" s="17" t="n">
        <v>2</v>
      </c>
      <c r="P2002" s="18" t="s">
        <v>9572</v>
      </c>
      <c r="Q2002" s="18" t="s">
        <v>9573</v>
      </c>
      <c r="R2002" s="18" t="s">
        <v>9597</v>
      </c>
      <c r="S2002" s="17" t="s">
        <v>9598</v>
      </c>
      <c r="T2002" s="18" t="s">
        <v>9599</v>
      </c>
      <c r="U2002" s="19"/>
      <c r="V2002" s="18" t="s">
        <v>9600</v>
      </c>
      <c r="W2002" s="17" t="s">
        <v>240</v>
      </c>
      <c r="X2002" s="17" t="s">
        <v>9577</v>
      </c>
      <c r="Y2002" s="17" t="s">
        <v>242</v>
      </c>
      <c r="Z2002" s="19"/>
      <c r="AA2002" s="19"/>
      <c r="AB2002" s="17"/>
      <c r="AC2002" s="19"/>
    </row>
    <row r="2003" customFormat="false" ht="32.8" hidden="false" customHeight="false" outlineLevel="0" collapsed="false">
      <c r="A2003" s="10" t="s">
        <v>9601</v>
      </c>
      <c r="B2003" s="17" t="s">
        <v>187</v>
      </c>
      <c r="C2003" s="18" t="s">
        <v>188</v>
      </c>
      <c r="D2003" s="17" t="s">
        <v>19</v>
      </c>
      <c r="E2003" s="17" t="s">
        <v>75</v>
      </c>
      <c r="F2003" s="17" t="s">
        <v>7069</v>
      </c>
      <c r="G2003" s="17" t="s">
        <v>177</v>
      </c>
      <c r="H2003" s="17" t="s">
        <v>28</v>
      </c>
      <c r="I2003" s="17" t="s">
        <v>450</v>
      </c>
      <c r="J2003" s="17" t="s">
        <v>233</v>
      </c>
      <c r="K2003" s="19"/>
      <c r="L2003" s="19"/>
      <c r="M2003" s="19"/>
      <c r="N2003" s="19"/>
      <c r="O2003" s="17" t="n">
        <v>3</v>
      </c>
      <c r="P2003" s="18" t="s">
        <v>9572</v>
      </c>
      <c r="Q2003" s="18" t="s">
        <v>9602</v>
      </c>
      <c r="R2003" s="18" t="s">
        <v>9603</v>
      </c>
      <c r="S2003" s="17" t="s">
        <v>9604</v>
      </c>
      <c r="T2003" s="18" t="s">
        <v>9605</v>
      </c>
      <c r="U2003" s="19"/>
      <c r="V2003" s="18" t="s">
        <v>9606</v>
      </c>
      <c r="W2003" s="17" t="s">
        <v>240</v>
      </c>
      <c r="X2003" s="17" t="s">
        <v>9577</v>
      </c>
      <c r="Y2003" s="17" t="s">
        <v>242</v>
      </c>
      <c r="Z2003" s="19"/>
      <c r="AA2003" s="19"/>
      <c r="AB2003" s="17"/>
      <c r="AC2003" s="19"/>
    </row>
    <row r="2004" customFormat="false" ht="32.8" hidden="false" customHeight="false" outlineLevel="0" collapsed="false">
      <c r="A2004" s="10" t="s">
        <v>9607</v>
      </c>
      <c r="B2004" s="17" t="s">
        <v>187</v>
      </c>
      <c r="C2004" s="18" t="s">
        <v>188</v>
      </c>
      <c r="D2004" s="17" t="s">
        <v>19</v>
      </c>
      <c r="E2004" s="17" t="s">
        <v>75</v>
      </c>
      <c r="F2004" s="17" t="s">
        <v>7069</v>
      </c>
      <c r="G2004" s="17" t="s">
        <v>177</v>
      </c>
      <c r="H2004" s="17" t="s">
        <v>28</v>
      </c>
      <c r="I2004" s="17" t="s">
        <v>450</v>
      </c>
      <c r="J2004" s="17" t="s">
        <v>233</v>
      </c>
      <c r="K2004" s="19"/>
      <c r="L2004" s="19"/>
      <c r="M2004" s="19"/>
      <c r="N2004" s="19"/>
      <c r="O2004" s="17" t="n">
        <v>3</v>
      </c>
      <c r="P2004" s="18" t="s">
        <v>9572</v>
      </c>
      <c r="Q2004" s="18" t="s">
        <v>9602</v>
      </c>
      <c r="R2004" s="18" t="s">
        <v>9608</v>
      </c>
      <c r="S2004" s="17" t="s">
        <v>9601</v>
      </c>
      <c r="T2004" s="18" t="s">
        <v>9609</v>
      </c>
      <c r="U2004" s="19"/>
      <c r="V2004" s="18" t="s">
        <v>9610</v>
      </c>
      <c r="W2004" s="17" t="s">
        <v>240</v>
      </c>
      <c r="X2004" s="17" t="s">
        <v>9577</v>
      </c>
      <c r="Y2004" s="17" t="s">
        <v>242</v>
      </c>
      <c r="Z2004" s="19"/>
      <c r="AA2004" s="19"/>
      <c r="AB2004" s="17"/>
      <c r="AC2004" s="19"/>
    </row>
    <row r="2005" customFormat="false" ht="32.8" hidden="false" customHeight="false" outlineLevel="0" collapsed="false">
      <c r="A2005" s="10" t="s">
        <v>9611</v>
      </c>
      <c r="B2005" s="17" t="s">
        <v>187</v>
      </c>
      <c r="C2005" s="18" t="s">
        <v>188</v>
      </c>
      <c r="D2005" s="17" t="s">
        <v>19</v>
      </c>
      <c r="E2005" s="17" t="s">
        <v>75</v>
      </c>
      <c r="F2005" s="17" t="s">
        <v>7069</v>
      </c>
      <c r="G2005" s="17" t="s">
        <v>177</v>
      </c>
      <c r="H2005" s="17" t="s">
        <v>28</v>
      </c>
      <c r="I2005" s="17" t="s">
        <v>974</v>
      </c>
      <c r="J2005" s="17" t="s">
        <v>233</v>
      </c>
      <c r="K2005" s="19"/>
      <c r="L2005" s="19"/>
      <c r="M2005" s="19"/>
      <c r="N2005" s="19"/>
      <c r="O2005" s="17" t="n">
        <v>3</v>
      </c>
      <c r="P2005" s="18" t="s">
        <v>9572</v>
      </c>
      <c r="Q2005" s="18" t="s">
        <v>9602</v>
      </c>
      <c r="R2005" s="18" t="s">
        <v>9612</v>
      </c>
      <c r="S2005" s="17" t="s">
        <v>9607</v>
      </c>
      <c r="T2005" s="18" t="s">
        <v>9613</v>
      </c>
      <c r="U2005" s="19"/>
      <c r="V2005" s="18" t="s">
        <v>9614</v>
      </c>
      <c r="W2005" s="17" t="s">
        <v>240</v>
      </c>
      <c r="X2005" s="17" t="s">
        <v>9577</v>
      </c>
      <c r="Y2005" s="17" t="s">
        <v>242</v>
      </c>
      <c r="Z2005" s="19"/>
      <c r="AA2005" s="19"/>
      <c r="AB2005" s="17"/>
      <c r="AC2005" s="19"/>
    </row>
    <row r="2006" customFormat="false" ht="32.8" hidden="false" customHeight="false" outlineLevel="0" collapsed="false">
      <c r="A2006" s="10" t="s">
        <v>9615</v>
      </c>
      <c r="B2006" s="17" t="s">
        <v>187</v>
      </c>
      <c r="C2006" s="18" t="s">
        <v>188</v>
      </c>
      <c r="D2006" s="17" t="s">
        <v>19</v>
      </c>
      <c r="E2006" s="17" t="s">
        <v>75</v>
      </c>
      <c r="F2006" s="17" t="s">
        <v>7069</v>
      </c>
      <c r="G2006" s="17" t="s">
        <v>177</v>
      </c>
      <c r="H2006" s="17" t="s">
        <v>28</v>
      </c>
      <c r="I2006" s="17" t="s">
        <v>283</v>
      </c>
      <c r="J2006" s="17" t="s">
        <v>233</v>
      </c>
      <c r="K2006" s="19"/>
      <c r="L2006" s="19"/>
      <c r="M2006" s="19"/>
      <c r="N2006" s="19"/>
      <c r="O2006" s="17" t="n">
        <v>4</v>
      </c>
      <c r="P2006" s="18" t="s">
        <v>9572</v>
      </c>
      <c r="Q2006" s="18" t="s">
        <v>9602</v>
      </c>
      <c r="R2006" s="18" t="s">
        <v>9616</v>
      </c>
      <c r="S2006" s="17" t="s">
        <v>9611</v>
      </c>
      <c r="T2006" s="18" t="s">
        <v>9617</v>
      </c>
      <c r="U2006" s="19"/>
      <c r="V2006" s="18" t="s">
        <v>9618</v>
      </c>
      <c r="W2006" s="17" t="s">
        <v>240</v>
      </c>
      <c r="X2006" s="17" t="s">
        <v>9577</v>
      </c>
      <c r="Y2006" s="17" t="s">
        <v>242</v>
      </c>
      <c r="Z2006" s="19"/>
      <c r="AA2006" s="19"/>
      <c r="AB2006" s="17"/>
      <c r="AC2006" s="19"/>
    </row>
    <row r="2007" customFormat="false" ht="32.8" hidden="false" customHeight="false" outlineLevel="0" collapsed="false">
      <c r="A2007" s="10" t="s">
        <v>9619</v>
      </c>
      <c r="B2007" s="17" t="s">
        <v>187</v>
      </c>
      <c r="C2007" s="18" t="s">
        <v>188</v>
      </c>
      <c r="D2007" s="17" t="s">
        <v>19</v>
      </c>
      <c r="E2007" s="17" t="s">
        <v>75</v>
      </c>
      <c r="F2007" s="17" t="s">
        <v>7069</v>
      </c>
      <c r="G2007" s="17" t="s">
        <v>177</v>
      </c>
      <c r="H2007" s="17" t="s">
        <v>28</v>
      </c>
      <c r="I2007" s="17" t="s">
        <v>450</v>
      </c>
      <c r="J2007" s="17" t="s">
        <v>233</v>
      </c>
      <c r="K2007" s="19"/>
      <c r="L2007" s="19"/>
      <c r="M2007" s="19"/>
      <c r="N2007" s="19"/>
      <c r="O2007" s="17" t="n">
        <v>3</v>
      </c>
      <c r="P2007" s="18" t="s">
        <v>9572</v>
      </c>
      <c r="Q2007" s="18" t="s">
        <v>9602</v>
      </c>
      <c r="R2007" s="18" t="s">
        <v>9620</v>
      </c>
      <c r="S2007" s="17" t="s">
        <v>9601</v>
      </c>
      <c r="T2007" s="18" t="s">
        <v>9621</v>
      </c>
      <c r="U2007" s="19"/>
      <c r="V2007" s="18" t="s">
        <v>9622</v>
      </c>
      <c r="W2007" s="17" t="s">
        <v>240</v>
      </c>
      <c r="X2007" s="17" t="s">
        <v>9577</v>
      </c>
      <c r="Y2007" s="17" t="s">
        <v>242</v>
      </c>
      <c r="Z2007" s="19"/>
      <c r="AA2007" s="19"/>
      <c r="AB2007" s="17"/>
      <c r="AC2007" s="19"/>
    </row>
    <row r="2008" customFormat="false" ht="32.8" hidden="false" customHeight="false" outlineLevel="0" collapsed="false">
      <c r="A2008" s="10" t="s">
        <v>9623</v>
      </c>
      <c r="B2008" s="17" t="s">
        <v>187</v>
      </c>
      <c r="C2008" s="18" t="s">
        <v>188</v>
      </c>
      <c r="D2008" s="17" t="s">
        <v>19</v>
      </c>
      <c r="E2008" s="17" t="s">
        <v>75</v>
      </c>
      <c r="F2008" s="17" t="s">
        <v>7069</v>
      </c>
      <c r="G2008" s="17" t="s">
        <v>177</v>
      </c>
      <c r="H2008" s="17" t="s">
        <v>28</v>
      </c>
      <c r="I2008" s="17" t="s">
        <v>283</v>
      </c>
      <c r="J2008" s="17" t="s">
        <v>233</v>
      </c>
      <c r="K2008" s="19"/>
      <c r="L2008" s="19"/>
      <c r="M2008" s="19"/>
      <c r="N2008" s="19"/>
      <c r="O2008" s="17" t="n">
        <v>5</v>
      </c>
      <c r="P2008" s="18" t="s">
        <v>9572</v>
      </c>
      <c r="Q2008" s="18" t="s">
        <v>9602</v>
      </c>
      <c r="R2008" s="18" t="s">
        <v>9624</v>
      </c>
      <c r="S2008" s="17" t="s">
        <v>9625</v>
      </c>
      <c r="T2008" s="18" t="s">
        <v>9626</v>
      </c>
      <c r="U2008" s="19"/>
      <c r="V2008" s="18" t="s">
        <v>9627</v>
      </c>
      <c r="W2008" s="17" t="s">
        <v>240</v>
      </c>
      <c r="X2008" s="17" t="s">
        <v>9577</v>
      </c>
      <c r="Y2008" s="17" t="s">
        <v>242</v>
      </c>
      <c r="Z2008" s="19"/>
      <c r="AA2008" s="19"/>
      <c r="AB2008" s="17"/>
      <c r="AC2008" s="19"/>
    </row>
    <row r="2009" customFormat="false" ht="32.8" hidden="false" customHeight="false" outlineLevel="0" collapsed="false">
      <c r="A2009" s="10" t="s">
        <v>9628</v>
      </c>
      <c r="B2009" s="17" t="s">
        <v>187</v>
      </c>
      <c r="C2009" s="18" t="s">
        <v>188</v>
      </c>
      <c r="D2009" s="17" t="s">
        <v>19</v>
      </c>
      <c r="E2009" s="17" t="s">
        <v>75</v>
      </c>
      <c r="F2009" s="17" t="s">
        <v>7069</v>
      </c>
      <c r="G2009" s="17" t="s">
        <v>177</v>
      </c>
      <c r="H2009" s="17" t="s">
        <v>28</v>
      </c>
      <c r="I2009" s="17" t="s">
        <v>1028</v>
      </c>
      <c r="J2009" s="17" t="s">
        <v>233</v>
      </c>
      <c r="K2009" s="19"/>
      <c r="L2009" s="19"/>
      <c r="M2009" s="19"/>
      <c r="N2009" s="19"/>
      <c r="O2009" s="17" t="n">
        <v>4</v>
      </c>
      <c r="P2009" s="18" t="s">
        <v>9572</v>
      </c>
      <c r="Q2009" s="18" t="s">
        <v>9629</v>
      </c>
      <c r="R2009" s="18" t="s">
        <v>9630</v>
      </c>
      <c r="S2009" s="17" t="s">
        <v>9611</v>
      </c>
      <c r="T2009" s="18" t="s">
        <v>9631</v>
      </c>
      <c r="U2009" s="19"/>
      <c r="V2009" s="18" t="s">
        <v>9632</v>
      </c>
      <c r="W2009" s="17" t="s">
        <v>240</v>
      </c>
      <c r="X2009" s="17" t="s">
        <v>9577</v>
      </c>
      <c r="Y2009" s="17" t="s">
        <v>242</v>
      </c>
      <c r="Z2009" s="19"/>
      <c r="AA2009" s="19"/>
      <c r="AB2009" s="17"/>
      <c r="AC2009" s="19"/>
    </row>
    <row r="2010" customFormat="false" ht="32.8" hidden="false" customHeight="false" outlineLevel="0" collapsed="false">
      <c r="A2010" s="10" t="s">
        <v>9633</v>
      </c>
      <c r="B2010" s="17" t="s">
        <v>187</v>
      </c>
      <c r="C2010" s="18" t="s">
        <v>188</v>
      </c>
      <c r="D2010" s="17" t="s">
        <v>19</v>
      </c>
      <c r="E2010" s="17" t="s">
        <v>75</v>
      </c>
      <c r="F2010" s="17" t="s">
        <v>7069</v>
      </c>
      <c r="G2010" s="17" t="s">
        <v>177</v>
      </c>
      <c r="H2010" s="17" t="s">
        <v>28</v>
      </c>
      <c r="I2010" s="17" t="s">
        <v>289</v>
      </c>
      <c r="J2010" s="17" t="s">
        <v>233</v>
      </c>
      <c r="K2010" s="19"/>
      <c r="L2010" s="19"/>
      <c r="M2010" s="19"/>
      <c r="N2010" s="19"/>
      <c r="O2010" s="17" t="n">
        <v>4</v>
      </c>
      <c r="P2010" s="18" t="s">
        <v>9572</v>
      </c>
      <c r="Q2010" s="18" t="s">
        <v>9629</v>
      </c>
      <c r="R2010" s="18" t="s">
        <v>9634</v>
      </c>
      <c r="S2010" s="17" t="s">
        <v>9635</v>
      </c>
      <c r="T2010" s="18" t="s">
        <v>9636</v>
      </c>
      <c r="U2010" s="19"/>
      <c r="V2010" s="18" t="s">
        <v>9637</v>
      </c>
      <c r="W2010" s="17" t="s">
        <v>240</v>
      </c>
      <c r="X2010" s="17" t="s">
        <v>9577</v>
      </c>
      <c r="Y2010" s="17" t="s">
        <v>242</v>
      </c>
      <c r="Z2010" s="19"/>
      <c r="AA2010" s="19"/>
      <c r="AB2010" s="17"/>
      <c r="AC2010" s="19"/>
    </row>
    <row r="2011" customFormat="false" ht="32.8" hidden="false" customHeight="false" outlineLevel="0" collapsed="false">
      <c r="A2011" s="10" t="s">
        <v>9638</v>
      </c>
      <c r="B2011" s="17" t="s">
        <v>187</v>
      </c>
      <c r="C2011" s="18" t="s">
        <v>188</v>
      </c>
      <c r="D2011" s="17" t="s">
        <v>19</v>
      </c>
      <c r="E2011" s="17" t="s">
        <v>75</v>
      </c>
      <c r="F2011" s="17" t="s">
        <v>7069</v>
      </c>
      <c r="G2011" s="17" t="s">
        <v>177</v>
      </c>
      <c r="H2011" s="17" t="s">
        <v>28</v>
      </c>
      <c r="I2011" s="17" t="s">
        <v>333</v>
      </c>
      <c r="J2011" s="17" t="s">
        <v>233</v>
      </c>
      <c r="K2011" s="19"/>
      <c r="L2011" s="19"/>
      <c r="M2011" s="19"/>
      <c r="N2011" s="19"/>
      <c r="O2011" s="17" t="n">
        <v>5</v>
      </c>
      <c r="P2011" s="18" t="s">
        <v>9572</v>
      </c>
      <c r="Q2011" s="18" t="s">
        <v>9629</v>
      </c>
      <c r="R2011" s="18" t="s">
        <v>9639</v>
      </c>
      <c r="S2011" s="17" t="s">
        <v>9640</v>
      </c>
      <c r="T2011" s="18" t="s">
        <v>9641</v>
      </c>
      <c r="U2011" s="19"/>
      <c r="V2011" s="18" t="s">
        <v>9642</v>
      </c>
      <c r="W2011" s="17" t="s">
        <v>240</v>
      </c>
      <c r="X2011" s="17" t="s">
        <v>9577</v>
      </c>
      <c r="Y2011" s="17" t="s">
        <v>242</v>
      </c>
      <c r="Z2011" s="19"/>
      <c r="AA2011" s="19"/>
      <c r="AB2011" s="17"/>
      <c r="AC2011" s="19"/>
    </row>
    <row r="2012" customFormat="false" ht="22.35" hidden="false" customHeight="false" outlineLevel="0" collapsed="false">
      <c r="A2012" s="10" t="s">
        <v>9643</v>
      </c>
      <c r="B2012" s="17" t="s">
        <v>187</v>
      </c>
      <c r="C2012" s="18" t="s">
        <v>188</v>
      </c>
      <c r="D2012" s="17" t="s">
        <v>19</v>
      </c>
      <c r="E2012" s="17" t="s">
        <v>75</v>
      </c>
      <c r="F2012" s="17" t="s">
        <v>7069</v>
      </c>
      <c r="G2012" s="17" t="s">
        <v>177</v>
      </c>
      <c r="H2012" s="17" t="s">
        <v>28</v>
      </c>
      <c r="I2012" s="17" t="s">
        <v>1028</v>
      </c>
      <c r="J2012" s="17" t="s">
        <v>233</v>
      </c>
      <c r="K2012" s="19"/>
      <c r="L2012" s="19"/>
      <c r="M2012" s="19"/>
      <c r="N2012" s="19"/>
      <c r="O2012" s="17" t="n">
        <v>5</v>
      </c>
      <c r="P2012" s="18" t="s">
        <v>9572</v>
      </c>
      <c r="Q2012" s="18" t="s">
        <v>9629</v>
      </c>
      <c r="R2012" s="18" t="s">
        <v>9644</v>
      </c>
      <c r="S2012" s="17" t="s">
        <v>9645</v>
      </c>
      <c r="T2012" s="18" t="s">
        <v>9570</v>
      </c>
      <c r="U2012" s="19"/>
      <c r="V2012" s="18" t="s">
        <v>4226</v>
      </c>
      <c r="W2012" s="17" t="s">
        <v>240</v>
      </c>
      <c r="X2012" s="17" t="s">
        <v>9577</v>
      </c>
      <c r="Y2012" s="17" t="s">
        <v>242</v>
      </c>
      <c r="Z2012" s="19"/>
      <c r="AA2012" s="19"/>
      <c r="AB2012" s="17"/>
      <c r="AC2012" s="19"/>
    </row>
    <row r="2013" customFormat="false" ht="32.8" hidden="false" customHeight="false" outlineLevel="0" collapsed="false">
      <c r="A2013" s="10" t="s">
        <v>9646</v>
      </c>
      <c r="B2013" s="17" t="s">
        <v>189</v>
      </c>
      <c r="C2013" s="18" t="s">
        <v>190</v>
      </c>
      <c r="D2013" s="17" t="s">
        <v>19</v>
      </c>
      <c r="E2013" s="17" t="s">
        <v>75</v>
      </c>
      <c r="F2013" s="17" t="s">
        <v>7069</v>
      </c>
      <c r="G2013" s="17" t="s">
        <v>177</v>
      </c>
      <c r="H2013" s="17" t="s">
        <v>35</v>
      </c>
      <c r="I2013" s="17" t="s">
        <v>1028</v>
      </c>
      <c r="J2013" s="17" t="s">
        <v>233</v>
      </c>
      <c r="K2013" s="19"/>
      <c r="L2013" s="19"/>
      <c r="M2013" s="19"/>
      <c r="N2013" s="19"/>
      <c r="O2013" s="17" t="n">
        <v>3</v>
      </c>
      <c r="P2013" s="18" t="s">
        <v>9647</v>
      </c>
      <c r="Q2013" s="18" t="s">
        <v>9648</v>
      </c>
      <c r="R2013" s="18" t="s">
        <v>9649</v>
      </c>
      <c r="S2013" s="17" t="s">
        <v>9650</v>
      </c>
      <c r="T2013" s="18" t="s">
        <v>9651</v>
      </c>
      <c r="U2013" s="19"/>
      <c r="V2013" s="18" t="s">
        <v>9652</v>
      </c>
      <c r="W2013" s="17" t="s">
        <v>240</v>
      </c>
      <c r="X2013" s="17" t="s">
        <v>9653</v>
      </c>
      <c r="Y2013" s="17" t="s">
        <v>242</v>
      </c>
      <c r="Z2013" s="19"/>
      <c r="AA2013" s="19"/>
      <c r="AB2013" s="17"/>
      <c r="AC2013" s="19"/>
    </row>
    <row r="2014" customFormat="false" ht="32.8" hidden="false" customHeight="false" outlineLevel="0" collapsed="false">
      <c r="A2014" s="10" t="s">
        <v>9654</v>
      </c>
      <c r="B2014" s="17" t="s">
        <v>189</v>
      </c>
      <c r="C2014" s="18" t="s">
        <v>190</v>
      </c>
      <c r="D2014" s="17" t="s">
        <v>19</v>
      </c>
      <c r="E2014" s="17" t="s">
        <v>75</v>
      </c>
      <c r="F2014" s="17" t="s">
        <v>7069</v>
      </c>
      <c r="G2014" s="17" t="s">
        <v>177</v>
      </c>
      <c r="H2014" s="17" t="s">
        <v>35</v>
      </c>
      <c r="I2014" s="17" t="s">
        <v>1028</v>
      </c>
      <c r="J2014" s="17" t="s">
        <v>233</v>
      </c>
      <c r="K2014" s="19"/>
      <c r="L2014" s="19"/>
      <c r="M2014" s="19"/>
      <c r="N2014" s="19"/>
      <c r="O2014" s="17" t="n">
        <v>3</v>
      </c>
      <c r="P2014" s="18" t="s">
        <v>9647</v>
      </c>
      <c r="Q2014" s="18" t="s">
        <v>9648</v>
      </c>
      <c r="R2014" s="18" t="s">
        <v>9655</v>
      </c>
      <c r="S2014" s="17" t="s">
        <v>9646</v>
      </c>
      <c r="T2014" s="18" t="s">
        <v>9656</v>
      </c>
      <c r="U2014" s="19"/>
      <c r="V2014" s="18" t="s">
        <v>9657</v>
      </c>
      <c r="W2014" s="17" t="s">
        <v>240</v>
      </c>
      <c r="X2014" s="17" t="s">
        <v>9653</v>
      </c>
      <c r="Y2014" s="17" t="s">
        <v>242</v>
      </c>
      <c r="Z2014" s="19"/>
      <c r="AA2014" s="19"/>
      <c r="AB2014" s="17"/>
      <c r="AC2014" s="19"/>
    </row>
    <row r="2015" customFormat="false" ht="32.8" hidden="false" customHeight="false" outlineLevel="0" collapsed="false">
      <c r="A2015" s="10" t="s">
        <v>9658</v>
      </c>
      <c r="B2015" s="17" t="s">
        <v>189</v>
      </c>
      <c r="C2015" s="18" t="s">
        <v>190</v>
      </c>
      <c r="D2015" s="17" t="s">
        <v>19</v>
      </c>
      <c r="E2015" s="17" t="s">
        <v>75</v>
      </c>
      <c r="F2015" s="17" t="s">
        <v>7069</v>
      </c>
      <c r="G2015" s="17" t="s">
        <v>177</v>
      </c>
      <c r="H2015" s="17" t="s">
        <v>35</v>
      </c>
      <c r="I2015" s="17" t="s">
        <v>1028</v>
      </c>
      <c r="J2015" s="17" t="s">
        <v>233</v>
      </c>
      <c r="K2015" s="19"/>
      <c r="L2015" s="19"/>
      <c r="M2015" s="19"/>
      <c r="N2015" s="19"/>
      <c r="O2015" s="17" t="n">
        <v>3</v>
      </c>
      <c r="P2015" s="18" t="s">
        <v>9647</v>
      </c>
      <c r="Q2015" s="18" t="s">
        <v>9648</v>
      </c>
      <c r="R2015" s="18" t="s">
        <v>9659</v>
      </c>
      <c r="S2015" s="17" t="s">
        <v>9654</v>
      </c>
      <c r="T2015" s="18" t="s">
        <v>9660</v>
      </c>
      <c r="U2015" s="19"/>
      <c r="V2015" s="18" t="s">
        <v>9661</v>
      </c>
      <c r="W2015" s="17" t="s">
        <v>240</v>
      </c>
      <c r="X2015" s="17" t="s">
        <v>9653</v>
      </c>
      <c r="Y2015" s="17" t="s">
        <v>242</v>
      </c>
      <c r="Z2015" s="19"/>
      <c r="AA2015" s="19"/>
      <c r="AB2015" s="17"/>
      <c r="AC2015" s="19"/>
    </row>
    <row r="2016" customFormat="false" ht="43.25" hidden="false" customHeight="false" outlineLevel="0" collapsed="false">
      <c r="A2016" s="10" t="s">
        <v>9662</v>
      </c>
      <c r="B2016" s="17" t="s">
        <v>189</v>
      </c>
      <c r="C2016" s="18" t="s">
        <v>190</v>
      </c>
      <c r="D2016" s="17" t="s">
        <v>19</v>
      </c>
      <c r="E2016" s="17" t="s">
        <v>75</v>
      </c>
      <c r="F2016" s="17" t="s">
        <v>7069</v>
      </c>
      <c r="G2016" s="17" t="s">
        <v>177</v>
      </c>
      <c r="H2016" s="17" t="s">
        <v>35</v>
      </c>
      <c r="I2016" s="17" t="s">
        <v>5507</v>
      </c>
      <c r="J2016" s="17" t="s">
        <v>233</v>
      </c>
      <c r="K2016" s="19"/>
      <c r="L2016" s="19"/>
      <c r="M2016" s="19"/>
      <c r="N2016" s="19"/>
      <c r="O2016" s="17" t="n">
        <v>4</v>
      </c>
      <c r="P2016" s="18" t="s">
        <v>9647</v>
      </c>
      <c r="Q2016" s="18" t="s">
        <v>9648</v>
      </c>
      <c r="R2016" s="18" t="s">
        <v>9663</v>
      </c>
      <c r="S2016" s="17" t="s">
        <v>9664</v>
      </c>
      <c r="T2016" s="18" t="s">
        <v>9665</v>
      </c>
      <c r="U2016" s="19"/>
      <c r="V2016" s="18" t="s">
        <v>9666</v>
      </c>
      <c r="W2016" s="17" t="s">
        <v>383</v>
      </c>
      <c r="X2016" s="17" t="s">
        <v>9653</v>
      </c>
      <c r="Y2016" s="17" t="s">
        <v>242</v>
      </c>
      <c r="Z2016" s="19"/>
      <c r="AA2016" s="19"/>
      <c r="AB2016" s="17"/>
      <c r="AC2016" s="19"/>
    </row>
    <row r="2017" customFormat="false" ht="32.8" hidden="false" customHeight="false" outlineLevel="0" collapsed="false">
      <c r="A2017" s="10" t="s">
        <v>9667</v>
      </c>
      <c r="B2017" s="17" t="s">
        <v>189</v>
      </c>
      <c r="C2017" s="18" t="s">
        <v>190</v>
      </c>
      <c r="D2017" s="17" t="s">
        <v>19</v>
      </c>
      <c r="E2017" s="17" t="s">
        <v>75</v>
      </c>
      <c r="F2017" s="17" t="s">
        <v>7069</v>
      </c>
      <c r="G2017" s="17" t="s">
        <v>177</v>
      </c>
      <c r="H2017" s="17" t="s">
        <v>35</v>
      </c>
      <c r="I2017" s="17" t="s">
        <v>928</v>
      </c>
      <c r="J2017" s="17" t="s">
        <v>233</v>
      </c>
      <c r="K2017" s="19"/>
      <c r="L2017" s="19"/>
      <c r="M2017" s="19"/>
      <c r="N2017" s="19"/>
      <c r="O2017" s="17" t="n">
        <v>3</v>
      </c>
      <c r="P2017" s="18" t="s">
        <v>9647</v>
      </c>
      <c r="Q2017" s="18" t="s">
        <v>9648</v>
      </c>
      <c r="R2017" s="18" t="s">
        <v>9668</v>
      </c>
      <c r="S2017" s="17" t="s">
        <v>9669</v>
      </c>
      <c r="T2017" s="18" t="s">
        <v>9670</v>
      </c>
      <c r="U2017" s="19"/>
      <c r="V2017" s="18" t="s">
        <v>9671</v>
      </c>
      <c r="W2017" s="17" t="s">
        <v>240</v>
      </c>
      <c r="X2017" s="17" t="s">
        <v>9653</v>
      </c>
      <c r="Y2017" s="17" t="s">
        <v>242</v>
      </c>
      <c r="Z2017" s="19"/>
      <c r="AA2017" s="19"/>
      <c r="AB2017" s="17"/>
      <c r="AC2017" s="19"/>
    </row>
    <row r="2018" customFormat="false" ht="32.8" hidden="false" customHeight="false" outlineLevel="0" collapsed="false">
      <c r="A2018" s="10" t="s">
        <v>9672</v>
      </c>
      <c r="B2018" s="17" t="s">
        <v>189</v>
      </c>
      <c r="C2018" s="18" t="s">
        <v>190</v>
      </c>
      <c r="D2018" s="17" t="s">
        <v>19</v>
      </c>
      <c r="E2018" s="17" t="s">
        <v>75</v>
      </c>
      <c r="F2018" s="17" t="s">
        <v>7069</v>
      </c>
      <c r="G2018" s="17" t="s">
        <v>177</v>
      </c>
      <c r="H2018" s="17" t="s">
        <v>35</v>
      </c>
      <c r="I2018" s="17" t="s">
        <v>1028</v>
      </c>
      <c r="J2018" s="17" t="s">
        <v>233</v>
      </c>
      <c r="K2018" s="19"/>
      <c r="L2018" s="19"/>
      <c r="M2018" s="19"/>
      <c r="N2018" s="19"/>
      <c r="O2018" s="17" t="n">
        <v>4</v>
      </c>
      <c r="P2018" s="18" t="s">
        <v>9647</v>
      </c>
      <c r="Q2018" s="18" t="s">
        <v>9648</v>
      </c>
      <c r="R2018" s="18" t="s">
        <v>9673</v>
      </c>
      <c r="S2018" s="17" t="s">
        <v>9674</v>
      </c>
      <c r="T2018" s="18" t="s">
        <v>9675</v>
      </c>
      <c r="U2018" s="19"/>
      <c r="V2018" s="18" t="s">
        <v>9676</v>
      </c>
      <c r="W2018" s="17" t="s">
        <v>240</v>
      </c>
      <c r="X2018" s="17" t="s">
        <v>9653</v>
      </c>
      <c r="Y2018" s="17" t="s">
        <v>242</v>
      </c>
      <c r="Z2018" s="19"/>
      <c r="AA2018" s="19"/>
      <c r="AB2018" s="17"/>
      <c r="AC2018" s="19"/>
    </row>
    <row r="2019" customFormat="false" ht="32.8" hidden="false" customHeight="false" outlineLevel="0" collapsed="false">
      <c r="A2019" s="10" t="s">
        <v>9677</v>
      </c>
      <c r="B2019" s="17" t="s">
        <v>189</v>
      </c>
      <c r="C2019" s="18" t="s">
        <v>190</v>
      </c>
      <c r="D2019" s="17" t="s">
        <v>19</v>
      </c>
      <c r="E2019" s="17" t="s">
        <v>75</v>
      </c>
      <c r="F2019" s="17" t="s">
        <v>7069</v>
      </c>
      <c r="G2019" s="17" t="s">
        <v>177</v>
      </c>
      <c r="H2019" s="17" t="s">
        <v>35</v>
      </c>
      <c r="I2019" s="17" t="s">
        <v>1028</v>
      </c>
      <c r="J2019" s="17" t="s">
        <v>233</v>
      </c>
      <c r="K2019" s="19"/>
      <c r="L2019" s="19"/>
      <c r="M2019" s="19"/>
      <c r="N2019" s="19"/>
      <c r="O2019" s="17" t="n">
        <v>5</v>
      </c>
      <c r="P2019" s="18" t="s">
        <v>9647</v>
      </c>
      <c r="Q2019" s="18" t="s">
        <v>9648</v>
      </c>
      <c r="R2019" s="18" t="s">
        <v>9678</v>
      </c>
      <c r="S2019" s="17" t="s">
        <v>9679</v>
      </c>
      <c r="T2019" s="18" t="s">
        <v>9680</v>
      </c>
      <c r="U2019" s="19"/>
      <c r="V2019" s="18" t="s">
        <v>9681</v>
      </c>
      <c r="W2019" s="17" t="s">
        <v>240</v>
      </c>
      <c r="X2019" s="17" t="s">
        <v>9653</v>
      </c>
      <c r="Y2019" s="17" t="s">
        <v>242</v>
      </c>
      <c r="Z2019" s="19"/>
      <c r="AA2019" s="19"/>
      <c r="AB2019" s="17"/>
      <c r="AC2019" s="19"/>
    </row>
    <row r="2020" customFormat="false" ht="32.8" hidden="false" customHeight="false" outlineLevel="0" collapsed="false">
      <c r="A2020" s="10" t="s">
        <v>9682</v>
      </c>
      <c r="B2020" s="17" t="s">
        <v>189</v>
      </c>
      <c r="C2020" s="18" t="s">
        <v>190</v>
      </c>
      <c r="D2020" s="17" t="s">
        <v>19</v>
      </c>
      <c r="E2020" s="17" t="s">
        <v>75</v>
      </c>
      <c r="F2020" s="17" t="s">
        <v>7069</v>
      </c>
      <c r="G2020" s="17" t="s">
        <v>177</v>
      </c>
      <c r="H2020" s="17" t="s">
        <v>35</v>
      </c>
      <c r="I2020" s="17" t="s">
        <v>289</v>
      </c>
      <c r="J2020" s="17" t="s">
        <v>233</v>
      </c>
      <c r="K2020" s="19"/>
      <c r="L2020" s="19"/>
      <c r="M2020" s="19"/>
      <c r="N2020" s="19"/>
      <c r="O2020" s="17" t="n">
        <v>4</v>
      </c>
      <c r="P2020" s="18" t="s">
        <v>9647</v>
      </c>
      <c r="Q2020" s="18" t="s">
        <v>9683</v>
      </c>
      <c r="R2020" s="18" t="s">
        <v>9684</v>
      </c>
      <c r="S2020" s="17" t="s">
        <v>9646</v>
      </c>
      <c r="T2020" s="18" t="s">
        <v>9685</v>
      </c>
      <c r="U2020" s="19"/>
      <c r="V2020" s="18" t="s">
        <v>9686</v>
      </c>
      <c r="W2020" s="17" t="s">
        <v>240</v>
      </c>
      <c r="X2020" s="17" t="s">
        <v>9653</v>
      </c>
      <c r="Y2020" s="17" t="s">
        <v>242</v>
      </c>
      <c r="Z2020" s="19"/>
      <c r="AA2020" s="19"/>
      <c r="AB2020" s="17"/>
      <c r="AC2020" s="19"/>
    </row>
    <row r="2021" customFormat="false" ht="32.8" hidden="false" customHeight="false" outlineLevel="0" collapsed="false">
      <c r="A2021" s="10" t="s">
        <v>9687</v>
      </c>
      <c r="B2021" s="17" t="s">
        <v>189</v>
      </c>
      <c r="C2021" s="18" t="s">
        <v>190</v>
      </c>
      <c r="D2021" s="17" t="s">
        <v>19</v>
      </c>
      <c r="E2021" s="17" t="s">
        <v>75</v>
      </c>
      <c r="F2021" s="17" t="s">
        <v>7069</v>
      </c>
      <c r="G2021" s="17" t="s">
        <v>177</v>
      </c>
      <c r="H2021" s="17" t="s">
        <v>35</v>
      </c>
      <c r="I2021" s="17" t="s">
        <v>1028</v>
      </c>
      <c r="J2021" s="17" t="s">
        <v>233</v>
      </c>
      <c r="K2021" s="19"/>
      <c r="L2021" s="19"/>
      <c r="M2021" s="19"/>
      <c r="N2021" s="19"/>
      <c r="O2021" s="17" t="n">
        <v>4</v>
      </c>
      <c r="P2021" s="18" t="s">
        <v>9647</v>
      </c>
      <c r="Q2021" s="18" t="s">
        <v>9683</v>
      </c>
      <c r="R2021" s="18" t="s">
        <v>9688</v>
      </c>
      <c r="S2021" s="17" t="s">
        <v>9682</v>
      </c>
      <c r="T2021" s="18" t="s">
        <v>9689</v>
      </c>
      <c r="U2021" s="19"/>
      <c r="V2021" s="18" t="s">
        <v>9690</v>
      </c>
      <c r="W2021" s="17" t="s">
        <v>240</v>
      </c>
      <c r="X2021" s="17" t="s">
        <v>9653</v>
      </c>
      <c r="Y2021" s="17" t="s">
        <v>242</v>
      </c>
      <c r="Z2021" s="19"/>
      <c r="AA2021" s="19"/>
      <c r="AB2021" s="17"/>
      <c r="AC2021" s="19"/>
    </row>
    <row r="2022" customFormat="false" ht="32.8" hidden="false" customHeight="false" outlineLevel="0" collapsed="false">
      <c r="A2022" s="10" t="s">
        <v>9691</v>
      </c>
      <c r="B2022" s="17" t="s">
        <v>189</v>
      </c>
      <c r="C2022" s="18" t="s">
        <v>190</v>
      </c>
      <c r="D2022" s="17" t="s">
        <v>19</v>
      </c>
      <c r="E2022" s="17" t="s">
        <v>75</v>
      </c>
      <c r="F2022" s="17" t="s">
        <v>7069</v>
      </c>
      <c r="G2022" s="17" t="s">
        <v>177</v>
      </c>
      <c r="H2022" s="17" t="s">
        <v>35</v>
      </c>
      <c r="I2022" s="17" t="s">
        <v>1028</v>
      </c>
      <c r="J2022" s="17" t="s">
        <v>233</v>
      </c>
      <c r="K2022" s="19"/>
      <c r="L2022" s="19"/>
      <c r="M2022" s="19"/>
      <c r="N2022" s="19"/>
      <c r="O2022" s="17" t="n">
        <v>4</v>
      </c>
      <c r="P2022" s="18" t="s">
        <v>9647</v>
      </c>
      <c r="Q2022" s="18" t="s">
        <v>9683</v>
      </c>
      <c r="R2022" s="18" t="s">
        <v>9692</v>
      </c>
      <c r="S2022" s="17" t="s">
        <v>9654</v>
      </c>
      <c r="T2022" s="18" t="s">
        <v>9693</v>
      </c>
      <c r="U2022" s="19"/>
      <c r="V2022" s="18" t="s">
        <v>9694</v>
      </c>
      <c r="W2022" s="17" t="s">
        <v>240</v>
      </c>
      <c r="X2022" s="17" t="s">
        <v>9653</v>
      </c>
      <c r="Y2022" s="17" t="s">
        <v>242</v>
      </c>
      <c r="Z2022" s="19"/>
      <c r="AA2022" s="19"/>
      <c r="AB2022" s="17"/>
      <c r="AC2022" s="19"/>
    </row>
    <row r="2023" customFormat="false" ht="22.35" hidden="false" customHeight="false" outlineLevel="0" collapsed="false">
      <c r="A2023" s="10" t="s">
        <v>9695</v>
      </c>
      <c r="B2023" s="17" t="s">
        <v>189</v>
      </c>
      <c r="C2023" s="18" t="s">
        <v>190</v>
      </c>
      <c r="D2023" s="17" t="s">
        <v>19</v>
      </c>
      <c r="E2023" s="17" t="s">
        <v>75</v>
      </c>
      <c r="F2023" s="17" t="s">
        <v>7069</v>
      </c>
      <c r="G2023" s="17" t="s">
        <v>177</v>
      </c>
      <c r="H2023" s="17" t="s">
        <v>35</v>
      </c>
      <c r="I2023" s="17" t="s">
        <v>1028</v>
      </c>
      <c r="J2023" s="17" t="s">
        <v>233</v>
      </c>
      <c r="K2023" s="19"/>
      <c r="L2023" s="19"/>
      <c r="M2023" s="19"/>
      <c r="N2023" s="19"/>
      <c r="O2023" s="17" t="n">
        <v>4</v>
      </c>
      <c r="P2023" s="18" t="s">
        <v>9647</v>
      </c>
      <c r="Q2023" s="18" t="s">
        <v>9683</v>
      </c>
      <c r="R2023" s="18" t="s">
        <v>9696</v>
      </c>
      <c r="S2023" s="17" t="s">
        <v>9697</v>
      </c>
      <c r="T2023" s="18" t="s">
        <v>9698</v>
      </c>
      <c r="U2023" s="19"/>
      <c r="V2023" s="18" t="s">
        <v>9699</v>
      </c>
      <c r="W2023" s="17" t="s">
        <v>240</v>
      </c>
      <c r="X2023" s="17" t="s">
        <v>9653</v>
      </c>
      <c r="Y2023" s="17" t="s">
        <v>242</v>
      </c>
      <c r="Z2023" s="19"/>
      <c r="AA2023" s="19"/>
      <c r="AB2023" s="17"/>
      <c r="AC2023" s="19"/>
    </row>
    <row r="2024" customFormat="false" ht="32.8" hidden="false" customHeight="false" outlineLevel="0" collapsed="false">
      <c r="A2024" s="10" t="s">
        <v>9700</v>
      </c>
      <c r="B2024" s="17" t="s">
        <v>189</v>
      </c>
      <c r="C2024" s="18" t="s">
        <v>190</v>
      </c>
      <c r="D2024" s="17" t="s">
        <v>19</v>
      </c>
      <c r="E2024" s="17" t="s">
        <v>75</v>
      </c>
      <c r="F2024" s="17" t="s">
        <v>7069</v>
      </c>
      <c r="G2024" s="17" t="s">
        <v>177</v>
      </c>
      <c r="H2024" s="17" t="s">
        <v>35</v>
      </c>
      <c r="I2024" s="17" t="s">
        <v>289</v>
      </c>
      <c r="J2024" s="17" t="s">
        <v>233</v>
      </c>
      <c r="K2024" s="19"/>
      <c r="L2024" s="19"/>
      <c r="M2024" s="19"/>
      <c r="N2024" s="19"/>
      <c r="O2024" s="17" t="n">
        <v>4</v>
      </c>
      <c r="P2024" s="18" t="s">
        <v>9647</v>
      </c>
      <c r="Q2024" s="18" t="s">
        <v>9683</v>
      </c>
      <c r="R2024" s="18" t="s">
        <v>9701</v>
      </c>
      <c r="S2024" s="17" t="s">
        <v>9702</v>
      </c>
      <c r="T2024" s="18" t="s">
        <v>9703</v>
      </c>
      <c r="U2024" s="19"/>
      <c r="V2024" s="18" t="s">
        <v>9704</v>
      </c>
      <c r="W2024" s="17" t="s">
        <v>240</v>
      </c>
      <c r="X2024" s="17" t="s">
        <v>9653</v>
      </c>
      <c r="Y2024" s="17" t="s">
        <v>242</v>
      </c>
      <c r="Z2024" s="19"/>
      <c r="AA2024" s="19"/>
      <c r="AB2024" s="17"/>
      <c r="AC2024" s="19"/>
    </row>
    <row r="2025" customFormat="false" ht="32.8" hidden="false" customHeight="false" outlineLevel="0" collapsed="false">
      <c r="A2025" s="10" t="s">
        <v>9705</v>
      </c>
      <c r="B2025" s="17" t="s">
        <v>189</v>
      </c>
      <c r="C2025" s="18" t="s">
        <v>190</v>
      </c>
      <c r="D2025" s="17" t="s">
        <v>19</v>
      </c>
      <c r="E2025" s="17" t="s">
        <v>75</v>
      </c>
      <c r="F2025" s="17" t="s">
        <v>7069</v>
      </c>
      <c r="G2025" s="17" t="s">
        <v>177</v>
      </c>
      <c r="H2025" s="17" t="s">
        <v>35</v>
      </c>
      <c r="I2025" s="17" t="s">
        <v>369</v>
      </c>
      <c r="J2025" s="17" t="s">
        <v>233</v>
      </c>
      <c r="K2025" s="19"/>
      <c r="L2025" s="19"/>
      <c r="M2025" s="19"/>
      <c r="N2025" s="19"/>
      <c r="O2025" s="17" t="n">
        <v>4</v>
      </c>
      <c r="P2025" s="18" t="s">
        <v>9647</v>
      </c>
      <c r="Q2025" s="18" t="s">
        <v>9683</v>
      </c>
      <c r="R2025" s="18" t="s">
        <v>9706</v>
      </c>
      <c r="S2025" s="17" t="s">
        <v>9707</v>
      </c>
      <c r="T2025" s="18" t="s">
        <v>9708</v>
      </c>
      <c r="U2025" s="19"/>
      <c r="V2025" s="18" t="s">
        <v>9709</v>
      </c>
      <c r="W2025" s="17" t="s">
        <v>240</v>
      </c>
      <c r="X2025" s="17" t="s">
        <v>9653</v>
      </c>
      <c r="Y2025" s="17" t="s">
        <v>242</v>
      </c>
      <c r="Z2025" s="19"/>
      <c r="AA2025" s="19"/>
      <c r="AB2025" s="17"/>
      <c r="AC2025" s="19"/>
    </row>
    <row r="2026" customFormat="false" ht="32.8" hidden="false" customHeight="false" outlineLevel="0" collapsed="false">
      <c r="A2026" s="10" t="s">
        <v>9710</v>
      </c>
      <c r="B2026" s="17" t="s">
        <v>189</v>
      </c>
      <c r="C2026" s="18" t="s">
        <v>190</v>
      </c>
      <c r="D2026" s="17" t="s">
        <v>19</v>
      </c>
      <c r="E2026" s="17" t="s">
        <v>75</v>
      </c>
      <c r="F2026" s="17" t="s">
        <v>7069</v>
      </c>
      <c r="G2026" s="17" t="s">
        <v>177</v>
      </c>
      <c r="H2026" s="17" t="s">
        <v>35</v>
      </c>
      <c r="I2026" s="17" t="s">
        <v>1028</v>
      </c>
      <c r="J2026" s="17" t="s">
        <v>233</v>
      </c>
      <c r="K2026" s="19"/>
      <c r="L2026" s="19"/>
      <c r="M2026" s="19"/>
      <c r="N2026" s="19"/>
      <c r="O2026" s="17" t="n">
        <v>5</v>
      </c>
      <c r="P2026" s="18" t="s">
        <v>9647</v>
      </c>
      <c r="Q2026" s="18" t="s">
        <v>9683</v>
      </c>
      <c r="R2026" s="18" t="s">
        <v>9711</v>
      </c>
      <c r="S2026" s="17" t="s">
        <v>9691</v>
      </c>
      <c r="T2026" s="18" t="s">
        <v>9712</v>
      </c>
      <c r="U2026" s="19"/>
      <c r="V2026" s="18" t="s">
        <v>9713</v>
      </c>
      <c r="W2026" s="17" t="s">
        <v>240</v>
      </c>
      <c r="X2026" s="17" t="s">
        <v>9653</v>
      </c>
      <c r="Y2026" s="17" t="s">
        <v>242</v>
      </c>
      <c r="Z2026" s="19"/>
      <c r="AA2026" s="19"/>
      <c r="AB2026" s="17"/>
      <c r="AC2026" s="19"/>
    </row>
    <row r="2027" customFormat="false" ht="32.8" hidden="false" customHeight="false" outlineLevel="0" collapsed="false">
      <c r="A2027" s="10" t="s">
        <v>9714</v>
      </c>
      <c r="B2027" s="17" t="s">
        <v>189</v>
      </c>
      <c r="C2027" s="18" t="s">
        <v>190</v>
      </c>
      <c r="D2027" s="17" t="s">
        <v>19</v>
      </c>
      <c r="E2027" s="17" t="s">
        <v>75</v>
      </c>
      <c r="F2027" s="17" t="s">
        <v>7069</v>
      </c>
      <c r="G2027" s="17" t="s">
        <v>177</v>
      </c>
      <c r="H2027" s="17" t="s">
        <v>35</v>
      </c>
      <c r="I2027" s="17" t="s">
        <v>974</v>
      </c>
      <c r="J2027" s="17" t="s">
        <v>233</v>
      </c>
      <c r="K2027" s="19"/>
      <c r="L2027" s="19"/>
      <c r="M2027" s="19"/>
      <c r="N2027" s="19"/>
      <c r="O2027" s="17" t="n">
        <v>5</v>
      </c>
      <c r="P2027" s="18" t="s">
        <v>9647</v>
      </c>
      <c r="Q2027" s="18" t="s">
        <v>9683</v>
      </c>
      <c r="R2027" s="18" t="s">
        <v>9715</v>
      </c>
      <c r="S2027" s="17" t="s">
        <v>9716</v>
      </c>
      <c r="T2027" s="18" t="s">
        <v>9717</v>
      </c>
      <c r="U2027" s="19"/>
      <c r="V2027" s="18" t="s">
        <v>9718</v>
      </c>
      <c r="W2027" s="17" t="s">
        <v>240</v>
      </c>
      <c r="X2027" s="17" t="s">
        <v>9653</v>
      </c>
      <c r="Y2027" s="17" t="s">
        <v>242</v>
      </c>
      <c r="Z2027" s="19"/>
      <c r="AA2027" s="19"/>
      <c r="AB2027" s="17"/>
      <c r="AC2027" s="19"/>
    </row>
    <row r="2028" customFormat="false" ht="43.25" hidden="false" customHeight="false" outlineLevel="0" collapsed="false">
      <c r="A2028" s="10" t="s">
        <v>9719</v>
      </c>
      <c r="B2028" s="17" t="s">
        <v>189</v>
      </c>
      <c r="C2028" s="18" t="s">
        <v>190</v>
      </c>
      <c r="D2028" s="17" t="s">
        <v>19</v>
      </c>
      <c r="E2028" s="17" t="s">
        <v>75</v>
      </c>
      <c r="F2028" s="17" t="s">
        <v>7069</v>
      </c>
      <c r="G2028" s="17" t="s">
        <v>177</v>
      </c>
      <c r="H2028" s="17" t="s">
        <v>35</v>
      </c>
      <c r="I2028" s="17" t="s">
        <v>1028</v>
      </c>
      <c r="J2028" s="17" t="s">
        <v>233</v>
      </c>
      <c r="K2028" s="19"/>
      <c r="L2028" s="19"/>
      <c r="M2028" s="19"/>
      <c r="N2028" s="19"/>
      <c r="O2028" s="17" t="n">
        <v>4</v>
      </c>
      <c r="P2028" s="18" t="s">
        <v>9647</v>
      </c>
      <c r="Q2028" s="18" t="s">
        <v>9720</v>
      </c>
      <c r="R2028" s="18" t="s">
        <v>9721</v>
      </c>
      <c r="S2028" s="17" t="s">
        <v>9722</v>
      </c>
      <c r="T2028" s="18" t="s">
        <v>9723</v>
      </c>
      <c r="U2028" s="19"/>
      <c r="V2028" s="18" t="s">
        <v>9724</v>
      </c>
      <c r="W2028" s="17" t="s">
        <v>240</v>
      </c>
      <c r="X2028" s="17" t="s">
        <v>9653</v>
      </c>
      <c r="Y2028" s="17" t="s">
        <v>242</v>
      </c>
      <c r="Z2028" s="19"/>
      <c r="AA2028" s="19"/>
      <c r="AB2028" s="17"/>
      <c r="AC2028" s="19"/>
    </row>
    <row r="2029" customFormat="false" ht="32.8" hidden="false" customHeight="false" outlineLevel="0" collapsed="false">
      <c r="A2029" s="10" t="s">
        <v>9725</v>
      </c>
      <c r="B2029" s="17" t="s">
        <v>189</v>
      </c>
      <c r="C2029" s="18" t="s">
        <v>190</v>
      </c>
      <c r="D2029" s="17" t="s">
        <v>19</v>
      </c>
      <c r="E2029" s="17" t="s">
        <v>75</v>
      </c>
      <c r="F2029" s="17" t="s">
        <v>7069</v>
      </c>
      <c r="G2029" s="17" t="s">
        <v>177</v>
      </c>
      <c r="H2029" s="17" t="s">
        <v>35</v>
      </c>
      <c r="I2029" s="17" t="s">
        <v>1028</v>
      </c>
      <c r="J2029" s="17" t="s">
        <v>233</v>
      </c>
      <c r="K2029" s="19"/>
      <c r="L2029" s="19"/>
      <c r="M2029" s="19"/>
      <c r="N2029" s="19"/>
      <c r="O2029" s="17" t="n">
        <v>5</v>
      </c>
      <c r="P2029" s="18" t="s">
        <v>9647</v>
      </c>
      <c r="Q2029" s="18" t="s">
        <v>9720</v>
      </c>
      <c r="R2029" s="18" t="s">
        <v>9726</v>
      </c>
      <c r="S2029" s="17" t="s">
        <v>9719</v>
      </c>
      <c r="T2029" s="18" t="s">
        <v>9727</v>
      </c>
      <c r="U2029" s="19"/>
      <c r="V2029" s="18" t="s">
        <v>9728</v>
      </c>
      <c r="W2029" s="17" t="s">
        <v>240</v>
      </c>
      <c r="X2029" s="17" t="s">
        <v>9653</v>
      </c>
      <c r="Y2029" s="17" t="s">
        <v>242</v>
      </c>
      <c r="Z2029" s="19"/>
      <c r="AA2029" s="19"/>
      <c r="AB2029" s="17"/>
      <c r="AC2029" s="19"/>
    </row>
    <row r="2030" customFormat="false" ht="22.35" hidden="false" customHeight="false" outlineLevel="0" collapsed="false">
      <c r="A2030" s="10" t="s">
        <v>9729</v>
      </c>
      <c r="B2030" s="17" t="s">
        <v>189</v>
      </c>
      <c r="C2030" s="18" t="s">
        <v>190</v>
      </c>
      <c r="D2030" s="17" t="s">
        <v>19</v>
      </c>
      <c r="E2030" s="17" t="s">
        <v>75</v>
      </c>
      <c r="F2030" s="17" t="s">
        <v>7069</v>
      </c>
      <c r="G2030" s="17" t="s">
        <v>177</v>
      </c>
      <c r="H2030" s="17" t="s">
        <v>35</v>
      </c>
      <c r="I2030" s="17" t="s">
        <v>1028</v>
      </c>
      <c r="J2030" s="17" t="s">
        <v>233</v>
      </c>
      <c r="K2030" s="19"/>
      <c r="L2030" s="19"/>
      <c r="M2030" s="19"/>
      <c r="N2030" s="19"/>
      <c r="O2030" s="17" t="n">
        <v>5</v>
      </c>
      <c r="P2030" s="18" t="s">
        <v>9647</v>
      </c>
      <c r="Q2030" s="18" t="s">
        <v>9720</v>
      </c>
      <c r="R2030" s="18" t="s">
        <v>9730</v>
      </c>
      <c r="S2030" s="17" t="s">
        <v>9725</v>
      </c>
      <c r="T2030" s="18" t="s">
        <v>9570</v>
      </c>
      <c r="U2030" s="19"/>
      <c r="V2030" s="18" t="s">
        <v>4226</v>
      </c>
      <c r="W2030" s="17" t="s">
        <v>240</v>
      </c>
      <c r="X2030" s="17" t="s">
        <v>9653</v>
      </c>
      <c r="Y2030" s="17" t="s">
        <v>242</v>
      </c>
      <c r="Z2030" s="19"/>
      <c r="AA2030" s="19"/>
      <c r="AB2030" s="17"/>
      <c r="AC2030" s="19"/>
    </row>
    <row r="2031" customFormat="false" ht="32.8" hidden="false" customHeight="false" outlineLevel="0" collapsed="false">
      <c r="A2031" s="10" t="s">
        <v>9731</v>
      </c>
      <c r="B2031" s="17" t="s">
        <v>189</v>
      </c>
      <c r="C2031" s="18" t="s">
        <v>190</v>
      </c>
      <c r="D2031" s="17" t="s">
        <v>19</v>
      </c>
      <c r="E2031" s="17" t="s">
        <v>75</v>
      </c>
      <c r="F2031" s="17" t="s">
        <v>6683</v>
      </c>
      <c r="G2031" s="17" t="s">
        <v>177</v>
      </c>
      <c r="H2031" s="17" t="s">
        <v>28</v>
      </c>
      <c r="I2031" s="17" t="s">
        <v>289</v>
      </c>
      <c r="J2031" s="17" t="s">
        <v>233</v>
      </c>
      <c r="K2031" s="19"/>
      <c r="L2031" s="19"/>
      <c r="M2031" s="19"/>
      <c r="N2031" s="19"/>
      <c r="O2031" s="17" t="n">
        <v>2</v>
      </c>
      <c r="P2031" s="18" t="s">
        <v>9732</v>
      </c>
      <c r="Q2031" s="18" t="s">
        <v>9733</v>
      </c>
      <c r="R2031" s="18" t="s">
        <v>9734</v>
      </c>
      <c r="S2031" s="17" t="s">
        <v>237</v>
      </c>
      <c r="T2031" s="18" t="s">
        <v>9735</v>
      </c>
      <c r="U2031" s="19"/>
      <c r="V2031" s="18" t="s">
        <v>9736</v>
      </c>
      <c r="W2031" s="17" t="s">
        <v>240</v>
      </c>
      <c r="X2031" s="17" t="s">
        <v>9737</v>
      </c>
      <c r="Y2031" s="17" t="s">
        <v>242</v>
      </c>
      <c r="Z2031" s="19"/>
      <c r="AA2031" s="19"/>
      <c r="AB2031" s="17"/>
      <c r="AC2031" s="19"/>
    </row>
    <row r="2032" customFormat="false" ht="32.8" hidden="false" customHeight="false" outlineLevel="0" collapsed="false">
      <c r="A2032" s="10" t="s">
        <v>9738</v>
      </c>
      <c r="B2032" s="17" t="s">
        <v>189</v>
      </c>
      <c r="C2032" s="18" t="s">
        <v>190</v>
      </c>
      <c r="D2032" s="17" t="s">
        <v>19</v>
      </c>
      <c r="E2032" s="17" t="s">
        <v>75</v>
      </c>
      <c r="F2032" s="17" t="s">
        <v>6683</v>
      </c>
      <c r="G2032" s="17" t="s">
        <v>177</v>
      </c>
      <c r="H2032" s="17" t="s">
        <v>28</v>
      </c>
      <c r="I2032" s="17" t="s">
        <v>232</v>
      </c>
      <c r="J2032" s="17" t="s">
        <v>233</v>
      </c>
      <c r="K2032" s="19"/>
      <c r="L2032" s="19"/>
      <c r="M2032" s="19"/>
      <c r="N2032" s="19"/>
      <c r="O2032" s="17" t="n">
        <v>2</v>
      </c>
      <c r="P2032" s="18" t="s">
        <v>9732</v>
      </c>
      <c r="Q2032" s="18" t="s">
        <v>9733</v>
      </c>
      <c r="R2032" s="18" t="s">
        <v>9739</v>
      </c>
      <c r="S2032" s="17" t="s">
        <v>9740</v>
      </c>
      <c r="T2032" s="18" t="s">
        <v>9741</v>
      </c>
      <c r="U2032" s="19"/>
      <c r="V2032" s="18" t="s">
        <v>9742</v>
      </c>
      <c r="W2032" s="17" t="s">
        <v>240</v>
      </c>
      <c r="X2032" s="17" t="s">
        <v>9737</v>
      </c>
      <c r="Y2032" s="17" t="s">
        <v>242</v>
      </c>
      <c r="Z2032" s="19"/>
      <c r="AA2032" s="19"/>
      <c r="AB2032" s="17"/>
      <c r="AC2032" s="19"/>
    </row>
    <row r="2033" customFormat="false" ht="22.35" hidden="false" customHeight="false" outlineLevel="0" collapsed="false">
      <c r="A2033" s="10" t="s">
        <v>9743</v>
      </c>
      <c r="B2033" s="17" t="s">
        <v>189</v>
      </c>
      <c r="C2033" s="18" t="s">
        <v>190</v>
      </c>
      <c r="D2033" s="17" t="s">
        <v>19</v>
      </c>
      <c r="E2033" s="17" t="s">
        <v>75</v>
      </c>
      <c r="F2033" s="17" t="s">
        <v>6683</v>
      </c>
      <c r="G2033" s="17" t="s">
        <v>177</v>
      </c>
      <c r="H2033" s="17" t="s">
        <v>28</v>
      </c>
      <c r="I2033" s="17" t="s">
        <v>1028</v>
      </c>
      <c r="J2033" s="17" t="s">
        <v>233</v>
      </c>
      <c r="K2033" s="19"/>
      <c r="L2033" s="19"/>
      <c r="M2033" s="19"/>
      <c r="N2033" s="19"/>
      <c r="O2033" s="17" t="n">
        <v>2</v>
      </c>
      <c r="P2033" s="18" t="s">
        <v>9732</v>
      </c>
      <c r="Q2033" s="18" t="s">
        <v>9733</v>
      </c>
      <c r="R2033" s="18" t="s">
        <v>9744</v>
      </c>
      <c r="S2033" s="17" t="s">
        <v>9738</v>
      </c>
      <c r="T2033" s="18" t="s">
        <v>9745</v>
      </c>
      <c r="U2033" s="19"/>
      <c r="V2033" s="18" t="s">
        <v>9746</v>
      </c>
      <c r="W2033" s="17" t="s">
        <v>240</v>
      </c>
      <c r="X2033" s="17" t="s">
        <v>9737</v>
      </c>
      <c r="Y2033" s="17" t="s">
        <v>242</v>
      </c>
      <c r="Z2033" s="19"/>
      <c r="AA2033" s="19"/>
      <c r="AB2033" s="17"/>
      <c r="AC2033" s="19"/>
    </row>
    <row r="2034" customFormat="false" ht="32.8" hidden="false" customHeight="false" outlineLevel="0" collapsed="false">
      <c r="A2034" s="10" t="s">
        <v>9747</v>
      </c>
      <c r="B2034" s="17" t="s">
        <v>189</v>
      </c>
      <c r="C2034" s="18" t="s">
        <v>190</v>
      </c>
      <c r="D2034" s="17" t="s">
        <v>19</v>
      </c>
      <c r="E2034" s="17" t="s">
        <v>75</v>
      </c>
      <c r="F2034" s="17" t="s">
        <v>6683</v>
      </c>
      <c r="G2034" s="17" t="s">
        <v>177</v>
      </c>
      <c r="H2034" s="17" t="s">
        <v>28</v>
      </c>
      <c r="I2034" s="17" t="s">
        <v>1028</v>
      </c>
      <c r="J2034" s="17" t="s">
        <v>233</v>
      </c>
      <c r="K2034" s="19"/>
      <c r="L2034" s="19"/>
      <c r="M2034" s="19"/>
      <c r="N2034" s="19"/>
      <c r="O2034" s="17" t="n">
        <v>2</v>
      </c>
      <c r="P2034" s="18" t="s">
        <v>9732</v>
      </c>
      <c r="Q2034" s="18" t="s">
        <v>9733</v>
      </c>
      <c r="R2034" s="18" t="s">
        <v>9748</v>
      </c>
      <c r="S2034" s="17" t="s">
        <v>9738</v>
      </c>
      <c r="T2034" s="18" t="s">
        <v>9749</v>
      </c>
      <c r="U2034" s="19"/>
      <c r="V2034" s="18" t="s">
        <v>9750</v>
      </c>
      <c r="W2034" s="17" t="s">
        <v>240</v>
      </c>
      <c r="X2034" s="17" t="s">
        <v>9737</v>
      </c>
      <c r="Y2034" s="17" t="s">
        <v>242</v>
      </c>
      <c r="Z2034" s="19"/>
      <c r="AA2034" s="19"/>
      <c r="AB2034" s="17"/>
      <c r="AC2034" s="19"/>
    </row>
    <row r="2035" customFormat="false" ht="32.8" hidden="false" customHeight="false" outlineLevel="0" collapsed="false">
      <c r="A2035" s="10" t="s">
        <v>9751</v>
      </c>
      <c r="B2035" s="17" t="s">
        <v>189</v>
      </c>
      <c r="C2035" s="18" t="s">
        <v>190</v>
      </c>
      <c r="D2035" s="17" t="s">
        <v>19</v>
      </c>
      <c r="E2035" s="17" t="s">
        <v>75</v>
      </c>
      <c r="F2035" s="17" t="s">
        <v>6683</v>
      </c>
      <c r="G2035" s="17" t="s">
        <v>177</v>
      </c>
      <c r="H2035" s="17" t="s">
        <v>28</v>
      </c>
      <c r="I2035" s="17" t="s">
        <v>289</v>
      </c>
      <c r="J2035" s="17" t="s">
        <v>233</v>
      </c>
      <c r="K2035" s="19"/>
      <c r="L2035" s="19"/>
      <c r="M2035" s="19"/>
      <c r="N2035" s="19"/>
      <c r="O2035" s="17" t="n">
        <v>4</v>
      </c>
      <c r="P2035" s="18" t="s">
        <v>9732</v>
      </c>
      <c r="Q2035" s="18" t="s">
        <v>9752</v>
      </c>
      <c r="R2035" s="18" t="s">
        <v>9753</v>
      </c>
      <c r="S2035" s="17" t="s">
        <v>9754</v>
      </c>
      <c r="T2035" s="18" t="s">
        <v>9755</v>
      </c>
      <c r="U2035" s="19"/>
      <c r="V2035" s="18" t="s">
        <v>9756</v>
      </c>
      <c r="W2035" s="17" t="s">
        <v>240</v>
      </c>
      <c r="X2035" s="17" t="s">
        <v>9737</v>
      </c>
      <c r="Y2035" s="17" t="s">
        <v>242</v>
      </c>
      <c r="Z2035" s="19"/>
      <c r="AA2035" s="19"/>
      <c r="AB2035" s="17"/>
      <c r="AC2035" s="19"/>
    </row>
    <row r="2036" customFormat="false" ht="32.8" hidden="false" customHeight="false" outlineLevel="0" collapsed="false">
      <c r="A2036" s="10" t="s">
        <v>9757</v>
      </c>
      <c r="B2036" s="17" t="s">
        <v>189</v>
      </c>
      <c r="C2036" s="18" t="s">
        <v>190</v>
      </c>
      <c r="D2036" s="17" t="s">
        <v>19</v>
      </c>
      <c r="E2036" s="17" t="s">
        <v>75</v>
      </c>
      <c r="F2036" s="17" t="s">
        <v>6683</v>
      </c>
      <c r="G2036" s="17" t="s">
        <v>177</v>
      </c>
      <c r="H2036" s="17" t="s">
        <v>28</v>
      </c>
      <c r="I2036" s="17" t="s">
        <v>289</v>
      </c>
      <c r="J2036" s="17" t="s">
        <v>233</v>
      </c>
      <c r="K2036" s="19"/>
      <c r="L2036" s="19"/>
      <c r="M2036" s="19"/>
      <c r="N2036" s="19"/>
      <c r="O2036" s="17" t="n">
        <v>5</v>
      </c>
      <c r="P2036" s="18" t="s">
        <v>9732</v>
      </c>
      <c r="Q2036" s="18" t="s">
        <v>9752</v>
      </c>
      <c r="R2036" s="18" t="s">
        <v>9758</v>
      </c>
      <c r="S2036" s="17" t="s">
        <v>9751</v>
      </c>
      <c r="T2036" s="18" t="s">
        <v>9759</v>
      </c>
      <c r="U2036" s="19"/>
      <c r="V2036" s="18" t="s">
        <v>9760</v>
      </c>
      <c r="W2036" s="17" t="s">
        <v>1217</v>
      </c>
      <c r="X2036" s="17" t="s">
        <v>9737</v>
      </c>
      <c r="Y2036" s="17" t="s">
        <v>242</v>
      </c>
      <c r="Z2036" s="19"/>
      <c r="AA2036" s="19"/>
      <c r="AB2036" s="17"/>
      <c r="AC2036" s="19"/>
    </row>
    <row r="2037" customFormat="false" ht="32.8" hidden="false" customHeight="false" outlineLevel="0" collapsed="false">
      <c r="A2037" s="10" t="s">
        <v>9761</v>
      </c>
      <c r="B2037" s="17" t="s">
        <v>189</v>
      </c>
      <c r="C2037" s="18" t="s">
        <v>190</v>
      </c>
      <c r="D2037" s="17" t="s">
        <v>19</v>
      </c>
      <c r="E2037" s="17" t="s">
        <v>75</v>
      </c>
      <c r="F2037" s="17" t="s">
        <v>6683</v>
      </c>
      <c r="G2037" s="17" t="s">
        <v>177</v>
      </c>
      <c r="H2037" s="17" t="s">
        <v>28</v>
      </c>
      <c r="I2037" s="17" t="s">
        <v>5507</v>
      </c>
      <c r="J2037" s="17" t="s">
        <v>233</v>
      </c>
      <c r="K2037" s="19"/>
      <c r="L2037" s="19"/>
      <c r="M2037" s="19"/>
      <c r="N2037" s="19"/>
      <c r="O2037" s="17" t="n">
        <v>5</v>
      </c>
      <c r="P2037" s="18" t="s">
        <v>9732</v>
      </c>
      <c r="Q2037" s="18" t="s">
        <v>9752</v>
      </c>
      <c r="R2037" s="18" t="s">
        <v>9762</v>
      </c>
      <c r="S2037" s="17" t="s">
        <v>9763</v>
      </c>
      <c r="T2037" s="18" t="s">
        <v>9764</v>
      </c>
      <c r="U2037" s="19"/>
      <c r="V2037" s="18" t="s">
        <v>9765</v>
      </c>
      <c r="W2037" s="17" t="s">
        <v>383</v>
      </c>
      <c r="X2037" s="17" t="s">
        <v>9737</v>
      </c>
      <c r="Y2037" s="17" t="s">
        <v>242</v>
      </c>
      <c r="Z2037" s="19"/>
      <c r="AA2037" s="19"/>
      <c r="AB2037" s="17"/>
      <c r="AC2037" s="19"/>
    </row>
    <row r="2038" customFormat="false" ht="32.8" hidden="false" customHeight="false" outlineLevel="0" collapsed="false">
      <c r="A2038" s="10" t="s">
        <v>9766</v>
      </c>
      <c r="B2038" s="17" t="s">
        <v>189</v>
      </c>
      <c r="C2038" s="18" t="s">
        <v>190</v>
      </c>
      <c r="D2038" s="17" t="s">
        <v>19</v>
      </c>
      <c r="E2038" s="17" t="s">
        <v>75</v>
      </c>
      <c r="F2038" s="17" t="s">
        <v>6683</v>
      </c>
      <c r="G2038" s="17" t="s">
        <v>177</v>
      </c>
      <c r="H2038" s="17" t="s">
        <v>28</v>
      </c>
      <c r="I2038" s="17" t="s">
        <v>277</v>
      </c>
      <c r="J2038" s="17" t="s">
        <v>233</v>
      </c>
      <c r="K2038" s="19"/>
      <c r="L2038" s="19"/>
      <c r="M2038" s="19"/>
      <c r="N2038" s="19"/>
      <c r="O2038" s="17" t="n">
        <v>4</v>
      </c>
      <c r="P2038" s="18" t="s">
        <v>9732</v>
      </c>
      <c r="Q2038" s="18" t="s">
        <v>9752</v>
      </c>
      <c r="R2038" s="18" t="s">
        <v>9767</v>
      </c>
      <c r="S2038" s="17" t="s">
        <v>9768</v>
      </c>
      <c r="T2038" s="18" t="s">
        <v>9769</v>
      </c>
      <c r="U2038" s="19"/>
      <c r="V2038" s="18" t="s">
        <v>9770</v>
      </c>
      <c r="W2038" s="17" t="s">
        <v>240</v>
      </c>
      <c r="X2038" s="17" t="s">
        <v>9737</v>
      </c>
      <c r="Y2038" s="17" t="s">
        <v>242</v>
      </c>
      <c r="Z2038" s="19"/>
      <c r="AA2038" s="19"/>
      <c r="AB2038" s="17"/>
      <c r="AC2038" s="19"/>
    </row>
    <row r="2039" customFormat="false" ht="32.8" hidden="false" customHeight="false" outlineLevel="0" collapsed="false">
      <c r="A2039" s="10" t="s">
        <v>9771</v>
      </c>
      <c r="B2039" s="17" t="s">
        <v>189</v>
      </c>
      <c r="C2039" s="18" t="s">
        <v>190</v>
      </c>
      <c r="D2039" s="17" t="s">
        <v>19</v>
      </c>
      <c r="E2039" s="17" t="s">
        <v>75</v>
      </c>
      <c r="F2039" s="17" t="s">
        <v>6683</v>
      </c>
      <c r="G2039" s="17" t="s">
        <v>177</v>
      </c>
      <c r="H2039" s="17" t="s">
        <v>28</v>
      </c>
      <c r="I2039" s="17" t="s">
        <v>232</v>
      </c>
      <c r="J2039" s="17" t="s">
        <v>233</v>
      </c>
      <c r="K2039" s="19"/>
      <c r="L2039" s="19"/>
      <c r="M2039" s="19"/>
      <c r="N2039" s="19"/>
      <c r="O2039" s="17" t="n">
        <v>5</v>
      </c>
      <c r="P2039" s="18" t="s">
        <v>9732</v>
      </c>
      <c r="Q2039" s="18" t="s">
        <v>9752</v>
      </c>
      <c r="R2039" s="18" t="s">
        <v>9772</v>
      </c>
      <c r="S2039" s="17" t="s">
        <v>9773</v>
      </c>
      <c r="T2039" s="18" t="s">
        <v>9774</v>
      </c>
      <c r="U2039" s="19"/>
      <c r="V2039" s="18" t="s">
        <v>9775</v>
      </c>
      <c r="W2039" s="17" t="s">
        <v>240</v>
      </c>
      <c r="X2039" s="17" t="s">
        <v>9737</v>
      </c>
      <c r="Y2039" s="17" t="s">
        <v>242</v>
      </c>
      <c r="Z2039" s="19"/>
      <c r="AA2039" s="19"/>
      <c r="AB2039" s="17"/>
      <c r="AC2039" s="19"/>
    </row>
    <row r="2040" customFormat="false" ht="32.8" hidden="false" customHeight="false" outlineLevel="0" collapsed="false">
      <c r="A2040" s="10" t="s">
        <v>9776</v>
      </c>
      <c r="B2040" s="17" t="s">
        <v>189</v>
      </c>
      <c r="C2040" s="18" t="s">
        <v>190</v>
      </c>
      <c r="D2040" s="17" t="s">
        <v>19</v>
      </c>
      <c r="E2040" s="17" t="s">
        <v>75</v>
      </c>
      <c r="F2040" s="17" t="s">
        <v>6683</v>
      </c>
      <c r="G2040" s="17" t="s">
        <v>177</v>
      </c>
      <c r="H2040" s="17" t="s">
        <v>28</v>
      </c>
      <c r="I2040" s="17" t="s">
        <v>1028</v>
      </c>
      <c r="J2040" s="17" t="s">
        <v>233</v>
      </c>
      <c r="K2040" s="19"/>
      <c r="L2040" s="19"/>
      <c r="M2040" s="19"/>
      <c r="N2040" s="19"/>
      <c r="O2040" s="17" t="n">
        <v>5</v>
      </c>
      <c r="P2040" s="18" t="s">
        <v>9732</v>
      </c>
      <c r="Q2040" s="18" t="s">
        <v>9752</v>
      </c>
      <c r="R2040" s="18" t="s">
        <v>9777</v>
      </c>
      <c r="S2040" s="17" t="s">
        <v>9778</v>
      </c>
      <c r="T2040" s="18" t="s">
        <v>9779</v>
      </c>
      <c r="U2040" s="19"/>
      <c r="V2040" s="18" t="s">
        <v>9780</v>
      </c>
      <c r="W2040" s="17" t="s">
        <v>240</v>
      </c>
      <c r="X2040" s="17" t="s">
        <v>9737</v>
      </c>
      <c r="Y2040" s="17" t="s">
        <v>242</v>
      </c>
      <c r="Z2040" s="19"/>
      <c r="AA2040" s="19"/>
      <c r="AB2040" s="17"/>
      <c r="AC2040" s="19"/>
    </row>
    <row r="2041" customFormat="false" ht="22.35" hidden="false" customHeight="false" outlineLevel="0" collapsed="false">
      <c r="A2041" s="10" t="s">
        <v>9781</v>
      </c>
      <c r="B2041" s="17" t="s">
        <v>189</v>
      </c>
      <c r="C2041" s="18" t="s">
        <v>190</v>
      </c>
      <c r="D2041" s="17" t="s">
        <v>19</v>
      </c>
      <c r="E2041" s="17" t="s">
        <v>75</v>
      </c>
      <c r="F2041" s="17" t="s">
        <v>6683</v>
      </c>
      <c r="G2041" s="17" t="s">
        <v>177</v>
      </c>
      <c r="H2041" s="17" t="s">
        <v>28</v>
      </c>
      <c r="I2041" s="17" t="s">
        <v>1028</v>
      </c>
      <c r="J2041" s="17" t="s">
        <v>233</v>
      </c>
      <c r="K2041" s="19"/>
      <c r="L2041" s="19"/>
      <c r="M2041" s="19"/>
      <c r="N2041" s="19"/>
      <c r="O2041" s="17" t="n">
        <v>5</v>
      </c>
      <c r="P2041" s="18" t="s">
        <v>9732</v>
      </c>
      <c r="Q2041" s="18" t="s">
        <v>9752</v>
      </c>
      <c r="R2041" s="18" t="s">
        <v>9782</v>
      </c>
      <c r="S2041" s="17" t="s">
        <v>9776</v>
      </c>
      <c r="T2041" s="18" t="s">
        <v>9570</v>
      </c>
      <c r="U2041" s="19"/>
      <c r="V2041" s="18" t="s">
        <v>4226</v>
      </c>
      <c r="W2041" s="17" t="s">
        <v>240</v>
      </c>
      <c r="X2041" s="17" t="s">
        <v>9737</v>
      </c>
      <c r="Y2041" s="17" t="s">
        <v>242</v>
      </c>
      <c r="Z2041" s="19"/>
      <c r="AA2041" s="19"/>
      <c r="AB2041" s="17"/>
      <c r="AC2041" s="19"/>
    </row>
    <row r="2042" customFormat="false" ht="43.25" hidden="false" customHeight="false" outlineLevel="0" collapsed="false">
      <c r="A2042" s="10" t="s">
        <v>9783</v>
      </c>
      <c r="B2042" s="17" t="s">
        <v>193</v>
      </c>
      <c r="C2042" s="18" t="s">
        <v>194</v>
      </c>
      <c r="D2042" s="17" t="s">
        <v>19</v>
      </c>
      <c r="E2042" s="17" t="s">
        <v>75</v>
      </c>
      <c r="F2042" s="17" t="s">
        <v>7069</v>
      </c>
      <c r="G2042" s="17" t="s">
        <v>177</v>
      </c>
      <c r="H2042" s="17" t="s">
        <v>35</v>
      </c>
      <c r="I2042" s="17" t="s">
        <v>1028</v>
      </c>
      <c r="J2042" s="17" t="s">
        <v>233</v>
      </c>
      <c r="K2042" s="19"/>
      <c r="L2042" s="19"/>
      <c r="M2042" s="19"/>
      <c r="N2042" s="19"/>
      <c r="O2042" s="17" t="n">
        <v>1</v>
      </c>
      <c r="P2042" s="18" t="s">
        <v>9784</v>
      </c>
      <c r="Q2042" s="18" t="s">
        <v>9785</v>
      </c>
      <c r="R2042" s="18" t="s">
        <v>9786</v>
      </c>
      <c r="S2042" s="17" t="s">
        <v>237</v>
      </c>
      <c r="T2042" s="18" t="s">
        <v>9787</v>
      </c>
      <c r="U2042" s="19"/>
      <c r="V2042" s="18" t="s">
        <v>9788</v>
      </c>
      <c r="W2042" s="17" t="s">
        <v>240</v>
      </c>
      <c r="X2042" s="17" t="s">
        <v>9789</v>
      </c>
      <c r="Y2042" s="17" t="s">
        <v>242</v>
      </c>
      <c r="Z2042" s="19"/>
      <c r="AA2042" s="19"/>
      <c r="AB2042" s="17"/>
      <c r="AC2042" s="19"/>
    </row>
    <row r="2043" customFormat="false" ht="32.8" hidden="false" customHeight="false" outlineLevel="0" collapsed="false">
      <c r="A2043" s="10" t="s">
        <v>9790</v>
      </c>
      <c r="B2043" s="17" t="s">
        <v>193</v>
      </c>
      <c r="C2043" s="18" t="s">
        <v>194</v>
      </c>
      <c r="D2043" s="17" t="s">
        <v>19</v>
      </c>
      <c r="E2043" s="17" t="s">
        <v>75</v>
      </c>
      <c r="F2043" s="17" t="s">
        <v>7069</v>
      </c>
      <c r="G2043" s="17" t="s">
        <v>177</v>
      </c>
      <c r="H2043" s="17" t="s">
        <v>35</v>
      </c>
      <c r="I2043" s="17" t="s">
        <v>1028</v>
      </c>
      <c r="J2043" s="17" t="s">
        <v>233</v>
      </c>
      <c r="K2043" s="19"/>
      <c r="L2043" s="19"/>
      <c r="M2043" s="19"/>
      <c r="N2043" s="19"/>
      <c r="O2043" s="17" t="n">
        <v>2</v>
      </c>
      <c r="P2043" s="18" t="s">
        <v>9784</v>
      </c>
      <c r="Q2043" s="18" t="s">
        <v>9785</v>
      </c>
      <c r="R2043" s="18" t="s">
        <v>9791</v>
      </c>
      <c r="S2043" s="17" t="s">
        <v>9783</v>
      </c>
      <c r="T2043" s="18" t="s">
        <v>9792</v>
      </c>
      <c r="U2043" s="19"/>
      <c r="V2043" s="18" t="s">
        <v>9793</v>
      </c>
      <c r="W2043" s="17" t="s">
        <v>240</v>
      </c>
      <c r="X2043" s="17" t="s">
        <v>9789</v>
      </c>
      <c r="Y2043" s="17" t="s">
        <v>242</v>
      </c>
      <c r="Z2043" s="19"/>
      <c r="AA2043" s="19"/>
      <c r="AB2043" s="17"/>
      <c r="AC2043" s="19"/>
    </row>
    <row r="2044" customFormat="false" ht="32.8" hidden="false" customHeight="false" outlineLevel="0" collapsed="false">
      <c r="A2044" s="10" t="s">
        <v>9794</v>
      </c>
      <c r="B2044" s="17" t="s">
        <v>193</v>
      </c>
      <c r="C2044" s="18" t="s">
        <v>194</v>
      </c>
      <c r="D2044" s="17" t="s">
        <v>19</v>
      </c>
      <c r="E2044" s="17" t="s">
        <v>75</v>
      </c>
      <c r="F2044" s="17" t="s">
        <v>7069</v>
      </c>
      <c r="G2044" s="17" t="s">
        <v>177</v>
      </c>
      <c r="H2044" s="17" t="s">
        <v>35</v>
      </c>
      <c r="I2044" s="17" t="s">
        <v>928</v>
      </c>
      <c r="J2044" s="17" t="s">
        <v>233</v>
      </c>
      <c r="K2044" s="19"/>
      <c r="L2044" s="19"/>
      <c r="M2044" s="19"/>
      <c r="N2044" s="19"/>
      <c r="O2044" s="17" t="n">
        <v>3</v>
      </c>
      <c r="P2044" s="18" t="s">
        <v>9784</v>
      </c>
      <c r="Q2044" s="18" t="s">
        <v>9785</v>
      </c>
      <c r="R2044" s="18" t="s">
        <v>9795</v>
      </c>
      <c r="S2044" s="17" t="s">
        <v>9796</v>
      </c>
      <c r="T2044" s="18" t="s">
        <v>9797</v>
      </c>
      <c r="U2044" s="19"/>
      <c r="V2044" s="18" t="s">
        <v>9798</v>
      </c>
      <c r="W2044" s="17" t="s">
        <v>240</v>
      </c>
      <c r="X2044" s="17" t="s">
        <v>9789</v>
      </c>
      <c r="Y2044" s="17" t="s">
        <v>242</v>
      </c>
      <c r="Z2044" s="19"/>
      <c r="AA2044" s="19"/>
      <c r="AB2044" s="17"/>
      <c r="AC2044" s="19"/>
    </row>
    <row r="2045" customFormat="false" ht="43.25" hidden="false" customHeight="false" outlineLevel="0" collapsed="false">
      <c r="A2045" s="10" t="s">
        <v>9799</v>
      </c>
      <c r="B2045" s="17" t="s">
        <v>193</v>
      </c>
      <c r="C2045" s="18" t="s">
        <v>194</v>
      </c>
      <c r="D2045" s="17" t="s">
        <v>19</v>
      </c>
      <c r="E2045" s="17" t="s">
        <v>75</v>
      </c>
      <c r="F2045" s="17" t="s">
        <v>7069</v>
      </c>
      <c r="G2045" s="17" t="s">
        <v>177</v>
      </c>
      <c r="H2045" s="17" t="s">
        <v>35</v>
      </c>
      <c r="I2045" s="17" t="s">
        <v>283</v>
      </c>
      <c r="J2045" s="17" t="s">
        <v>233</v>
      </c>
      <c r="K2045" s="19"/>
      <c r="L2045" s="19"/>
      <c r="M2045" s="19"/>
      <c r="N2045" s="19"/>
      <c r="O2045" s="17" t="n">
        <v>3</v>
      </c>
      <c r="P2045" s="18" t="s">
        <v>9784</v>
      </c>
      <c r="Q2045" s="18" t="s">
        <v>9785</v>
      </c>
      <c r="R2045" s="18" t="s">
        <v>9800</v>
      </c>
      <c r="S2045" s="17" t="s">
        <v>9801</v>
      </c>
      <c r="T2045" s="18" t="s">
        <v>9802</v>
      </c>
      <c r="U2045" s="19"/>
      <c r="V2045" s="18" t="s">
        <v>9803</v>
      </c>
      <c r="W2045" s="17" t="s">
        <v>240</v>
      </c>
      <c r="X2045" s="17" t="s">
        <v>9789</v>
      </c>
      <c r="Y2045" s="17" t="s">
        <v>242</v>
      </c>
      <c r="Z2045" s="19"/>
      <c r="AA2045" s="19"/>
      <c r="AB2045" s="17"/>
      <c r="AC2045" s="19"/>
    </row>
    <row r="2046" customFormat="false" ht="32.8" hidden="false" customHeight="false" outlineLevel="0" collapsed="false">
      <c r="A2046" s="10" t="s">
        <v>9804</v>
      </c>
      <c r="B2046" s="17" t="s">
        <v>193</v>
      </c>
      <c r="C2046" s="18" t="s">
        <v>194</v>
      </c>
      <c r="D2046" s="17" t="s">
        <v>19</v>
      </c>
      <c r="E2046" s="17" t="s">
        <v>75</v>
      </c>
      <c r="F2046" s="17" t="s">
        <v>7069</v>
      </c>
      <c r="G2046" s="17" t="s">
        <v>177</v>
      </c>
      <c r="H2046" s="17" t="s">
        <v>35</v>
      </c>
      <c r="I2046" s="17" t="s">
        <v>1028</v>
      </c>
      <c r="J2046" s="17" t="s">
        <v>233</v>
      </c>
      <c r="K2046" s="19"/>
      <c r="L2046" s="19"/>
      <c r="M2046" s="19"/>
      <c r="N2046" s="19"/>
      <c r="O2046" s="17" t="n">
        <v>3</v>
      </c>
      <c r="P2046" s="18" t="s">
        <v>9784</v>
      </c>
      <c r="Q2046" s="18" t="s">
        <v>9785</v>
      </c>
      <c r="R2046" s="18" t="s">
        <v>9805</v>
      </c>
      <c r="S2046" s="17" t="s">
        <v>9806</v>
      </c>
      <c r="T2046" s="18" t="s">
        <v>9807</v>
      </c>
      <c r="U2046" s="19"/>
      <c r="V2046" s="18" t="s">
        <v>9808</v>
      </c>
      <c r="W2046" s="17" t="s">
        <v>240</v>
      </c>
      <c r="X2046" s="17" t="s">
        <v>9789</v>
      </c>
      <c r="Y2046" s="17" t="s">
        <v>242</v>
      </c>
      <c r="Z2046" s="19"/>
      <c r="AA2046" s="19"/>
      <c r="AB2046" s="17"/>
      <c r="AC2046" s="19"/>
    </row>
    <row r="2047" customFormat="false" ht="32.8" hidden="false" customHeight="false" outlineLevel="0" collapsed="false">
      <c r="A2047" s="10" t="s">
        <v>9809</v>
      </c>
      <c r="B2047" s="17" t="s">
        <v>193</v>
      </c>
      <c r="C2047" s="18" t="s">
        <v>194</v>
      </c>
      <c r="D2047" s="17" t="s">
        <v>19</v>
      </c>
      <c r="E2047" s="17" t="s">
        <v>75</v>
      </c>
      <c r="F2047" s="17" t="s">
        <v>7069</v>
      </c>
      <c r="G2047" s="17" t="s">
        <v>177</v>
      </c>
      <c r="H2047" s="17" t="s">
        <v>35</v>
      </c>
      <c r="I2047" s="17" t="s">
        <v>5507</v>
      </c>
      <c r="J2047" s="17" t="s">
        <v>233</v>
      </c>
      <c r="K2047" s="19"/>
      <c r="L2047" s="19"/>
      <c r="M2047" s="19"/>
      <c r="N2047" s="19"/>
      <c r="O2047" s="17" t="n">
        <v>4</v>
      </c>
      <c r="P2047" s="18" t="s">
        <v>9784</v>
      </c>
      <c r="Q2047" s="18" t="s">
        <v>9785</v>
      </c>
      <c r="R2047" s="18" t="s">
        <v>9810</v>
      </c>
      <c r="S2047" s="17" t="s">
        <v>9804</v>
      </c>
      <c r="T2047" s="18" t="s">
        <v>9811</v>
      </c>
      <c r="U2047" s="19"/>
      <c r="V2047" s="18" t="s">
        <v>9812</v>
      </c>
      <c r="W2047" s="17" t="s">
        <v>5511</v>
      </c>
      <c r="X2047" s="17" t="s">
        <v>9789</v>
      </c>
      <c r="Y2047" s="17" t="s">
        <v>242</v>
      </c>
      <c r="Z2047" s="19"/>
      <c r="AA2047" s="19"/>
      <c r="AB2047" s="17"/>
      <c r="AC2047" s="19"/>
    </row>
    <row r="2048" customFormat="false" ht="32.8" hidden="false" customHeight="false" outlineLevel="0" collapsed="false">
      <c r="A2048" s="10" t="s">
        <v>9813</v>
      </c>
      <c r="B2048" s="17" t="s">
        <v>193</v>
      </c>
      <c r="C2048" s="18" t="s">
        <v>194</v>
      </c>
      <c r="D2048" s="17" t="s">
        <v>19</v>
      </c>
      <c r="E2048" s="17" t="s">
        <v>75</v>
      </c>
      <c r="F2048" s="17" t="s">
        <v>7069</v>
      </c>
      <c r="G2048" s="17" t="s">
        <v>177</v>
      </c>
      <c r="H2048" s="17" t="s">
        <v>35</v>
      </c>
      <c r="I2048" s="17" t="s">
        <v>1413</v>
      </c>
      <c r="J2048" s="17" t="s">
        <v>233</v>
      </c>
      <c r="K2048" s="19"/>
      <c r="L2048" s="19"/>
      <c r="M2048" s="19"/>
      <c r="N2048" s="19"/>
      <c r="O2048" s="17" t="n">
        <v>2</v>
      </c>
      <c r="P2048" s="18" t="s">
        <v>9784</v>
      </c>
      <c r="Q2048" s="18" t="s">
        <v>9814</v>
      </c>
      <c r="R2048" s="18" t="s">
        <v>9815</v>
      </c>
      <c r="S2048" s="17" t="s">
        <v>9816</v>
      </c>
      <c r="T2048" s="18" t="s">
        <v>9817</v>
      </c>
      <c r="U2048" s="19"/>
      <c r="V2048" s="18" t="s">
        <v>9818</v>
      </c>
      <c r="W2048" s="17" t="s">
        <v>240</v>
      </c>
      <c r="X2048" s="17" t="s">
        <v>9789</v>
      </c>
      <c r="Y2048" s="17" t="s">
        <v>242</v>
      </c>
      <c r="Z2048" s="19"/>
      <c r="AA2048" s="19"/>
      <c r="AB2048" s="17"/>
      <c r="AC2048" s="19"/>
    </row>
    <row r="2049" customFormat="false" ht="32.8" hidden="false" customHeight="false" outlineLevel="0" collapsed="false">
      <c r="A2049" s="10" t="s">
        <v>9819</v>
      </c>
      <c r="B2049" s="17" t="s">
        <v>193</v>
      </c>
      <c r="C2049" s="18" t="s">
        <v>194</v>
      </c>
      <c r="D2049" s="17" t="s">
        <v>19</v>
      </c>
      <c r="E2049" s="17" t="s">
        <v>75</v>
      </c>
      <c r="F2049" s="17" t="s">
        <v>7069</v>
      </c>
      <c r="G2049" s="17" t="s">
        <v>177</v>
      </c>
      <c r="H2049" s="17" t="s">
        <v>35</v>
      </c>
      <c r="I2049" s="17" t="s">
        <v>1413</v>
      </c>
      <c r="J2049" s="17" t="s">
        <v>233</v>
      </c>
      <c r="K2049" s="19"/>
      <c r="L2049" s="19"/>
      <c r="M2049" s="19"/>
      <c r="N2049" s="19"/>
      <c r="O2049" s="17" t="n">
        <v>3</v>
      </c>
      <c r="P2049" s="18" t="s">
        <v>9784</v>
      </c>
      <c r="Q2049" s="18" t="s">
        <v>9814</v>
      </c>
      <c r="R2049" s="18" t="s">
        <v>9820</v>
      </c>
      <c r="S2049" s="17" t="s">
        <v>9813</v>
      </c>
      <c r="T2049" s="18" t="s">
        <v>9821</v>
      </c>
      <c r="U2049" s="19"/>
      <c r="V2049" s="18" t="s">
        <v>9822</v>
      </c>
      <c r="W2049" s="17" t="s">
        <v>240</v>
      </c>
      <c r="X2049" s="17" t="s">
        <v>9789</v>
      </c>
      <c r="Y2049" s="17" t="s">
        <v>242</v>
      </c>
      <c r="Z2049" s="19"/>
      <c r="AA2049" s="19"/>
      <c r="AB2049" s="17"/>
      <c r="AC2049" s="19"/>
    </row>
    <row r="2050" customFormat="false" ht="43.25" hidden="false" customHeight="false" outlineLevel="0" collapsed="false">
      <c r="A2050" s="10" t="s">
        <v>9823</v>
      </c>
      <c r="B2050" s="17" t="s">
        <v>193</v>
      </c>
      <c r="C2050" s="18" t="s">
        <v>194</v>
      </c>
      <c r="D2050" s="17" t="s">
        <v>19</v>
      </c>
      <c r="E2050" s="17" t="s">
        <v>75</v>
      </c>
      <c r="F2050" s="17" t="s">
        <v>7069</v>
      </c>
      <c r="G2050" s="17" t="s">
        <v>177</v>
      </c>
      <c r="H2050" s="17" t="s">
        <v>35</v>
      </c>
      <c r="I2050" s="17" t="s">
        <v>289</v>
      </c>
      <c r="J2050" s="17" t="s">
        <v>233</v>
      </c>
      <c r="K2050" s="19"/>
      <c r="L2050" s="19"/>
      <c r="M2050" s="19"/>
      <c r="N2050" s="19"/>
      <c r="O2050" s="17" t="n">
        <v>2</v>
      </c>
      <c r="P2050" s="18" t="s">
        <v>9784</v>
      </c>
      <c r="Q2050" s="18" t="s">
        <v>9814</v>
      </c>
      <c r="R2050" s="18" t="s">
        <v>9824</v>
      </c>
      <c r="S2050" s="17" t="s">
        <v>237</v>
      </c>
      <c r="T2050" s="18" t="s">
        <v>9825</v>
      </c>
      <c r="U2050" s="19"/>
      <c r="V2050" s="18" t="s">
        <v>9826</v>
      </c>
      <c r="W2050" s="17" t="s">
        <v>240</v>
      </c>
      <c r="X2050" s="17" t="s">
        <v>9789</v>
      </c>
      <c r="Y2050" s="17" t="s">
        <v>242</v>
      </c>
      <c r="Z2050" s="19"/>
      <c r="AA2050" s="19"/>
      <c r="AB2050" s="17"/>
      <c r="AC2050" s="19"/>
    </row>
    <row r="2051" customFormat="false" ht="22.35" hidden="false" customHeight="false" outlineLevel="0" collapsed="false">
      <c r="A2051" s="10" t="s">
        <v>9827</v>
      </c>
      <c r="B2051" s="17" t="s">
        <v>193</v>
      </c>
      <c r="C2051" s="18" t="s">
        <v>194</v>
      </c>
      <c r="D2051" s="17" t="s">
        <v>19</v>
      </c>
      <c r="E2051" s="17" t="s">
        <v>75</v>
      </c>
      <c r="F2051" s="17" t="s">
        <v>7069</v>
      </c>
      <c r="G2051" s="17" t="s">
        <v>177</v>
      </c>
      <c r="H2051" s="17" t="s">
        <v>35</v>
      </c>
      <c r="I2051" s="17" t="s">
        <v>289</v>
      </c>
      <c r="J2051" s="17" t="s">
        <v>233</v>
      </c>
      <c r="K2051" s="19"/>
      <c r="L2051" s="19"/>
      <c r="M2051" s="19"/>
      <c r="N2051" s="19"/>
      <c r="O2051" s="17" t="n">
        <v>3</v>
      </c>
      <c r="P2051" s="18" t="s">
        <v>9784</v>
      </c>
      <c r="Q2051" s="18" t="s">
        <v>9814</v>
      </c>
      <c r="R2051" s="18" t="s">
        <v>9828</v>
      </c>
      <c r="S2051" s="17" t="s">
        <v>9823</v>
      </c>
      <c r="T2051" s="18" t="s">
        <v>9829</v>
      </c>
      <c r="U2051" s="19"/>
      <c r="V2051" s="18" t="s">
        <v>9830</v>
      </c>
      <c r="W2051" s="17" t="s">
        <v>240</v>
      </c>
      <c r="X2051" s="17" t="s">
        <v>9789</v>
      </c>
      <c r="Y2051" s="17" t="s">
        <v>242</v>
      </c>
      <c r="Z2051" s="19"/>
      <c r="AA2051" s="19"/>
      <c r="AB2051" s="17"/>
      <c r="AC2051" s="19"/>
    </row>
    <row r="2052" customFormat="false" ht="32.8" hidden="false" customHeight="false" outlineLevel="0" collapsed="false">
      <c r="A2052" s="10" t="s">
        <v>9831</v>
      </c>
      <c r="B2052" s="17" t="s">
        <v>193</v>
      </c>
      <c r="C2052" s="18" t="s">
        <v>194</v>
      </c>
      <c r="D2052" s="17" t="s">
        <v>19</v>
      </c>
      <c r="E2052" s="17" t="s">
        <v>75</v>
      </c>
      <c r="F2052" s="17" t="s">
        <v>7069</v>
      </c>
      <c r="G2052" s="17" t="s">
        <v>177</v>
      </c>
      <c r="H2052" s="17" t="s">
        <v>35</v>
      </c>
      <c r="I2052" s="17" t="s">
        <v>232</v>
      </c>
      <c r="J2052" s="17" t="s">
        <v>233</v>
      </c>
      <c r="K2052" s="19"/>
      <c r="L2052" s="19"/>
      <c r="M2052" s="19"/>
      <c r="N2052" s="19"/>
      <c r="O2052" s="17" t="n">
        <v>3</v>
      </c>
      <c r="P2052" s="18" t="s">
        <v>9784</v>
      </c>
      <c r="Q2052" s="18" t="s">
        <v>9814</v>
      </c>
      <c r="R2052" s="18" t="s">
        <v>9832</v>
      </c>
      <c r="S2052" s="17" t="s">
        <v>9833</v>
      </c>
      <c r="T2052" s="18" t="s">
        <v>9834</v>
      </c>
      <c r="U2052" s="19"/>
      <c r="V2052" s="18" t="s">
        <v>9835</v>
      </c>
      <c r="W2052" s="17" t="s">
        <v>240</v>
      </c>
      <c r="X2052" s="17" t="s">
        <v>9789</v>
      </c>
      <c r="Y2052" s="17" t="s">
        <v>242</v>
      </c>
      <c r="Z2052" s="19"/>
      <c r="AA2052" s="19"/>
      <c r="AB2052" s="17"/>
      <c r="AC2052" s="19"/>
    </row>
    <row r="2053" customFormat="false" ht="32.8" hidden="false" customHeight="false" outlineLevel="0" collapsed="false">
      <c r="A2053" s="10" t="s">
        <v>9836</v>
      </c>
      <c r="B2053" s="17" t="s">
        <v>193</v>
      </c>
      <c r="C2053" s="18" t="s">
        <v>194</v>
      </c>
      <c r="D2053" s="17" t="s">
        <v>19</v>
      </c>
      <c r="E2053" s="17" t="s">
        <v>75</v>
      </c>
      <c r="F2053" s="17" t="s">
        <v>7069</v>
      </c>
      <c r="G2053" s="17" t="s">
        <v>177</v>
      </c>
      <c r="H2053" s="17" t="s">
        <v>35</v>
      </c>
      <c r="I2053" s="17" t="s">
        <v>333</v>
      </c>
      <c r="J2053" s="17" t="s">
        <v>233</v>
      </c>
      <c r="K2053" s="19"/>
      <c r="L2053" s="19"/>
      <c r="M2053" s="19"/>
      <c r="N2053" s="19"/>
      <c r="O2053" s="17" t="n">
        <v>3</v>
      </c>
      <c r="P2053" s="18" t="s">
        <v>9784</v>
      </c>
      <c r="Q2053" s="18" t="s">
        <v>9814</v>
      </c>
      <c r="R2053" s="18" t="s">
        <v>9837</v>
      </c>
      <c r="S2053" s="17" t="s">
        <v>9783</v>
      </c>
      <c r="T2053" s="18" t="s">
        <v>9838</v>
      </c>
      <c r="U2053" s="19"/>
      <c r="V2053" s="18" t="s">
        <v>9839</v>
      </c>
      <c r="W2053" s="17" t="s">
        <v>240</v>
      </c>
      <c r="X2053" s="17" t="s">
        <v>9789</v>
      </c>
      <c r="Y2053" s="17" t="s">
        <v>242</v>
      </c>
      <c r="Z2053" s="19"/>
      <c r="AA2053" s="19"/>
      <c r="AB2053" s="17"/>
      <c r="AC2053" s="19"/>
    </row>
    <row r="2054" customFormat="false" ht="32.8" hidden="false" customHeight="false" outlineLevel="0" collapsed="false">
      <c r="A2054" s="10" t="s">
        <v>9840</v>
      </c>
      <c r="B2054" s="17" t="s">
        <v>193</v>
      </c>
      <c r="C2054" s="18" t="s">
        <v>194</v>
      </c>
      <c r="D2054" s="17" t="s">
        <v>19</v>
      </c>
      <c r="E2054" s="17" t="s">
        <v>75</v>
      </c>
      <c r="F2054" s="17" t="s">
        <v>7069</v>
      </c>
      <c r="G2054" s="17" t="s">
        <v>177</v>
      </c>
      <c r="H2054" s="17" t="s">
        <v>35</v>
      </c>
      <c r="I2054" s="17" t="s">
        <v>1028</v>
      </c>
      <c r="J2054" s="17" t="s">
        <v>233</v>
      </c>
      <c r="K2054" s="19"/>
      <c r="L2054" s="19"/>
      <c r="M2054" s="19"/>
      <c r="N2054" s="19"/>
      <c r="O2054" s="17" t="n">
        <v>5</v>
      </c>
      <c r="P2054" s="18" t="s">
        <v>9784</v>
      </c>
      <c r="Q2054" s="18" t="s">
        <v>9814</v>
      </c>
      <c r="R2054" s="18" t="s">
        <v>9841</v>
      </c>
      <c r="S2054" s="17" t="s">
        <v>9842</v>
      </c>
      <c r="T2054" s="18" t="s">
        <v>9843</v>
      </c>
      <c r="U2054" s="19"/>
      <c r="V2054" s="18" t="s">
        <v>9844</v>
      </c>
      <c r="W2054" s="17" t="s">
        <v>240</v>
      </c>
      <c r="X2054" s="17" t="s">
        <v>9789</v>
      </c>
      <c r="Y2054" s="17" t="s">
        <v>242</v>
      </c>
      <c r="Z2054" s="19"/>
      <c r="AA2054" s="19"/>
      <c r="AB2054" s="17"/>
      <c r="AC2054" s="19"/>
    </row>
    <row r="2055" customFormat="false" ht="22.35" hidden="false" customHeight="false" outlineLevel="0" collapsed="false">
      <c r="A2055" s="10" t="s">
        <v>9845</v>
      </c>
      <c r="B2055" s="17" t="s">
        <v>193</v>
      </c>
      <c r="C2055" s="18" t="s">
        <v>194</v>
      </c>
      <c r="D2055" s="17" t="s">
        <v>19</v>
      </c>
      <c r="E2055" s="17" t="s">
        <v>75</v>
      </c>
      <c r="F2055" s="17" t="s">
        <v>7069</v>
      </c>
      <c r="G2055" s="17" t="s">
        <v>177</v>
      </c>
      <c r="H2055" s="17" t="s">
        <v>35</v>
      </c>
      <c r="I2055" s="17" t="s">
        <v>1028</v>
      </c>
      <c r="J2055" s="17" t="s">
        <v>233</v>
      </c>
      <c r="K2055" s="19"/>
      <c r="L2055" s="19"/>
      <c r="M2055" s="19"/>
      <c r="N2055" s="19"/>
      <c r="O2055" s="17" t="n">
        <v>5</v>
      </c>
      <c r="P2055" s="18" t="s">
        <v>9784</v>
      </c>
      <c r="Q2055" s="18" t="s">
        <v>9814</v>
      </c>
      <c r="R2055" s="18" t="s">
        <v>9846</v>
      </c>
      <c r="S2055" s="17" t="s">
        <v>9840</v>
      </c>
      <c r="T2055" s="18" t="s">
        <v>9570</v>
      </c>
      <c r="U2055" s="19"/>
      <c r="V2055" s="18" t="s">
        <v>4226</v>
      </c>
      <c r="W2055" s="17" t="s">
        <v>240</v>
      </c>
      <c r="X2055" s="17" t="s">
        <v>9789</v>
      </c>
      <c r="Y2055" s="17" t="s">
        <v>242</v>
      </c>
      <c r="Z2055" s="19"/>
      <c r="AA2055" s="19"/>
      <c r="AB2055" s="17"/>
      <c r="AC2055" s="19"/>
    </row>
    <row r="2056" customFormat="false" ht="32.8" hidden="false" customHeight="false" outlineLevel="0" collapsed="false">
      <c r="A2056" s="10" t="s">
        <v>9847</v>
      </c>
      <c r="B2056" s="17" t="s">
        <v>193</v>
      </c>
      <c r="C2056" s="18" t="s">
        <v>194</v>
      </c>
      <c r="D2056" s="17" t="s">
        <v>19</v>
      </c>
      <c r="E2056" s="17" t="s">
        <v>75</v>
      </c>
      <c r="F2056" s="17" t="s">
        <v>3424</v>
      </c>
      <c r="G2056" s="17" t="s">
        <v>3638</v>
      </c>
      <c r="H2056" s="17" t="s">
        <v>33</v>
      </c>
      <c r="I2056" s="17" t="s">
        <v>1564</v>
      </c>
      <c r="J2056" s="17" t="s">
        <v>233</v>
      </c>
      <c r="K2056" s="19"/>
      <c r="L2056" s="19"/>
      <c r="M2056" s="19"/>
      <c r="N2056" s="19"/>
      <c r="O2056" s="17" t="n">
        <v>2</v>
      </c>
      <c r="P2056" s="18" t="s">
        <v>9848</v>
      </c>
      <c r="Q2056" s="18" t="s">
        <v>9849</v>
      </c>
      <c r="R2056" s="18" t="s">
        <v>9850</v>
      </c>
      <c r="S2056" s="17" t="s">
        <v>3637</v>
      </c>
      <c r="T2056" s="18" t="s">
        <v>9851</v>
      </c>
      <c r="U2056" s="19"/>
      <c r="V2056" s="18" t="s">
        <v>9852</v>
      </c>
      <c r="W2056" s="17" t="s">
        <v>240</v>
      </c>
      <c r="X2056" s="17" t="s">
        <v>9853</v>
      </c>
      <c r="Y2056" s="17" t="s">
        <v>242</v>
      </c>
      <c r="Z2056" s="19"/>
      <c r="AA2056" s="19"/>
      <c r="AB2056" s="17"/>
      <c r="AC2056" s="19"/>
    </row>
    <row r="2057" customFormat="false" ht="32.8" hidden="false" customHeight="false" outlineLevel="0" collapsed="false">
      <c r="A2057" s="10" t="s">
        <v>9854</v>
      </c>
      <c r="B2057" s="17" t="s">
        <v>193</v>
      </c>
      <c r="C2057" s="18" t="s">
        <v>194</v>
      </c>
      <c r="D2057" s="17" t="s">
        <v>19</v>
      </c>
      <c r="E2057" s="17" t="s">
        <v>75</v>
      </c>
      <c r="F2057" s="17" t="s">
        <v>3424</v>
      </c>
      <c r="G2057" s="17" t="s">
        <v>3638</v>
      </c>
      <c r="H2057" s="17" t="s">
        <v>33</v>
      </c>
      <c r="I2057" s="17" t="s">
        <v>1028</v>
      </c>
      <c r="J2057" s="17" t="s">
        <v>233</v>
      </c>
      <c r="K2057" s="19"/>
      <c r="L2057" s="19"/>
      <c r="M2057" s="19"/>
      <c r="N2057" s="19"/>
      <c r="O2057" s="17" t="n">
        <v>2</v>
      </c>
      <c r="P2057" s="18" t="s">
        <v>9848</v>
      </c>
      <c r="Q2057" s="18" t="s">
        <v>9849</v>
      </c>
      <c r="R2057" s="18" t="s">
        <v>9855</v>
      </c>
      <c r="S2057" s="17" t="s">
        <v>9847</v>
      </c>
      <c r="T2057" s="18" t="s">
        <v>9856</v>
      </c>
      <c r="U2057" s="19"/>
      <c r="V2057" s="18" t="s">
        <v>9857</v>
      </c>
      <c r="W2057" s="17" t="s">
        <v>240</v>
      </c>
      <c r="X2057" s="17" t="s">
        <v>9853</v>
      </c>
      <c r="Y2057" s="17" t="s">
        <v>242</v>
      </c>
      <c r="Z2057" s="19"/>
      <c r="AA2057" s="19"/>
      <c r="AB2057" s="17"/>
      <c r="AC2057" s="19"/>
    </row>
    <row r="2058" customFormat="false" ht="32.8" hidden="false" customHeight="false" outlineLevel="0" collapsed="false">
      <c r="A2058" s="10" t="s">
        <v>9858</v>
      </c>
      <c r="B2058" s="17" t="s">
        <v>193</v>
      </c>
      <c r="C2058" s="18" t="s">
        <v>194</v>
      </c>
      <c r="D2058" s="17" t="s">
        <v>19</v>
      </c>
      <c r="E2058" s="17" t="s">
        <v>75</v>
      </c>
      <c r="F2058" s="17" t="s">
        <v>3424</v>
      </c>
      <c r="G2058" s="17" t="s">
        <v>3638</v>
      </c>
      <c r="H2058" s="17" t="s">
        <v>33</v>
      </c>
      <c r="I2058" s="17" t="s">
        <v>1028</v>
      </c>
      <c r="J2058" s="17" t="s">
        <v>233</v>
      </c>
      <c r="K2058" s="19"/>
      <c r="L2058" s="19"/>
      <c r="M2058" s="19"/>
      <c r="N2058" s="19"/>
      <c r="O2058" s="17" t="n">
        <v>2</v>
      </c>
      <c r="P2058" s="18" t="s">
        <v>9848</v>
      </c>
      <c r="Q2058" s="18" t="s">
        <v>9849</v>
      </c>
      <c r="R2058" s="18" t="s">
        <v>9859</v>
      </c>
      <c r="S2058" s="17" t="s">
        <v>9847</v>
      </c>
      <c r="T2058" s="18" t="s">
        <v>9860</v>
      </c>
      <c r="U2058" s="19"/>
      <c r="V2058" s="18" t="s">
        <v>9861</v>
      </c>
      <c r="W2058" s="17" t="s">
        <v>240</v>
      </c>
      <c r="X2058" s="17" t="s">
        <v>9853</v>
      </c>
      <c r="Y2058" s="17" t="s">
        <v>242</v>
      </c>
      <c r="Z2058" s="19"/>
      <c r="AA2058" s="19"/>
      <c r="AB2058" s="17"/>
      <c r="AC2058" s="19"/>
    </row>
    <row r="2059" customFormat="false" ht="43.25" hidden="false" customHeight="false" outlineLevel="0" collapsed="false">
      <c r="A2059" s="10" t="s">
        <v>9862</v>
      </c>
      <c r="B2059" s="17" t="s">
        <v>193</v>
      </c>
      <c r="C2059" s="18" t="s">
        <v>194</v>
      </c>
      <c r="D2059" s="17" t="s">
        <v>19</v>
      </c>
      <c r="E2059" s="17" t="s">
        <v>75</v>
      </c>
      <c r="F2059" s="17" t="s">
        <v>3424</v>
      </c>
      <c r="G2059" s="17" t="s">
        <v>3638</v>
      </c>
      <c r="H2059" s="17" t="s">
        <v>33</v>
      </c>
      <c r="I2059" s="17" t="s">
        <v>2896</v>
      </c>
      <c r="J2059" s="17" t="s">
        <v>233</v>
      </c>
      <c r="K2059" s="19"/>
      <c r="L2059" s="19"/>
      <c r="M2059" s="19"/>
      <c r="N2059" s="19"/>
      <c r="O2059" s="17" t="n">
        <v>2</v>
      </c>
      <c r="P2059" s="18" t="s">
        <v>9848</v>
      </c>
      <c r="Q2059" s="18" t="s">
        <v>9849</v>
      </c>
      <c r="R2059" s="18" t="s">
        <v>9863</v>
      </c>
      <c r="S2059" s="17" t="s">
        <v>9864</v>
      </c>
      <c r="T2059" s="18" t="s">
        <v>9865</v>
      </c>
      <c r="U2059" s="19"/>
      <c r="V2059" s="18" t="s">
        <v>9866</v>
      </c>
      <c r="W2059" s="17" t="s">
        <v>240</v>
      </c>
      <c r="X2059" s="17" t="s">
        <v>9853</v>
      </c>
      <c r="Y2059" s="17" t="s">
        <v>242</v>
      </c>
      <c r="Z2059" s="19"/>
      <c r="AA2059" s="19"/>
      <c r="AB2059" s="17" t="s">
        <v>1681</v>
      </c>
      <c r="AC2059" s="19"/>
    </row>
    <row r="2060" customFormat="false" ht="32.8" hidden="false" customHeight="false" outlineLevel="0" collapsed="false">
      <c r="A2060" s="10" t="s">
        <v>9867</v>
      </c>
      <c r="B2060" s="17" t="s">
        <v>193</v>
      </c>
      <c r="C2060" s="18" t="s">
        <v>194</v>
      </c>
      <c r="D2060" s="17" t="s">
        <v>19</v>
      </c>
      <c r="E2060" s="17" t="s">
        <v>75</v>
      </c>
      <c r="F2060" s="17" t="s">
        <v>3424</v>
      </c>
      <c r="G2060" s="17" t="s">
        <v>3638</v>
      </c>
      <c r="H2060" s="17" t="s">
        <v>33</v>
      </c>
      <c r="I2060" s="17" t="s">
        <v>893</v>
      </c>
      <c r="J2060" s="17" t="s">
        <v>233</v>
      </c>
      <c r="K2060" s="19"/>
      <c r="L2060" s="19"/>
      <c r="M2060" s="19"/>
      <c r="N2060" s="19"/>
      <c r="O2060" s="17" t="n">
        <v>3</v>
      </c>
      <c r="P2060" s="18" t="s">
        <v>9848</v>
      </c>
      <c r="Q2060" s="18" t="s">
        <v>9849</v>
      </c>
      <c r="R2060" s="18" t="s">
        <v>9868</v>
      </c>
      <c r="S2060" s="17" t="s">
        <v>9858</v>
      </c>
      <c r="T2060" s="18" t="s">
        <v>9869</v>
      </c>
      <c r="U2060" s="19"/>
      <c r="V2060" s="18" t="s">
        <v>9870</v>
      </c>
      <c r="W2060" s="17" t="s">
        <v>240</v>
      </c>
      <c r="X2060" s="17" t="s">
        <v>9853</v>
      </c>
      <c r="Y2060" s="17" t="s">
        <v>242</v>
      </c>
      <c r="Z2060" s="19"/>
      <c r="AA2060" s="19"/>
      <c r="AB2060" s="17"/>
      <c r="AC2060" s="19"/>
    </row>
    <row r="2061" customFormat="false" ht="32.8" hidden="false" customHeight="false" outlineLevel="0" collapsed="false">
      <c r="A2061" s="10" t="s">
        <v>9871</v>
      </c>
      <c r="B2061" s="17" t="s">
        <v>193</v>
      </c>
      <c r="C2061" s="18" t="s">
        <v>194</v>
      </c>
      <c r="D2061" s="17" t="s">
        <v>19</v>
      </c>
      <c r="E2061" s="17" t="s">
        <v>75</v>
      </c>
      <c r="F2061" s="17" t="s">
        <v>3424</v>
      </c>
      <c r="G2061" s="17" t="s">
        <v>3638</v>
      </c>
      <c r="H2061" s="17" t="s">
        <v>33</v>
      </c>
      <c r="I2061" s="17" t="s">
        <v>1564</v>
      </c>
      <c r="J2061" s="17" t="s">
        <v>233</v>
      </c>
      <c r="K2061" s="19"/>
      <c r="L2061" s="19"/>
      <c r="M2061" s="19"/>
      <c r="N2061" s="19"/>
      <c r="O2061" s="17" t="n">
        <v>3</v>
      </c>
      <c r="P2061" s="18" t="s">
        <v>9848</v>
      </c>
      <c r="Q2061" s="18" t="s">
        <v>9849</v>
      </c>
      <c r="R2061" s="18" t="s">
        <v>9872</v>
      </c>
      <c r="S2061" s="17" t="s">
        <v>9854</v>
      </c>
      <c r="T2061" s="18" t="s">
        <v>9873</v>
      </c>
      <c r="U2061" s="19"/>
      <c r="V2061" s="18" t="s">
        <v>9874</v>
      </c>
      <c r="W2061" s="17" t="s">
        <v>240</v>
      </c>
      <c r="X2061" s="17" t="s">
        <v>9853</v>
      </c>
      <c r="Y2061" s="17" t="s">
        <v>242</v>
      </c>
      <c r="Z2061" s="19"/>
      <c r="AA2061" s="19"/>
      <c r="AB2061" s="17"/>
      <c r="AC2061" s="19"/>
    </row>
    <row r="2062" customFormat="false" ht="32.8" hidden="false" customHeight="false" outlineLevel="0" collapsed="false">
      <c r="A2062" s="10" t="s">
        <v>9875</v>
      </c>
      <c r="B2062" s="17" t="s">
        <v>193</v>
      </c>
      <c r="C2062" s="18" t="s">
        <v>194</v>
      </c>
      <c r="D2062" s="17" t="s">
        <v>19</v>
      </c>
      <c r="E2062" s="17" t="s">
        <v>75</v>
      </c>
      <c r="F2062" s="17" t="s">
        <v>3424</v>
      </c>
      <c r="G2062" s="17" t="s">
        <v>3638</v>
      </c>
      <c r="H2062" s="17" t="s">
        <v>33</v>
      </c>
      <c r="I2062" s="17" t="s">
        <v>1564</v>
      </c>
      <c r="J2062" s="17" t="s">
        <v>233</v>
      </c>
      <c r="K2062" s="19"/>
      <c r="L2062" s="19"/>
      <c r="M2062" s="19"/>
      <c r="N2062" s="19"/>
      <c r="O2062" s="17" t="n">
        <v>3</v>
      </c>
      <c r="P2062" s="18" t="s">
        <v>9848</v>
      </c>
      <c r="Q2062" s="18" t="s">
        <v>9876</v>
      </c>
      <c r="R2062" s="18" t="s">
        <v>9877</v>
      </c>
      <c r="S2062" s="17" t="s">
        <v>9878</v>
      </c>
      <c r="T2062" s="18" t="s">
        <v>9879</v>
      </c>
      <c r="U2062" s="19"/>
      <c r="V2062" s="18" t="s">
        <v>9880</v>
      </c>
      <c r="W2062" s="17" t="s">
        <v>240</v>
      </c>
      <c r="X2062" s="17" t="s">
        <v>9853</v>
      </c>
      <c r="Y2062" s="17" t="s">
        <v>242</v>
      </c>
      <c r="Z2062" s="19"/>
      <c r="AA2062" s="19"/>
      <c r="AB2062" s="17"/>
      <c r="AC2062" s="19"/>
    </row>
    <row r="2063" customFormat="false" ht="22.35" hidden="false" customHeight="false" outlineLevel="0" collapsed="false">
      <c r="A2063" s="10" t="s">
        <v>9881</v>
      </c>
      <c r="B2063" s="17" t="s">
        <v>193</v>
      </c>
      <c r="C2063" s="18" t="s">
        <v>194</v>
      </c>
      <c r="D2063" s="17" t="s">
        <v>19</v>
      </c>
      <c r="E2063" s="17" t="s">
        <v>75</v>
      </c>
      <c r="F2063" s="17" t="s">
        <v>3424</v>
      </c>
      <c r="G2063" s="17" t="s">
        <v>3638</v>
      </c>
      <c r="H2063" s="17" t="s">
        <v>33</v>
      </c>
      <c r="I2063" s="17" t="s">
        <v>450</v>
      </c>
      <c r="J2063" s="17" t="s">
        <v>233</v>
      </c>
      <c r="K2063" s="19"/>
      <c r="L2063" s="19"/>
      <c r="M2063" s="19"/>
      <c r="N2063" s="19"/>
      <c r="O2063" s="17" t="n">
        <v>3</v>
      </c>
      <c r="P2063" s="18" t="s">
        <v>9848</v>
      </c>
      <c r="Q2063" s="18" t="s">
        <v>9876</v>
      </c>
      <c r="R2063" s="18" t="s">
        <v>9882</v>
      </c>
      <c r="S2063" s="17" t="s">
        <v>9883</v>
      </c>
      <c r="T2063" s="18" t="s">
        <v>9884</v>
      </c>
      <c r="U2063" s="19"/>
      <c r="V2063" s="18" t="s">
        <v>9885</v>
      </c>
      <c r="W2063" s="17" t="s">
        <v>240</v>
      </c>
      <c r="X2063" s="17" t="s">
        <v>9853</v>
      </c>
      <c r="Y2063" s="17" t="s">
        <v>242</v>
      </c>
      <c r="Z2063" s="19"/>
      <c r="AA2063" s="19"/>
      <c r="AB2063" s="17"/>
      <c r="AC2063" s="19"/>
    </row>
    <row r="2064" customFormat="false" ht="32.8" hidden="false" customHeight="false" outlineLevel="0" collapsed="false">
      <c r="A2064" s="10" t="s">
        <v>9886</v>
      </c>
      <c r="B2064" s="17" t="s">
        <v>193</v>
      </c>
      <c r="C2064" s="18" t="s">
        <v>194</v>
      </c>
      <c r="D2064" s="17" t="s">
        <v>19</v>
      </c>
      <c r="E2064" s="17" t="s">
        <v>75</v>
      </c>
      <c r="F2064" s="17" t="s">
        <v>3424</v>
      </c>
      <c r="G2064" s="17" t="s">
        <v>3638</v>
      </c>
      <c r="H2064" s="17" t="s">
        <v>33</v>
      </c>
      <c r="I2064" s="17" t="s">
        <v>1028</v>
      </c>
      <c r="J2064" s="17" t="s">
        <v>233</v>
      </c>
      <c r="K2064" s="19"/>
      <c r="L2064" s="19"/>
      <c r="M2064" s="19"/>
      <c r="N2064" s="19"/>
      <c r="O2064" s="17" t="n">
        <v>3</v>
      </c>
      <c r="P2064" s="18" t="s">
        <v>9848</v>
      </c>
      <c r="Q2064" s="18" t="s">
        <v>9876</v>
      </c>
      <c r="R2064" s="18" t="s">
        <v>9887</v>
      </c>
      <c r="S2064" s="17" t="s">
        <v>9858</v>
      </c>
      <c r="T2064" s="18" t="s">
        <v>9888</v>
      </c>
      <c r="U2064" s="19"/>
      <c r="V2064" s="18" t="s">
        <v>9889</v>
      </c>
      <c r="W2064" s="17" t="s">
        <v>240</v>
      </c>
      <c r="X2064" s="17" t="s">
        <v>9853</v>
      </c>
      <c r="Y2064" s="17" t="s">
        <v>242</v>
      </c>
      <c r="Z2064" s="19"/>
      <c r="AA2064" s="19"/>
      <c r="AB2064" s="17"/>
      <c r="AC2064" s="19"/>
    </row>
    <row r="2065" customFormat="false" ht="32.8" hidden="false" customHeight="false" outlineLevel="0" collapsed="false">
      <c r="A2065" s="10" t="s">
        <v>9890</v>
      </c>
      <c r="B2065" s="17" t="s">
        <v>193</v>
      </c>
      <c r="C2065" s="18" t="s">
        <v>194</v>
      </c>
      <c r="D2065" s="17" t="s">
        <v>19</v>
      </c>
      <c r="E2065" s="17" t="s">
        <v>75</v>
      </c>
      <c r="F2065" s="17" t="s">
        <v>3424</v>
      </c>
      <c r="G2065" s="17" t="s">
        <v>3638</v>
      </c>
      <c r="H2065" s="17" t="s">
        <v>33</v>
      </c>
      <c r="I2065" s="17" t="s">
        <v>283</v>
      </c>
      <c r="J2065" s="17" t="s">
        <v>233</v>
      </c>
      <c r="K2065" s="19"/>
      <c r="L2065" s="19"/>
      <c r="M2065" s="19"/>
      <c r="N2065" s="19"/>
      <c r="O2065" s="17" t="n">
        <v>4</v>
      </c>
      <c r="P2065" s="18" t="s">
        <v>9848</v>
      </c>
      <c r="Q2065" s="18" t="s">
        <v>9876</v>
      </c>
      <c r="R2065" s="18" t="s">
        <v>9891</v>
      </c>
      <c r="S2065" s="17" t="s">
        <v>9892</v>
      </c>
      <c r="T2065" s="18" t="s">
        <v>9893</v>
      </c>
      <c r="U2065" s="19"/>
      <c r="V2065" s="18" t="s">
        <v>9894</v>
      </c>
      <c r="W2065" s="17" t="s">
        <v>240</v>
      </c>
      <c r="X2065" s="17" t="s">
        <v>9853</v>
      </c>
      <c r="Y2065" s="17" t="s">
        <v>242</v>
      </c>
      <c r="Z2065" s="19"/>
      <c r="AA2065" s="19"/>
      <c r="AB2065" s="17"/>
      <c r="AC2065" s="19"/>
    </row>
    <row r="2066" customFormat="false" ht="32.8" hidden="false" customHeight="false" outlineLevel="0" collapsed="false">
      <c r="A2066" s="10" t="s">
        <v>9895</v>
      </c>
      <c r="B2066" s="17" t="s">
        <v>193</v>
      </c>
      <c r="C2066" s="18" t="s">
        <v>194</v>
      </c>
      <c r="D2066" s="17" t="s">
        <v>19</v>
      </c>
      <c r="E2066" s="17" t="s">
        <v>75</v>
      </c>
      <c r="F2066" s="17" t="s">
        <v>3424</v>
      </c>
      <c r="G2066" s="17" t="s">
        <v>3638</v>
      </c>
      <c r="H2066" s="17" t="s">
        <v>33</v>
      </c>
      <c r="I2066" s="17" t="s">
        <v>1786</v>
      </c>
      <c r="J2066" s="17" t="s">
        <v>233</v>
      </c>
      <c r="K2066" s="19"/>
      <c r="L2066" s="19"/>
      <c r="M2066" s="19"/>
      <c r="N2066" s="19"/>
      <c r="O2066" s="17" t="n">
        <v>3</v>
      </c>
      <c r="P2066" s="18" t="s">
        <v>9848</v>
      </c>
      <c r="Q2066" s="18" t="s">
        <v>9876</v>
      </c>
      <c r="R2066" s="18" t="s">
        <v>9896</v>
      </c>
      <c r="S2066" s="17" t="s">
        <v>9897</v>
      </c>
      <c r="T2066" s="18" t="s">
        <v>9898</v>
      </c>
      <c r="U2066" s="19"/>
      <c r="V2066" s="18" t="s">
        <v>9899</v>
      </c>
      <c r="W2066" s="17" t="s">
        <v>240</v>
      </c>
      <c r="X2066" s="17" t="s">
        <v>9853</v>
      </c>
      <c r="Y2066" s="17" t="s">
        <v>242</v>
      </c>
      <c r="Z2066" s="19"/>
      <c r="AA2066" s="19"/>
      <c r="AB2066" s="17"/>
      <c r="AC2066" s="19"/>
    </row>
    <row r="2067" customFormat="false" ht="22.35" hidden="false" customHeight="false" outlineLevel="0" collapsed="false">
      <c r="A2067" s="10" t="s">
        <v>9900</v>
      </c>
      <c r="B2067" s="17" t="s">
        <v>193</v>
      </c>
      <c r="C2067" s="18" t="s">
        <v>194</v>
      </c>
      <c r="D2067" s="17" t="s">
        <v>19</v>
      </c>
      <c r="E2067" s="17" t="s">
        <v>75</v>
      </c>
      <c r="F2067" s="17" t="s">
        <v>3424</v>
      </c>
      <c r="G2067" s="17" t="s">
        <v>3638</v>
      </c>
      <c r="H2067" s="17" t="s">
        <v>33</v>
      </c>
      <c r="I2067" s="17" t="s">
        <v>1028</v>
      </c>
      <c r="J2067" s="17" t="s">
        <v>233</v>
      </c>
      <c r="K2067" s="19"/>
      <c r="L2067" s="19"/>
      <c r="M2067" s="19"/>
      <c r="N2067" s="19"/>
      <c r="O2067" s="17" t="n">
        <v>4</v>
      </c>
      <c r="P2067" s="18" t="s">
        <v>9848</v>
      </c>
      <c r="Q2067" s="18" t="s">
        <v>9876</v>
      </c>
      <c r="R2067" s="18" t="s">
        <v>9901</v>
      </c>
      <c r="S2067" s="17" t="s">
        <v>9890</v>
      </c>
      <c r="T2067" s="18" t="s">
        <v>9570</v>
      </c>
      <c r="U2067" s="19"/>
      <c r="V2067" s="18" t="s">
        <v>4226</v>
      </c>
      <c r="W2067" s="17" t="s">
        <v>240</v>
      </c>
      <c r="X2067" s="17" t="s">
        <v>9853</v>
      </c>
      <c r="Y2067" s="17" t="s">
        <v>242</v>
      </c>
      <c r="Z2067" s="19"/>
      <c r="AA2067" s="19"/>
      <c r="AB2067" s="17"/>
      <c r="AC2067" s="19"/>
    </row>
    <row r="2068" customFormat="false" ht="43.25" hidden="false" customHeight="false" outlineLevel="0" collapsed="false">
      <c r="A2068" s="10" t="s">
        <v>9902</v>
      </c>
      <c r="B2068" s="17" t="s">
        <v>191</v>
      </c>
      <c r="C2068" s="18" t="s">
        <v>192</v>
      </c>
      <c r="D2068" s="17" t="s">
        <v>19</v>
      </c>
      <c r="E2068" s="17" t="s">
        <v>75</v>
      </c>
      <c r="F2068" s="17" t="s">
        <v>7069</v>
      </c>
      <c r="G2068" s="17" t="s">
        <v>177</v>
      </c>
      <c r="H2068" s="17" t="s">
        <v>35</v>
      </c>
      <c r="I2068" s="17" t="s">
        <v>928</v>
      </c>
      <c r="J2068" s="17" t="s">
        <v>233</v>
      </c>
      <c r="K2068" s="19"/>
      <c r="L2068" s="19"/>
      <c r="M2068" s="19"/>
      <c r="N2068" s="19"/>
      <c r="O2068" s="17" t="n">
        <v>1</v>
      </c>
      <c r="P2068" s="18" t="s">
        <v>9903</v>
      </c>
      <c r="Q2068" s="18" t="s">
        <v>9904</v>
      </c>
      <c r="R2068" s="18" t="s">
        <v>9905</v>
      </c>
      <c r="S2068" s="17" t="s">
        <v>237</v>
      </c>
      <c r="T2068" s="18" t="s">
        <v>9906</v>
      </c>
      <c r="U2068" s="19"/>
      <c r="V2068" s="18" t="s">
        <v>9907</v>
      </c>
      <c r="W2068" s="17" t="s">
        <v>240</v>
      </c>
      <c r="X2068" s="17" t="s">
        <v>9908</v>
      </c>
      <c r="Y2068" s="17" t="s">
        <v>242</v>
      </c>
      <c r="Z2068" s="19"/>
      <c r="AA2068" s="19"/>
      <c r="AB2068" s="17"/>
      <c r="AC2068" s="19"/>
    </row>
    <row r="2069" customFormat="false" ht="32.8" hidden="false" customHeight="false" outlineLevel="0" collapsed="false">
      <c r="A2069" s="10" t="s">
        <v>9909</v>
      </c>
      <c r="B2069" s="17" t="s">
        <v>191</v>
      </c>
      <c r="C2069" s="18" t="s">
        <v>192</v>
      </c>
      <c r="D2069" s="17" t="s">
        <v>19</v>
      </c>
      <c r="E2069" s="17" t="s">
        <v>75</v>
      </c>
      <c r="F2069" s="17" t="s">
        <v>7069</v>
      </c>
      <c r="G2069" s="17" t="s">
        <v>177</v>
      </c>
      <c r="H2069" s="17" t="s">
        <v>35</v>
      </c>
      <c r="I2069" s="17" t="s">
        <v>928</v>
      </c>
      <c r="J2069" s="17" t="s">
        <v>233</v>
      </c>
      <c r="K2069" s="19"/>
      <c r="L2069" s="19"/>
      <c r="M2069" s="19"/>
      <c r="N2069" s="19"/>
      <c r="O2069" s="17" t="n">
        <v>2</v>
      </c>
      <c r="P2069" s="18" t="s">
        <v>9903</v>
      </c>
      <c r="Q2069" s="18" t="s">
        <v>9904</v>
      </c>
      <c r="R2069" s="18" t="s">
        <v>9910</v>
      </c>
      <c r="S2069" s="17" t="s">
        <v>9902</v>
      </c>
      <c r="T2069" s="18" t="s">
        <v>9911</v>
      </c>
      <c r="U2069" s="19"/>
      <c r="V2069" s="18" t="s">
        <v>9912</v>
      </c>
      <c r="W2069" s="17" t="s">
        <v>240</v>
      </c>
      <c r="X2069" s="17" t="s">
        <v>9908</v>
      </c>
      <c r="Y2069" s="17" t="s">
        <v>242</v>
      </c>
      <c r="Z2069" s="19"/>
      <c r="AA2069" s="19"/>
      <c r="AB2069" s="17"/>
      <c r="AC2069" s="19"/>
    </row>
    <row r="2070" customFormat="false" ht="32.8" hidden="false" customHeight="false" outlineLevel="0" collapsed="false">
      <c r="A2070" s="10" t="s">
        <v>9913</v>
      </c>
      <c r="B2070" s="17" t="s">
        <v>191</v>
      </c>
      <c r="C2070" s="18" t="s">
        <v>192</v>
      </c>
      <c r="D2070" s="17" t="s">
        <v>19</v>
      </c>
      <c r="E2070" s="17" t="s">
        <v>75</v>
      </c>
      <c r="F2070" s="17" t="s">
        <v>7069</v>
      </c>
      <c r="G2070" s="17" t="s">
        <v>177</v>
      </c>
      <c r="H2070" s="17" t="s">
        <v>35</v>
      </c>
      <c r="I2070" s="17" t="s">
        <v>928</v>
      </c>
      <c r="J2070" s="17" t="s">
        <v>233</v>
      </c>
      <c r="K2070" s="19"/>
      <c r="L2070" s="19"/>
      <c r="M2070" s="19"/>
      <c r="N2070" s="19"/>
      <c r="O2070" s="17" t="n">
        <v>2</v>
      </c>
      <c r="P2070" s="18" t="s">
        <v>9903</v>
      </c>
      <c r="Q2070" s="18" t="s">
        <v>9904</v>
      </c>
      <c r="R2070" s="18" t="s">
        <v>9914</v>
      </c>
      <c r="S2070" s="17" t="s">
        <v>9909</v>
      </c>
      <c r="T2070" s="18" t="s">
        <v>9915</v>
      </c>
      <c r="U2070" s="19"/>
      <c r="V2070" s="18" t="s">
        <v>9916</v>
      </c>
      <c r="W2070" s="17" t="s">
        <v>240</v>
      </c>
      <c r="X2070" s="17" t="s">
        <v>9908</v>
      </c>
      <c r="Y2070" s="17" t="s">
        <v>242</v>
      </c>
      <c r="Z2070" s="19"/>
      <c r="AA2070" s="19"/>
      <c r="AB2070" s="17"/>
      <c r="AC2070" s="19"/>
    </row>
    <row r="2071" customFormat="false" ht="32.8" hidden="false" customHeight="false" outlineLevel="0" collapsed="false">
      <c r="A2071" s="10" t="s">
        <v>9917</v>
      </c>
      <c r="B2071" s="17" t="s">
        <v>191</v>
      </c>
      <c r="C2071" s="18" t="s">
        <v>192</v>
      </c>
      <c r="D2071" s="17" t="s">
        <v>19</v>
      </c>
      <c r="E2071" s="17" t="s">
        <v>75</v>
      </c>
      <c r="F2071" s="17" t="s">
        <v>7069</v>
      </c>
      <c r="G2071" s="17" t="s">
        <v>177</v>
      </c>
      <c r="H2071" s="17" t="s">
        <v>35</v>
      </c>
      <c r="I2071" s="17" t="s">
        <v>1028</v>
      </c>
      <c r="J2071" s="17" t="s">
        <v>233</v>
      </c>
      <c r="K2071" s="19"/>
      <c r="L2071" s="19"/>
      <c r="M2071" s="19"/>
      <c r="N2071" s="19"/>
      <c r="O2071" s="17" t="n">
        <v>2</v>
      </c>
      <c r="P2071" s="18" t="s">
        <v>9903</v>
      </c>
      <c r="Q2071" s="18" t="s">
        <v>9904</v>
      </c>
      <c r="R2071" s="18" t="s">
        <v>9918</v>
      </c>
      <c r="S2071" s="17" t="s">
        <v>9919</v>
      </c>
      <c r="T2071" s="18" t="s">
        <v>9920</v>
      </c>
      <c r="U2071" s="19"/>
      <c r="V2071" s="18" t="s">
        <v>9921</v>
      </c>
      <c r="W2071" s="17" t="s">
        <v>240</v>
      </c>
      <c r="X2071" s="17" t="s">
        <v>9908</v>
      </c>
      <c r="Y2071" s="17" t="s">
        <v>242</v>
      </c>
      <c r="Z2071" s="19"/>
      <c r="AA2071" s="19"/>
      <c r="AB2071" s="17"/>
      <c r="AC2071" s="19"/>
    </row>
    <row r="2072" customFormat="false" ht="32.8" hidden="false" customHeight="false" outlineLevel="0" collapsed="false">
      <c r="A2072" s="10" t="s">
        <v>9922</v>
      </c>
      <c r="B2072" s="17" t="s">
        <v>191</v>
      </c>
      <c r="C2072" s="18" t="s">
        <v>192</v>
      </c>
      <c r="D2072" s="17" t="s">
        <v>19</v>
      </c>
      <c r="E2072" s="17" t="s">
        <v>75</v>
      </c>
      <c r="F2072" s="17" t="s">
        <v>7069</v>
      </c>
      <c r="G2072" s="17" t="s">
        <v>177</v>
      </c>
      <c r="H2072" s="17" t="s">
        <v>35</v>
      </c>
      <c r="I2072" s="17" t="s">
        <v>928</v>
      </c>
      <c r="J2072" s="17" t="s">
        <v>233</v>
      </c>
      <c r="K2072" s="19"/>
      <c r="L2072" s="19"/>
      <c r="M2072" s="19"/>
      <c r="N2072" s="19"/>
      <c r="O2072" s="17" t="n">
        <v>3</v>
      </c>
      <c r="P2072" s="18" t="s">
        <v>9903</v>
      </c>
      <c r="Q2072" s="18" t="s">
        <v>9904</v>
      </c>
      <c r="R2072" s="18" t="s">
        <v>9923</v>
      </c>
      <c r="S2072" s="17" t="s">
        <v>9913</v>
      </c>
      <c r="T2072" s="18" t="s">
        <v>9924</v>
      </c>
      <c r="U2072" s="19"/>
      <c r="V2072" s="18" t="s">
        <v>9925</v>
      </c>
      <c r="W2072" s="17" t="s">
        <v>240</v>
      </c>
      <c r="X2072" s="17" t="s">
        <v>9908</v>
      </c>
      <c r="Y2072" s="17" t="s">
        <v>242</v>
      </c>
      <c r="Z2072" s="19"/>
      <c r="AA2072" s="19"/>
      <c r="AB2072" s="17"/>
      <c r="AC2072" s="19"/>
    </row>
    <row r="2073" customFormat="false" ht="32.8" hidden="false" customHeight="false" outlineLevel="0" collapsed="false">
      <c r="A2073" s="10" t="s">
        <v>9926</v>
      </c>
      <c r="B2073" s="17" t="s">
        <v>191</v>
      </c>
      <c r="C2073" s="18" t="s">
        <v>192</v>
      </c>
      <c r="D2073" s="17" t="s">
        <v>19</v>
      </c>
      <c r="E2073" s="17" t="s">
        <v>75</v>
      </c>
      <c r="F2073" s="17" t="s">
        <v>7069</v>
      </c>
      <c r="G2073" s="17" t="s">
        <v>177</v>
      </c>
      <c r="H2073" s="17" t="s">
        <v>35</v>
      </c>
      <c r="I2073" s="17" t="s">
        <v>1028</v>
      </c>
      <c r="J2073" s="17" t="s">
        <v>233</v>
      </c>
      <c r="K2073" s="19"/>
      <c r="L2073" s="19"/>
      <c r="M2073" s="19"/>
      <c r="N2073" s="19"/>
      <c r="O2073" s="17" t="n">
        <v>3</v>
      </c>
      <c r="P2073" s="18" t="s">
        <v>9903</v>
      </c>
      <c r="Q2073" s="18" t="s">
        <v>9927</v>
      </c>
      <c r="R2073" s="18" t="s">
        <v>9928</v>
      </c>
      <c r="S2073" s="17" t="s">
        <v>9929</v>
      </c>
      <c r="T2073" s="18" t="s">
        <v>9930</v>
      </c>
      <c r="U2073" s="19"/>
      <c r="V2073" s="18" t="s">
        <v>9931</v>
      </c>
      <c r="W2073" s="17" t="s">
        <v>240</v>
      </c>
      <c r="X2073" s="17" t="s">
        <v>9908</v>
      </c>
      <c r="Y2073" s="17" t="s">
        <v>242</v>
      </c>
      <c r="Z2073" s="19"/>
      <c r="AA2073" s="19"/>
      <c r="AB2073" s="17"/>
      <c r="AC2073" s="19"/>
    </row>
    <row r="2074" customFormat="false" ht="32.8" hidden="false" customHeight="false" outlineLevel="0" collapsed="false">
      <c r="A2074" s="10" t="s">
        <v>9932</v>
      </c>
      <c r="B2074" s="17" t="s">
        <v>191</v>
      </c>
      <c r="C2074" s="18" t="s">
        <v>192</v>
      </c>
      <c r="D2074" s="17" t="s">
        <v>19</v>
      </c>
      <c r="E2074" s="17" t="s">
        <v>75</v>
      </c>
      <c r="F2074" s="17" t="s">
        <v>7069</v>
      </c>
      <c r="G2074" s="17" t="s">
        <v>177</v>
      </c>
      <c r="H2074" s="17" t="s">
        <v>35</v>
      </c>
      <c r="I2074" s="17" t="s">
        <v>1028</v>
      </c>
      <c r="J2074" s="17" t="s">
        <v>233</v>
      </c>
      <c r="K2074" s="19"/>
      <c r="L2074" s="19"/>
      <c r="M2074" s="19"/>
      <c r="N2074" s="19"/>
      <c r="O2074" s="17" t="n">
        <v>4</v>
      </c>
      <c r="P2074" s="18" t="s">
        <v>9903</v>
      </c>
      <c r="Q2074" s="18" t="s">
        <v>9927</v>
      </c>
      <c r="R2074" s="18" t="s">
        <v>9933</v>
      </c>
      <c r="S2074" s="17" t="s">
        <v>9934</v>
      </c>
      <c r="T2074" s="18" t="s">
        <v>9935</v>
      </c>
      <c r="U2074" s="19"/>
      <c r="V2074" s="18" t="s">
        <v>9936</v>
      </c>
      <c r="W2074" s="17" t="s">
        <v>240</v>
      </c>
      <c r="X2074" s="17" t="s">
        <v>9908</v>
      </c>
      <c r="Y2074" s="17" t="s">
        <v>242</v>
      </c>
      <c r="Z2074" s="19"/>
      <c r="AA2074" s="19"/>
      <c r="AB2074" s="17"/>
      <c r="AC2074" s="19"/>
    </row>
    <row r="2075" customFormat="false" ht="32.8" hidden="false" customHeight="false" outlineLevel="0" collapsed="false">
      <c r="A2075" s="10" t="s">
        <v>9937</v>
      </c>
      <c r="B2075" s="17" t="s">
        <v>191</v>
      </c>
      <c r="C2075" s="18" t="s">
        <v>192</v>
      </c>
      <c r="D2075" s="17" t="s">
        <v>19</v>
      </c>
      <c r="E2075" s="17" t="s">
        <v>75</v>
      </c>
      <c r="F2075" s="17" t="s">
        <v>7069</v>
      </c>
      <c r="G2075" s="17" t="s">
        <v>177</v>
      </c>
      <c r="H2075" s="17" t="s">
        <v>35</v>
      </c>
      <c r="I2075" s="17" t="s">
        <v>316</v>
      </c>
      <c r="J2075" s="17" t="s">
        <v>233</v>
      </c>
      <c r="K2075" s="19"/>
      <c r="L2075" s="19"/>
      <c r="M2075" s="19"/>
      <c r="N2075" s="19"/>
      <c r="O2075" s="17" t="n">
        <v>3</v>
      </c>
      <c r="P2075" s="18" t="s">
        <v>9903</v>
      </c>
      <c r="Q2075" s="18" t="s">
        <v>9927</v>
      </c>
      <c r="R2075" s="18" t="s">
        <v>9938</v>
      </c>
      <c r="S2075" s="17" t="s">
        <v>9939</v>
      </c>
      <c r="T2075" s="18" t="s">
        <v>9940</v>
      </c>
      <c r="U2075" s="19"/>
      <c r="V2075" s="18" t="s">
        <v>9941</v>
      </c>
      <c r="W2075" s="17" t="s">
        <v>240</v>
      </c>
      <c r="X2075" s="17" t="s">
        <v>9908</v>
      </c>
      <c r="Y2075" s="17" t="s">
        <v>242</v>
      </c>
      <c r="Z2075" s="19"/>
      <c r="AA2075" s="19"/>
      <c r="AB2075" s="17"/>
      <c r="AC2075" s="19"/>
    </row>
    <row r="2076" customFormat="false" ht="32.8" hidden="false" customHeight="false" outlineLevel="0" collapsed="false">
      <c r="A2076" s="10" t="s">
        <v>9942</v>
      </c>
      <c r="B2076" s="17" t="s">
        <v>191</v>
      </c>
      <c r="C2076" s="18" t="s">
        <v>192</v>
      </c>
      <c r="D2076" s="17" t="s">
        <v>19</v>
      </c>
      <c r="E2076" s="17" t="s">
        <v>75</v>
      </c>
      <c r="F2076" s="17" t="s">
        <v>7069</v>
      </c>
      <c r="G2076" s="17" t="s">
        <v>177</v>
      </c>
      <c r="H2076" s="17" t="s">
        <v>35</v>
      </c>
      <c r="I2076" s="17" t="s">
        <v>316</v>
      </c>
      <c r="J2076" s="17" t="s">
        <v>233</v>
      </c>
      <c r="K2076" s="19"/>
      <c r="L2076" s="19"/>
      <c r="M2076" s="19"/>
      <c r="N2076" s="19"/>
      <c r="O2076" s="17" t="n">
        <v>4</v>
      </c>
      <c r="P2076" s="18" t="s">
        <v>9903</v>
      </c>
      <c r="Q2076" s="18" t="s">
        <v>9927</v>
      </c>
      <c r="R2076" s="18" t="s">
        <v>9943</v>
      </c>
      <c r="S2076" s="17" t="s">
        <v>9937</v>
      </c>
      <c r="T2076" s="18" t="s">
        <v>9944</v>
      </c>
      <c r="U2076" s="19"/>
      <c r="V2076" s="18" t="s">
        <v>9945</v>
      </c>
      <c r="W2076" s="17" t="s">
        <v>240</v>
      </c>
      <c r="X2076" s="17" t="s">
        <v>9908</v>
      </c>
      <c r="Y2076" s="17" t="s">
        <v>242</v>
      </c>
      <c r="Z2076" s="19"/>
      <c r="AA2076" s="19"/>
      <c r="AB2076" s="17"/>
      <c r="AC2076" s="19"/>
    </row>
    <row r="2077" customFormat="false" ht="32.8" hidden="false" customHeight="false" outlineLevel="0" collapsed="false">
      <c r="A2077" s="10" t="s">
        <v>9946</v>
      </c>
      <c r="B2077" s="17" t="s">
        <v>191</v>
      </c>
      <c r="C2077" s="18" t="s">
        <v>192</v>
      </c>
      <c r="D2077" s="17" t="s">
        <v>19</v>
      </c>
      <c r="E2077" s="17" t="s">
        <v>75</v>
      </c>
      <c r="F2077" s="17" t="s">
        <v>7069</v>
      </c>
      <c r="G2077" s="17" t="s">
        <v>177</v>
      </c>
      <c r="H2077" s="17" t="s">
        <v>35</v>
      </c>
      <c r="I2077" s="17" t="s">
        <v>974</v>
      </c>
      <c r="J2077" s="17" t="s">
        <v>233</v>
      </c>
      <c r="K2077" s="19"/>
      <c r="L2077" s="19"/>
      <c r="M2077" s="19"/>
      <c r="N2077" s="19"/>
      <c r="O2077" s="17" t="n">
        <v>5</v>
      </c>
      <c r="P2077" s="18" t="s">
        <v>9903</v>
      </c>
      <c r="Q2077" s="18" t="s">
        <v>9927</v>
      </c>
      <c r="R2077" s="18" t="s">
        <v>9947</v>
      </c>
      <c r="S2077" s="17" t="s">
        <v>9948</v>
      </c>
      <c r="T2077" s="18" t="s">
        <v>9949</v>
      </c>
      <c r="U2077" s="19"/>
      <c r="V2077" s="18" t="s">
        <v>9950</v>
      </c>
      <c r="W2077" s="17" t="s">
        <v>240</v>
      </c>
      <c r="X2077" s="17" t="s">
        <v>9908</v>
      </c>
      <c r="Y2077" s="17" t="s">
        <v>242</v>
      </c>
      <c r="Z2077" s="19"/>
      <c r="AA2077" s="19"/>
      <c r="AB2077" s="17"/>
      <c r="AC2077" s="19"/>
    </row>
    <row r="2078" customFormat="false" ht="32.8" hidden="false" customHeight="false" outlineLevel="0" collapsed="false">
      <c r="A2078" s="10" t="s">
        <v>9951</v>
      </c>
      <c r="B2078" s="17" t="s">
        <v>191</v>
      </c>
      <c r="C2078" s="18" t="s">
        <v>192</v>
      </c>
      <c r="D2078" s="17" t="s">
        <v>19</v>
      </c>
      <c r="E2078" s="17" t="s">
        <v>75</v>
      </c>
      <c r="F2078" s="17" t="s">
        <v>7069</v>
      </c>
      <c r="G2078" s="17" t="s">
        <v>177</v>
      </c>
      <c r="H2078" s="17" t="s">
        <v>35</v>
      </c>
      <c r="I2078" s="17" t="s">
        <v>1028</v>
      </c>
      <c r="J2078" s="17" t="s">
        <v>233</v>
      </c>
      <c r="K2078" s="19"/>
      <c r="L2078" s="19"/>
      <c r="M2078" s="19"/>
      <c r="N2078" s="19"/>
      <c r="O2078" s="17" t="n">
        <v>5</v>
      </c>
      <c r="P2078" s="18" t="s">
        <v>9903</v>
      </c>
      <c r="Q2078" s="18" t="s">
        <v>9927</v>
      </c>
      <c r="R2078" s="18" t="s">
        <v>9952</v>
      </c>
      <c r="S2078" s="17" t="s">
        <v>9953</v>
      </c>
      <c r="T2078" s="18" t="s">
        <v>9954</v>
      </c>
      <c r="U2078" s="19"/>
      <c r="V2078" s="18" t="s">
        <v>9955</v>
      </c>
      <c r="W2078" s="17" t="s">
        <v>240</v>
      </c>
      <c r="X2078" s="17" t="s">
        <v>9908</v>
      </c>
      <c r="Y2078" s="17" t="s">
        <v>242</v>
      </c>
      <c r="Z2078" s="19"/>
      <c r="AA2078" s="19"/>
      <c r="AB2078" s="17"/>
      <c r="AC2078" s="19"/>
    </row>
    <row r="2079" customFormat="false" ht="22.35" hidden="false" customHeight="false" outlineLevel="0" collapsed="false">
      <c r="A2079" s="10" t="s">
        <v>9956</v>
      </c>
      <c r="B2079" s="17" t="s">
        <v>191</v>
      </c>
      <c r="C2079" s="18" t="s">
        <v>192</v>
      </c>
      <c r="D2079" s="17" t="s">
        <v>19</v>
      </c>
      <c r="E2079" s="17" t="s">
        <v>75</v>
      </c>
      <c r="F2079" s="17" t="s">
        <v>7069</v>
      </c>
      <c r="G2079" s="17" t="s">
        <v>177</v>
      </c>
      <c r="H2079" s="17" t="s">
        <v>35</v>
      </c>
      <c r="I2079" s="17" t="s">
        <v>1028</v>
      </c>
      <c r="J2079" s="17" t="s">
        <v>233</v>
      </c>
      <c r="K2079" s="19"/>
      <c r="L2079" s="19"/>
      <c r="M2079" s="19"/>
      <c r="N2079" s="19"/>
      <c r="O2079" s="17" t="n">
        <v>5</v>
      </c>
      <c r="P2079" s="18" t="s">
        <v>9903</v>
      </c>
      <c r="Q2079" s="18" t="s">
        <v>9927</v>
      </c>
      <c r="R2079" s="18" t="s">
        <v>9957</v>
      </c>
      <c r="S2079" s="17" t="s">
        <v>9951</v>
      </c>
      <c r="T2079" s="18" t="s">
        <v>9570</v>
      </c>
      <c r="U2079" s="19"/>
      <c r="V2079" s="18" t="s">
        <v>4226</v>
      </c>
      <c r="W2079" s="17" t="s">
        <v>240</v>
      </c>
      <c r="X2079" s="17" t="s">
        <v>9908</v>
      </c>
      <c r="Y2079" s="17" t="s">
        <v>242</v>
      </c>
      <c r="Z2079" s="19"/>
      <c r="AA2079" s="19"/>
      <c r="AB2079" s="17"/>
      <c r="AC2079" s="19"/>
    </row>
    <row r="2080" customFormat="false" ht="32.8" hidden="false" customHeight="false" outlineLevel="0" collapsed="false">
      <c r="A2080" s="10" t="s">
        <v>9958</v>
      </c>
      <c r="B2080" s="17" t="s">
        <v>200</v>
      </c>
      <c r="C2080" s="18" t="s">
        <v>201</v>
      </c>
      <c r="D2080" s="17" t="s">
        <v>19</v>
      </c>
      <c r="E2080" s="17" t="s">
        <v>75</v>
      </c>
      <c r="F2080" s="17" t="s">
        <v>7069</v>
      </c>
      <c r="G2080" s="17" t="s">
        <v>177</v>
      </c>
      <c r="H2080" s="17" t="s">
        <v>35</v>
      </c>
      <c r="I2080" s="17" t="s">
        <v>1028</v>
      </c>
      <c r="J2080" s="17" t="s">
        <v>233</v>
      </c>
      <c r="K2080" s="19"/>
      <c r="L2080" s="19"/>
      <c r="M2080" s="19"/>
      <c r="N2080" s="19"/>
      <c r="O2080" s="17" t="n">
        <v>1</v>
      </c>
      <c r="P2080" s="18" t="s">
        <v>9959</v>
      </c>
      <c r="Q2080" s="18" t="s">
        <v>9960</v>
      </c>
      <c r="R2080" s="18" t="s">
        <v>9961</v>
      </c>
      <c r="S2080" s="17" t="s">
        <v>237</v>
      </c>
      <c r="T2080" s="18" t="s">
        <v>9962</v>
      </c>
      <c r="U2080" s="19"/>
      <c r="V2080" s="18" t="s">
        <v>9963</v>
      </c>
      <c r="W2080" s="17" t="s">
        <v>240</v>
      </c>
      <c r="X2080" s="17" t="s">
        <v>9964</v>
      </c>
      <c r="Y2080" s="17" t="s">
        <v>242</v>
      </c>
      <c r="Z2080" s="19"/>
      <c r="AA2080" s="19"/>
      <c r="AB2080" s="17"/>
      <c r="AC2080" s="19"/>
    </row>
    <row r="2081" customFormat="false" ht="32.8" hidden="false" customHeight="false" outlineLevel="0" collapsed="false">
      <c r="A2081" s="10" t="s">
        <v>9965</v>
      </c>
      <c r="B2081" s="17" t="s">
        <v>200</v>
      </c>
      <c r="C2081" s="18" t="s">
        <v>201</v>
      </c>
      <c r="D2081" s="17" t="s">
        <v>19</v>
      </c>
      <c r="E2081" s="17" t="s">
        <v>75</v>
      </c>
      <c r="F2081" s="17" t="s">
        <v>7069</v>
      </c>
      <c r="G2081" s="17" t="s">
        <v>177</v>
      </c>
      <c r="H2081" s="17" t="s">
        <v>35</v>
      </c>
      <c r="I2081" s="17" t="s">
        <v>1786</v>
      </c>
      <c r="J2081" s="17" t="s">
        <v>233</v>
      </c>
      <c r="K2081" s="19"/>
      <c r="L2081" s="19"/>
      <c r="M2081" s="19"/>
      <c r="N2081" s="19"/>
      <c r="O2081" s="17" t="n">
        <v>2</v>
      </c>
      <c r="P2081" s="18" t="s">
        <v>9959</v>
      </c>
      <c r="Q2081" s="18" t="s">
        <v>9960</v>
      </c>
      <c r="R2081" s="18" t="s">
        <v>9966</v>
      </c>
      <c r="S2081" s="17" t="s">
        <v>9958</v>
      </c>
      <c r="T2081" s="18" t="s">
        <v>9967</v>
      </c>
      <c r="U2081" s="19"/>
      <c r="V2081" s="18" t="s">
        <v>9968</v>
      </c>
      <c r="W2081" s="17" t="s">
        <v>240</v>
      </c>
      <c r="X2081" s="17" t="s">
        <v>9964</v>
      </c>
      <c r="Y2081" s="17" t="s">
        <v>242</v>
      </c>
      <c r="Z2081" s="19"/>
      <c r="AA2081" s="19"/>
      <c r="AB2081" s="17"/>
      <c r="AC2081" s="19"/>
    </row>
    <row r="2082" customFormat="false" ht="32.8" hidden="false" customHeight="false" outlineLevel="0" collapsed="false">
      <c r="A2082" s="10" t="s">
        <v>9969</v>
      </c>
      <c r="B2082" s="17" t="s">
        <v>200</v>
      </c>
      <c r="C2082" s="18" t="s">
        <v>201</v>
      </c>
      <c r="D2082" s="17" t="s">
        <v>19</v>
      </c>
      <c r="E2082" s="17" t="s">
        <v>75</v>
      </c>
      <c r="F2082" s="17" t="s">
        <v>7069</v>
      </c>
      <c r="G2082" s="17" t="s">
        <v>177</v>
      </c>
      <c r="H2082" s="17" t="s">
        <v>35</v>
      </c>
      <c r="I2082" s="17" t="s">
        <v>333</v>
      </c>
      <c r="J2082" s="17" t="s">
        <v>233</v>
      </c>
      <c r="K2082" s="19"/>
      <c r="L2082" s="19"/>
      <c r="M2082" s="19"/>
      <c r="N2082" s="19"/>
      <c r="O2082" s="17" t="n">
        <v>3</v>
      </c>
      <c r="P2082" s="18" t="s">
        <v>9959</v>
      </c>
      <c r="Q2082" s="18" t="s">
        <v>9960</v>
      </c>
      <c r="R2082" s="18" t="s">
        <v>9970</v>
      </c>
      <c r="S2082" s="17" t="s">
        <v>9971</v>
      </c>
      <c r="T2082" s="18" t="s">
        <v>9972</v>
      </c>
      <c r="U2082" s="19"/>
      <c r="V2082" s="18" t="s">
        <v>9973</v>
      </c>
      <c r="W2082" s="17" t="s">
        <v>240</v>
      </c>
      <c r="X2082" s="17" t="s">
        <v>9964</v>
      </c>
      <c r="Y2082" s="17" t="s">
        <v>242</v>
      </c>
      <c r="Z2082" s="19"/>
      <c r="AA2082" s="19"/>
      <c r="AB2082" s="17"/>
      <c r="AC2082" s="19"/>
    </row>
    <row r="2083" customFormat="false" ht="32.8" hidden="false" customHeight="false" outlineLevel="0" collapsed="false">
      <c r="A2083" s="10" t="s">
        <v>9974</v>
      </c>
      <c r="B2083" s="17" t="s">
        <v>200</v>
      </c>
      <c r="C2083" s="18" t="s">
        <v>201</v>
      </c>
      <c r="D2083" s="17" t="s">
        <v>19</v>
      </c>
      <c r="E2083" s="17" t="s">
        <v>75</v>
      </c>
      <c r="F2083" s="17" t="s">
        <v>7069</v>
      </c>
      <c r="G2083" s="17" t="s">
        <v>177</v>
      </c>
      <c r="H2083" s="17" t="s">
        <v>35</v>
      </c>
      <c r="I2083" s="17" t="s">
        <v>289</v>
      </c>
      <c r="J2083" s="17" t="s">
        <v>233</v>
      </c>
      <c r="K2083" s="19"/>
      <c r="L2083" s="19"/>
      <c r="M2083" s="19"/>
      <c r="N2083" s="19"/>
      <c r="O2083" s="17" t="n">
        <v>4</v>
      </c>
      <c r="P2083" s="18" t="s">
        <v>9959</v>
      </c>
      <c r="Q2083" s="18" t="s">
        <v>9960</v>
      </c>
      <c r="R2083" s="18" t="s">
        <v>9975</v>
      </c>
      <c r="S2083" s="17" t="s">
        <v>9969</v>
      </c>
      <c r="T2083" s="18" t="s">
        <v>9976</v>
      </c>
      <c r="U2083" s="19"/>
      <c r="V2083" s="18" t="s">
        <v>9977</v>
      </c>
      <c r="W2083" s="17" t="s">
        <v>240</v>
      </c>
      <c r="X2083" s="17" t="s">
        <v>9964</v>
      </c>
      <c r="Y2083" s="17" t="s">
        <v>242</v>
      </c>
      <c r="Z2083" s="19"/>
      <c r="AA2083" s="19"/>
      <c r="AB2083" s="17"/>
      <c r="AC2083" s="19"/>
    </row>
    <row r="2084" customFormat="false" ht="32.8" hidden="false" customHeight="false" outlineLevel="0" collapsed="false">
      <c r="A2084" s="10" t="s">
        <v>9978</v>
      </c>
      <c r="B2084" s="17" t="s">
        <v>200</v>
      </c>
      <c r="C2084" s="18" t="s">
        <v>201</v>
      </c>
      <c r="D2084" s="17" t="s">
        <v>19</v>
      </c>
      <c r="E2084" s="17" t="s">
        <v>75</v>
      </c>
      <c r="F2084" s="17" t="s">
        <v>7069</v>
      </c>
      <c r="G2084" s="17" t="s">
        <v>177</v>
      </c>
      <c r="H2084" s="17" t="s">
        <v>35</v>
      </c>
      <c r="I2084" s="17" t="s">
        <v>5507</v>
      </c>
      <c r="J2084" s="17" t="s">
        <v>233</v>
      </c>
      <c r="K2084" s="19"/>
      <c r="L2084" s="19"/>
      <c r="M2084" s="19"/>
      <c r="N2084" s="19"/>
      <c r="O2084" s="17" t="n">
        <v>3</v>
      </c>
      <c r="P2084" s="18" t="s">
        <v>9959</v>
      </c>
      <c r="Q2084" s="18" t="s">
        <v>9960</v>
      </c>
      <c r="R2084" s="18" t="s">
        <v>9979</v>
      </c>
      <c r="S2084" s="17" t="s">
        <v>9965</v>
      </c>
      <c r="T2084" s="18" t="s">
        <v>9980</v>
      </c>
      <c r="U2084" s="19"/>
      <c r="V2084" s="18" t="s">
        <v>9981</v>
      </c>
      <c r="W2084" s="17" t="s">
        <v>383</v>
      </c>
      <c r="X2084" s="17" t="s">
        <v>9964</v>
      </c>
      <c r="Y2084" s="17" t="s">
        <v>242</v>
      </c>
      <c r="Z2084" s="19"/>
      <c r="AA2084" s="19"/>
      <c r="AB2084" s="17"/>
      <c r="AC2084" s="19"/>
    </row>
    <row r="2085" customFormat="false" ht="32.8" hidden="false" customHeight="false" outlineLevel="0" collapsed="false">
      <c r="A2085" s="10" t="s">
        <v>9982</v>
      </c>
      <c r="B2085" s="17" t="s">
        <v>200</v>
      </c>
      <c r="C2085" s="18" t="s">
        <v>201</v>
      </c>
      <c r="D2085" s="17" t="s">
        <v>19</v>
      </c>
      <c r="E2085" s="17" t="s">
        <v>75</v>
      </c>
      <c r="F2085" s="17" t="s">
        <v>7069</v>
      </c>
      <c r="G2085" s="17" t="s">
        <v>177</v>
      </c>
      <c r="H2085" s="17" t="s">
        <v>35</v>
      </c>
      <c r="I2085" s="17" t="s">
        <v>333</v>
      </c>
      <c r="J2085" s="17" t="s">
        <v>233</v>
      </c>
      <c r="K2085" s="19"/>
      <c r="L2085" s="19"/>
      <c r="M2085" s="19"/>
      <c r="N2085" s="19"/>
      <c r="O2085" s="17" t="n">
        <v>4</v>
      </c>
      <c r="P2085" s="18" t="s">
        <v>9959</v>
      </c>
      <c r="Q2085" s="18" t="s">
        <v>9960</v>
      </c>
      <c r="R2085" s="18" t="s">
        <v>9983</v>
      </c>
      <c r="S2085" s="17" t="s">
        <v>9984</v>
      </c>
      <c r="T2085" s="18" t="s">
        <v>9985</v>
      </c>
      <c r="U2085" s="19"/>
      <c r="V2085" s="18" t="s">
        <v>9986</v>
      </c>
      <c r="W2085" s="17" t="s">
        <v>240</v>
      </c>
      <c r="X2085" s="17" t="s">
        <v>9964</v>
      </c>
      <c r="Y2085" s="17" t="s">
        <v>242</v>
      </c>
      <c r="Z2085" s="19"/>
      <c r="AA2085" s="19"/>
      <c r="AB2085" s="17"/>
      <c r="AC2085" s="19"/>
    </row>
    <row r="2086" customFormat="false" ht="32.8" hidden="false" customHeight="false" outlineLevel="0" collapsed="false">
      <c r="A2086" s="10" t="s">
        <v>9987</v>
      </c>
      <c r="B2086" s="17" t="s">
        <v>200</v>
      </c>
      <c r="C2086" s="18" t="s">
        <v>201</v>
      </c>
      <c r="D2086" s="17" t="s">
        <v>19</v>
      </c>
      <c r="E2086" s="17" t="s">
        <v>75</v>
      </c>
      <c r="F2086" s="17" t="s">
        <v>7069</v>
      </c>
      <c r="G2086" s="17" t="s">
        <v>177</v>
      </c>
      <c r="H2086" s="17" t="s">
        <v>35</v>
      </c>
      <c r="I2086" s="17" t="s">
        <v>1028</v>
      </c>
      <c r="J2086" s="17" t="s">
        <v>233</v>
      </c>
      <c r="K2086" s="19"/>
      <c r="L2086" s="19"/>
      <c r="M2086" s="19"/>
      <c r="N2086" s="19"/>
      <c r="O2086" s="17" t="n">
        <v>3</v>
      </c>
      <c r="P2086" s="18" t="s">
        <v>9959</v>
      </c>
      <c r="Q2086" s="18" t="s">
        <v>9988</v>
      </c>
      <c r="R2086" s="18" t="s">
        <v>9989</v>
      </c>
      <c r="S2086" s="17" t="s">
        <v>9990</v>
      </c>
      <c r="T2086" s="18" t="s">
        <v>9991</v>
      </c>
      <c r="U2086" s="19"/>
      <c r="V2086" s="18" t="s">
        <v>9992</v>
      </c>
      <c r="W2086" s="17" t="s">
        <v>240</v>
      </c>
      <c r="X2086" s="17" t="s">
        <v>9964</v>
      </c>
      <c r="Y2086" s="17" t="s">
        <v>242</v>
      </c>
      <c r="Z2086" s="19"/>
      <c r="AA2086" s="19"/>
      <c r="AB2086" s="17" t="s">
        <v>1681</v>
      </c>
      <c r="AC2086" s="19"/>
    </row>
    <row r="2087" customFormat="false" ht="43.25" hidden="false" customHeight="false" outlineLevel="0" collapsed="false">
      <c r="A2087" s="10" t="s">
        <v>9993</v>
      </c>
      <c r="B2087" s="17" t="s">
        <v>200</v>
      </c>
      <c r="C2087" s="18" t="s">
        <v>201</v>
      </c>
      <c r="D2087" s="17" t="s">
        <v>19</v>
      </c>
      <c r="E2087" s="17" t="s">
        <v>75</v>
      </c>
      <c r="F2087" s="17" t="s">
        <v>7069</v>
      </c>
      <c r="G2087" s="17" t="s">
        <v>177</v>
      </c>
      <c r="H2087" s="17" t="s">
        <v>35</v>
      </c>
      <c r="I2087" s="17" t="s">
        <v>1028</v>
      </c>
      <c r="J2087" s="17" t="s">
        <v>233</v>
      </c>
      <c r="K2087" s="19"/>
      <c r="L2087" s="19"/>
      <c r="M2087" s="19"/>
      <c r="N2087" s="19"/>
      <c r="O2087" s="17" t="n">
        <v>2</v>
      </c>
      <c r="P2087" s="18" t="s">
        <v>9959</v>
      </c>
      <c r="Q2087" s="18" t="s">
        <v>9988</v>
      </c>
      <c r="R2087" s="18" t="s">
        <v>9994</v>
      </c>
      <c r="S2087" s="17" t="s">
        <v>237</v>
      </c>
      <c r="T2087" s="18" t="s">
        <v>9995</v>
      </c>
      <c r="U2087" s="19"/>
      <c r="V2087" s="18" t="s">
        <v>9996</v>
      </c>
      <c r="W2087" s="17" t="s">
        <v>240</v>
      </c>
      <c r="X2087" s="17" t="s">
        <v>9964</v>
      </c>
      <c r="Y2087" s="17" t="s">
        <v>242</v>
      </c>
      <c r="Z2087" s="19"/>
      <c r="AA2087" s="19"/>
      <c r="AB2087" s="17"/>
      <c r="AC2087" s="19"/>
    </row>
    <row r="2088" customFormat="false" ht="32.8" hidden="false" customHeight="false" outlineLevel="0" collapsed="false">
      <c r="A2088" s="10" t="s">
        <v>9997</v>
      </c>
      <c r="B2088" s="17" t="s">
        <v>200</v>
      </c>
      <c r="C2088" s="18" t="s">
        <v>201</v>
      </c>
      <c r="D2088" s="17" t="s">
        <v>19</v>
      </c>
      <c r="E2088" s="17" t="s">
        <v>75</v>
      </c>
      <c r="F2088" s="17" t="s">
        <v>7069</v>
      </c>
      <c r="G2088" s="17" t="s">
        <v>177</v>
      </c>
      <c r="H2088" s="17" t="s">
        <v>35</v>
      </c>
      <c r="I2088" s="17" t="s">
        <v>1028</v>
      </c>
      <c r="J2088" s="17" t="s">
        <v>233</v>
      </c>
      <c r="K2088" s="19"/>
      <c r="L2088" s="19"/>
      <c r="M2088" s="19"/>
      <c r="N2088" s="19"/>
      <c r="O2088" s="17" t="n">
        <v>3</v>
      </c>
      <c r="P2088" s="18" t="s">
        <v>9959</v>
      </c>
      <c r="Q2088" s="18" t="s">
        <v>9988</v>
      </c>
      <c r="R2088" s="18" t="s">
        <v>9998</v>
      </c>
      <c r="S2088" s="17" t="s">
        <v>9993</v>
      </c>
      <c r="T2088" s="18" t="s">
        <v>9999</v>
      </c>
      <c r="U2088" s="19"/>
      <c r="V2088" s="18" t="s">
        <v>10000</v>
      </c>
      <c r="W2088" s="17" t="s">
        <v>240</v>
      </c>
      <c r="X2088" s="17" t="s">
        <v>9964</v>
      </c>
      <c r="Y2088" s="17" t="s">
        <v>242</v>
      </c>
      <c r="Z2088" s="19"/>
      <c r="AA2088" s="19"/>
      <c r="AB2088" s="17"/>
      <c r="AC2088" s="19"/>
    </row>
    <row r="2089" customFormat="false" ht="32.8" hidden="false" customHeight="false" outlineLevel="0" collapsed="false">
      <c r="A2089" s="10" t="s">
        <v>10001</v>
      </c>
      <c r="B2089" s="17" t="s">
        <v>200</v>
      </c>
      <c r="C2089" s="18" t="s">
        <v>201</v>
      </c>
      <c r="D2089" s="17" t="s">
        <v>19</v>
      </c>
      <c r="E2089" s="17" t="s">
        <v>75</v>
      </c>
      <c r="F2089" s="17" t="s">
        <v>7069</v>
      </c>
      <c r="G2089" s="17" t="s">
        <v>177</v>
      </c>
      <c r="H2089" s="17" t="s">
        <v>35</v>
      </c>
      <c r="I2089" s="17" t="s">
        <v>289</v>
      </c>
      <c r="J2089" s="17" t="s">
        <v>233</v>
      </c>
      <c r="K2089" s="19"/>
      <c r="L2089" s="19"/>
      <c r="M2089" s="19"/>
      <c r="N2089" s="19"/>
      <c r="O2089" s="17" t="n">
        <v>3</v>
      </c>
      <c r="P2089" s="18" t="s">
        <v>9959</v>
      </c>
      <c r="Q2089" s="18" t="s">
        <v>9988</v>
      </c>
      <c r="R2089" s="18" t="s">
        <v>10002</v>
      </c>
      <c r="S2089" s="17" t="s">
        <v>10003</v>
      </c>
      <c r="T2089" s="18" t="s">
        <v>10004</v>
      </c>
      <c r="U2089" s="19"/>
      <c r="V2089" s="18" t="s">
        <v>10005</v>
      </c>
      <c r="W2089" s="17" t="s">
        <v>240</v>
      </c>
      <c r="X2089" s="17" t="s">
        <v>9964</v>
      </c>
      <c r="Y2089" s="17" t="s">
        <v>242</v>
      </c>
      <c r="Z2089" s="19"/>
      <c r="AA2089" s="19"/>
      <c r="AB2089" s="17"/>
      <c r="AC2089" s="19"/>
    </row>
    <row r="2090" customFormat="false" ht="32.8" hidden="false" customHeight="false" outlineLevel="0" collapsed="false">
      <c r="A2090" s="10" t="s">
        <v>10006</v>
      </c>
      <c r="B2090" s="17" t="s">
        <v>200</v>
      </c>
      <c r="C2090" s="18" t="s">
        <v>201</v>
      </c>
      <c r="D2090" s="17" t="s">
        <v>19</v>
      </c>
      <c r="E2090" s="17" t="s">
        <v>75</v>
      </c>
      <c r="F2090" s="17" t="s">
        <v>7069</v>
      </c>
      <c r="G2090" s="17" t="s">
        <v>177</v>
      </c>
      <c r="H2090" s="17" t="s">
        <v>35</v>
      </c>
      <c r="I2090" s="17" t="s">
        <v>1028</v>
      </c>
      <c r="J2090" s="17" t="s">
        <v>233</v>
      </c>
      <c r="K2090" s="19"/>
      <c r="L2090" s="19"/>
      <c r="M2090" s="19"/>
      <c r="N2090" s="19"/>
      <c r="O2090" s="17" t="n">
        <v>3</v>
      </c>
      <c r="P2090" s="18" t="s">
        <v>9959</v>
      </c>
      <c r="Q2090" s="18" t="s">
        <v>9988</v>
      </c>
      <c r="R2090" s="18" t="s">
        <v>10007</v>
      </c>
      <c r="S2090" s="17" t="s">
        <v>9987</v>
      </c>
      <c r="T2090" s="18" t="s">
        <v>10008</v>
      </c>
      <c r="U2090" s="19"/>
      <c r="V2090" s="18" t="s">
        <v>10009</v>
      </c>
      <c r="W2090" s="17" t="s">
        <v>240</v>
      </c>
      <c r="X2090" s="17" t="s">
        <v>9964</v>
      </c>
      <c r="Y2090" s="17" t="s">
        <v>242</v>
      </c>
      <c r="Z2090" s="19"/>
      <c r="AA2090" s="19"/>
      <c r="AB2090" s="17"/>
      <c r="AC2090" s="19"/>
    </row>
    <row r="2091" customFormat="false" ht="22.35" hidden="false" customHeight="false" outlineLevel="0" collapsed="false">
      <c r="A2091" s="10" t="s">
        <v>10010</v>
      </c>
      <c r="B2091" s="17" t="s">
        <v>200</v>
      </c>
      <c r="C2091" s="18" t="s">
        <v>201</v>
      </c>
      <c r="D2091" s="17" t="s">
        <v>19</v>
      </c>
      <c r="E2091" s="17" t="s">
        <v>75</v>
      </c>
      <c r="F2091" s="17" t="s">
        <v>7069</v>
      </c>
      <c r="G2091" s="17" t="s">
        <v>177</v>
      </c>
      <c r="H2091" s="17" t="s">
        <v>35</v>
      </c>
      <c r="I2091" s="17" t="s">
        <v>1028</v>
      </c>
      <c r="J2091" s="17" t="s">
        <v>233</v>
      </c>
      <c r="K2091" s="19"/>
      <c r="L2091" s="19"/>
      <c r="M2091" s="19"/>
      <c r="N2091" s="19"/>
      <c r="O2091" s="17" t="n">
        <v>5</v>
      </c>
      <c r="P2091" s="18" t="s">
        <v>9959</v>
      </c>
      <c r="Q2091" s="18" t="s">
        <v>9988</v>
      </c>
      <c r="R2091" s="18" t="s">
        <v>10011</v>
      </c>
      <c r="S2091" s="17" t="s">
        <v>10006</v>
      </c>
      <c r="T2091" s="18" t="s">
        <v>9570</v>
      </c>
      <c r="U2091" s="19"/>
      <c r="V2091" s="18" t="s">
        <v>4226</v>
      </c>
      <c r="W2091" s="17" t="s">
        <v>240</v>
      </c>
      <c r="X2091" s="17" t="s">
        <v>9964</v>
      </c>
      <c r="Y2091" s="17" t="s">
        <v>242</v>
      </c>
      <c r="Z2091" s="19"/>
      <c r="AA2091" s="19"/>
      <c r="AB2091" s="17"/>
      <c r="AC2091" s="19"/>
    </row>
    <row r="2092" customFormat="false" ht="22.35" hidden="false" customHeight="false" outlineLevel="0" collapsed="false">
      <c r="A2092" s="10" t="s">
        <v>10012</v>
      </c>
      <c r="B2092" s="17" t="s">
        <v>147</v>
      </c>
      <c r="C2092" s="18" t="s">
        <v>148</v>
      </c>
      <c r="D2092" s="17" t="s">
        <v>19</v>
      </c>
      <c r="E2092" s="17" t="s">
        <v>75</v>
      </c>
      <c r="F2092" s="17" t="s">
        <v>7069</v>
      </c>
      <c r="G2092" s="17" t="s">
        <v>149</v>
      </c>
      <c r="H2092" s="17" t="s">
        <v>35</v>
      </c>
      <c r="I2092" s="17" t="s">
        <v>1028</v>
      </c>
      <c r="J2092" s="17" t="s">
        <v>233</v>
      </c>
      <c r="K2092" s="19"/>
      <c r="L2092" s="19"/>
      <c r="M2092" s="19"/>
      <c r="N2092" s="19"/>
      <c r="O2092" s="17" t="n">
        <v>1</v>
      </c>
      <c r="P2092" s="18" t="s">
        <v>10013</v>
      </c>
      <c r="Q2092" s="18" t="s">
        <v>10014</v>
      </c>
      <c r="R2092" s="18" t="s">
        <v>10015</v>
      </c>
      <c r="S2092" s="17" t="s">
        <v>7140</v>
      </c>
      <c r="T2092" s="18" t="s">
        <v>10016</v>
      </c>
      <c r="U2092" s="19"/>
      <c r="V2092" s="18" t="s">
        <v>10017</v>
      </c>
      <c r="W2092" s="17" t="s">
        <v>240</v>
      </c>
      <c r="X2092" s="17" t="s">
        <v>10018</v>
      </c>
      <c r="Y2092" s="17" t="s">
        <v>242</v>
      </c>
      <c r="Z2092" s="19"/>
      <c r="AA2092" s="19"/>
      <c r="AB2092" s="17"/>
      <c r="AC2092" s="19"/>
    </row>
    <row r="2093" customFormat="false" ht="22.35" hidden="false" customHeight="false" outlineLevel="0" collapsed="false">
      <c r="A2093" s="10" t="s">
        <v>10019</v>
      </c>
      <c r="B2093" s="17" t="s">
        <v>147</v>
      </c>
      <c r="C2093" s="18" t="s">
        <v>148</v>
      </c>
      <c r="D2093" s="17" t="s">
        <v>19</v>
      </c>
      <c r="E2093" s="17" t="s">
        <v>75</v>
      </c>
      <c r="F2093" s="17" t="s">
        <v>7069</v>
      </c>
      <c r="G2093" s="17" t="s">
        <v>149</v>
      </c>
      <c r="H2093" s="17" t="s">
        <v>35</v>
      </c>
      <c r="I2093" s="17" t="s">
        <v>1028</v>
      </c>
      <c r="J2093" s="17" t="s">
        <v>233</v>
      </c>
      <c r="K2093" s="19"/>
      <c r="L2093" s="19"/>
      <c r="M2093" s="19"/>
      <c r="N2093" s="19"/>
      <c r="O2093" s="17" t="n">
        <v>1</v>
      </c>
      <c r="P2093" s="18" t="s">
        <v>10013</v>
      </c>
      <c r="Q2093" s="18" t="s">
        <v>10014</v>
      </c>
      <c r="R2093" s="18" t="s">
        <v>10020</v>
      </c>
      <c r="S2093" s="17" t="s">
        <v>10012</v>
      </c>
      <c r="T2093" s="18" t="s">
        <v>10021</v>
      </c>
      <c r="U2093" s="19"/>
      <c r="V2093" s="18" t="s">
        <v>10022</v>
      </c>
      <c r="W2093" s="17" t="s">
        <v>240</v>
      </c>
      <c r="X2093" s="17" t="s">
        <v>10018</v>
      </c>
      <c r="Y2093" s="17" t="s">
        <v>242</v>
      </c>
      <c r="Z2093" s="19"/>
      <c r="AA2093" s="19"/>
      <c r="AB2093" s="17"/>
      <c r="AC2093" s="19"/>
    </row>
    <row r="2094" customFormat="false" ht="32.8" hidden="false" customHeight="false" outlineLevel="0" collapsed="false">
      <c r="A2094" s="10" t="s">
        <v>10023</v>
      </c>
      <c r="B2094" s="17" t="s">
        <v>147</v>
      </c>
      <c r="C2094" s="18" t="s">
        <v>148</v>
      </c>
      <c r="D2094" s="17" t="s">
        <v>19</v>
      </c>
      <c r="E2094" s="17" t="s">
        <v>75</v>
      </c>
      <c r="F2094" s="17" t="s">
        <v>7069</v>
      </c>
      <c r="G2094" s="17" t="s">
        <v>149</v>
      </c>
      <c r="H2094" s="17" t="s">
        <v>35</v>
      </c>
      <c r="I2094" s="17" t="s">
        <v>974</v>
      </c>
      <c r="J2094" s="17" t="s">
        <v>233</v>
      </c>
      <c r="K2094" s="19"/>
      <c r="L2094" s="19"/>
      <c r="M2094" s="19"/>
      <c r="N2094" s="19"/>
      <c r="O2094" s="17" t="n">
        <v>3</v>
      </c>
      <c r="P2094" s="18" t="s">
        <v>10013</v>
      </c>
      <c r="Q2094" s="18" t="s">
        <v>10014</v>
      </c>
      <c r="R2094" s="18" t="s">
        <v>10024</v>
      </c>
      <c r="S2094" s="17" t="s">
        <v>10025</v>
      </c>
      <c r="T2094" s="18" t="s">
        <v>10026</v>
      </c>
      <c r="U2094" s="19"/>
      <c r="V2094" s="18" t="s">
        <v>10027</v>
      </c>
      <c r="W2094" s="17" t="s">
        <v>240</v>
      </c>
      <c r="X2094" s="17" t="s">
        <v>10018</v>
      </c>
      <c r="Y2094" s="17" t="s">
        <v>242</v>
      </c>
      <c r="Z2094" s="19"/>
      <c r="AA2094" s="19"/>
      <c r="AB2094" s="17"/>
      <c r="AC2094" s="19"/>
    </row>
    <row r="2095" customFormat="false" ht="32.8" hidden="false" customHeight="false" outlineLevel="0" collapsed="false">
      <c r="A2095" s="10" t="s">
        <v>10028</v>
      </c>
      <c r="B2095" s="17" t="s">
        <v>147</v>
      </c>
      <c r="C2095" s="18" t="s">
        <v>148</v>
      </c>
      <c r="D2095" s="17" t="s">
        <v>19</v>
      </c>
      <c r="E2095" s="17" t="s">
        <v>75</v>
      </c>
      <c r="F2095" s="17" t="s">
        <v>7069</v>
      </c>
      <c r="G2095" s="17" t="s">
        <v>149</v>
      </c>
      <c r="H2095" s="17" t="s">
        <v>35</v>
      </c>
      <c r="I2095" s="17" t="s">
        <v>1028</v>
      </c>
      <c r="J2095" s="17" t="s">
        <v>233</v>
      </c>
      <c r="K2095" s="19"/>
      <c r="L2095" s="19"/>
      <c r="M2095" s="19"/>
      <c r="N2095" s="19"/>
      <c r="O2095" s="17" t="n">
        <v>3</v>
      </c>
      <c r="P2095" s="18" t="s">
        <v>10013</v>
      </c>
      <c r="Q2095" s="18" t="s">
        <v>10014</v>
      </c>
      <c r="R2095" s="18" t="s">
        <v>10029</v>
      </c>
      <c r="S2095" s="17" t="s">
        <v>10023</v>
      </c>
      <c r="T2095" s="18" t="s">
        <v>10030</v>
      </c>
      <c r="U2095" s="19"/>
      <c r="V2095" s="18" t="s">
        <v>10031</v>
      </c>
      <c r="W2095" s="17" t="s">
        <v>240</v>
      </c>
      <c r="X2095" s="17" t="s">
        <v>10018</v>
      </c>
      <c r="Y2095" s="17" t="s">
        <v>242</v>
      </c>
      <c r="Z2095" s="19"/>
      <c r="AA2095" s="19"/>
      <c r="AB2095" s="17"/>
      <c r="AC2095" s="19"/>
    </row>
    <row r="2096" customFormat="false" ht="32.8" hidden="false" customHeight="false" outlineLevel="0" collapsed="false">
      <c r="A2096" s="10" t="s">
        <v>10032</v>
      </c>
      <c r="B2096" s="17" t="s">
        <v>147</v>
      </c>
      <c r="C2096" s="18" t="s">
        <v>148</v>
      </c>
      <c r="D2096" s="17" t="s">
        <v>19</v>
      </c>
      <c r="E2096" s="17" t="s">
        <v>75</v>
      </c>
      <c r="F2096" s="17" t="s">
        <v>7069</v>
      </c>
      <c r="G2096" s="17" t="s">
        <v>149</v>
      </c>
      <c r="H2096" s="17" t="s">
        <v>35</v>
      </c>
      <c r="I2096" s="17" t="s">
        <v>974</v>
      </c>
      <c r="J2096" s="17" t="s">
        <v>233</v>
      </c>
      <c r="K2096" s="19"/>
      <c r="L2096" s="19"/>
      <c r="M2096" s="19"/>
      <c r="N2096" s="19"/>
      <c r="O2096" s="17" t="n">
        <v>3</v>
      </c>
      <c r="P2096" s="18" t="s">
        <v>10013</v>
      </c>
      <c r="Q2096" s="18" t="s">
        <v>10014</v>
      </c>
      <c r="R2096" s="18" t="s">
        <v>10033</v>
      </c>
      <c r="S2096" s="17" t="s">
        <v>10034</v>
      </c>
      <c r="T2096" s="18" t="s">
        <v>10035</v>
      </c>
      <c r="U2096" s="19"/>
      <c r="V2096" s="18" t="s">
        <v>10036</v>
      </c>
      <c r="W2096" s="17" t="s">
        <v>240</v>
      </c>
      <c r="X2096" s="17" t="s">
        <v>10018</v>
      </c>
      <c r="Y2096" s="17" t="s">
        <v>242</v>
      </c>
      <c r="Z2096" s="19"/>
      <c r="AA2096" s="19"/>
      <c r="AB2096" s="17"/>
      <c r="AC2096" s="19"/>
    </row>
    <row r="2097" customFormat="false" ht="32.8" hidden="false" customHeight="false" outlineLevel="0" collapsed="false">
      <c r="A2097" s="10" t="s">
        <v>10037</v>
      </c>
      <c r="B2097" s="17" t="s">
        <v>147</v>
      </c>
      <c r="C2097" s="18" t="s">
        <v>148</v>
      </c>
      <c r="D2097" s="17" t="s">
        <v>19</v>
      </c>
      <c r="E2097" s="17" t="s">
        <v>75</v>
      </c>
      <c r="F2097" s="17" t="s">
        <v>7069</v>
      </c>
      <c r="G2097" s="17" t="s">
        <v>149</v>
      </c>
      <c r="H2097" s="17" t="s">
        <v>35</v>
      </c>
      <c r="I2097" s="17" t="s">
        <v>974</v>
      </c>
      <c r="J2097" s="17" t="s">
        <v>233</v>
      </c>
      <c r="K2097" s="19"/>
      <c r="L2097" s="19"/>
      <c r="M2097" s="19"/>
      <c r="N2097" s="19"/>
      <c r="O2097" s="17" t="n">
        <v>5</v>
      </c>
      <c r="P2097" s="18" t="s">
        <v>10013</v>
      </c>
      <c r="Q2097" s="18" t="s">
        <v>10038</v>
      </c>
      <c r="R2097" s="18" t="s">
        <v>10039</v>
      </c>
      <c r="S2097" s="17" t="s">
        <v>10040</v>
      </c>
      <c r="T2097" s="18" t="s">
        <v>10041</v>
      </c>
      <c r="U2097" s="19"/>
      <c r="V2097" s="18" t="s">
        <v>10042</v>
      </c>
      <c r="W2097" s="17" t="s">
        <v>240</v>
      </c>
      <c r="X2097" s="17" t="s">
        <v>10018</v>
      </c>
      <c r="Y2097" s="17" t="s">
        <v>242</v>
      </c>
      <c r="Z2097" s="19"/>
      <c r="AA2097" s="19"/>
      <c r="AB2097" s="17"/>
      <c r="AC2097" s="19"/>
    </row>
    <row r="2098" customFormat="false" ht="32.8" hidden="false" customHeight="false" outlineLevel="0" collapsed="false">
      <c r="A2098" s="10" t="s">
        <v>10043</v>
      </c>
      <c r="B2098" s="17" t="s">
        <v>147</v>
      </c>
      <c r="C2098" s="18" t="s">
        <v>148</v>
      </c>
      <c r="D2098" s="17" t="s">
        <v>19</v>
      </c>
      <c r="E2098" s="17" t="s">
        <v>75</v>
      </c>
      <c r="F2098" s="17" t="s">
        <v>7069</v>
      </c>
      <c r="G2098" s="17" t="s">
        <v>149</v>
      </c>
      <c r="H2098" s="17" t="s">
        <v>35</v>
      </c>
      <c r="I2098" s="17" t="s">
        <v>1028</v>
      </c>
      <c r="J2098" s="17" t="s">
        <v>233</v>
      </c>
      <c r="K2098" s="19"/>
      <c r="L2098" s="19"/>
      <c r="M2098" s="19"/>
      <c r="N2098" s="19"/>
      <c r="O2098" s="17" t="n">
        <v>5</v>
      </c>
      <c r="P2098" s="18" t="s">
        <v>10013</v>
      </c>
      <c r="Q2098" s="18" t="s">
        <v>10038</v>
      </c>
      <c r="R2098" s="18" t="s">
        <v>10044</v>
      </c>
      <c r="S2098" s="17" t="s">
        <v>10045</v>
      </c>
      <c r="T2098" s="18" t="s">
        <v>10046</v>
      </c>
      <c r="U2098" s="19"/>
      <c r="V2098" s="18" t="s">
        <v>10047</v>
      </c>
      <c r="W2098" s="17" t="s">
        <v>240</v>
      </c>
      <c r="X2098" s="17" t="s">
        <v>10018</v>
      </c>
      <c r="Y2098" s="17" t="s">
        <v>242</v>
      </c>
      <c r="Z2098" s="19"/>
      <c r="AA2098" s="19"/>
      <c r="AB2098" s="17"/>
      <c r="AC2098" s="19"/>
    </row>
    <row r="2099" customFormat="false" ht="32.8" hidden="false" customHeight="false" outlineLevel="0" collapsed="false">
      <c r="A2099" s="10" t="s">
        <v>10048</v>
      </c>
      <c r="B2099" s="17" t="s">
        <v>147</v>
      </c>
      <c r="C2099" s="18" t="s">
        <v>148</v>
      </c>
      <c r="D2099" s="17" t="s">
        <v>19</v>
      </c>
      <c r="E2099" s="17" t="s">
        <v>75</v>
      </c>
      <c r="F2099" s="17" t="s">
        <v>7069</v>
      </c>
      <c r="G2099" s="17" t="s">
        <v>149</v>
      </c>
      <c r="H2099" s="17" t="s">
        <v>35</v>
      </c>
      <c r="I2099" s="17" t="s">
        <v>1028</v>
      </c>
      <c r="J2099" s="17" t="s">
        <v>233</v>
      </c>
      <c r="K2099" s="19"/>
      <c r="L2099" s="19"/>
      <c r="M2099" s="19"/>
      <c r="N2099" s="19"/>
      <c r="O2099" s="17" t="n">
        <v>5</v>
      </c>
      <c r="P2099" s="18" t="s">
        <v>10013</v>
      </c>
      <c r="Q2099" s="18" t="s">
        <v>10038</v>
      </c>
      <c r="R2099" s="18" t="s">
        <v>10049</v>
      </c>
      <c r="S2099" s="17" t="s">
        <v>10050</v>
      </c>
      <c r="T2099" s="18" t="s">
        <v>10051</v>
      </c>
      <c r="U2099" s="19"/>
      <c r="V2099" s="18" t="s">
        <v>10052</v>
      </c>
      <c r="W2099" s="17" t="s">
        <v>240</v>
      </c>
      <c r="X2099" s="17" t="s">
        <v>10018</v>
      </c>
      <c r="Y2099" s="17" t="s">
        <v>242</v>
      </c>
      <c r="Z2099" s="19"/>
      <c r="AA2099" s="19"/>
      <c r="AB2099" s="17"/>
      <c r="AC2099" s="19"/>
    </row>
    <row r="2100" customFormat="false" ht="22.35" hidden="false" customHeight="false" outlineLevel="0" collapsed="false">
      <c r="A2100" s="10" t="s">
        <v>10053</v>
      </c>
      <c r="B2100" s="17" t="s">
        <v>147</v>
      </c>
      <c r="C2100" s="18" t="s">
        <v>148</v>
      </c>
      <c r="D2100" s="17" t="s">
        <v>19</v>
      </c>
      <c r="E2100" s="17" t="s">
        <v>75</v>
      </c>
      <c r="F2100" s="17" t="s">
        <v>7069</v>
      </c>
      <c r="G2100" s="17" t="s">
        <v>149</v>
      </c>
      <c r="H2100" s="17" t="s">
        <v>35</v>
      </c>
      <c r="I2100" s="17" t="s">
        <v>1028</v>
      </c>
      <c r="J2100" s="17" t="s">
        <v>233</v>
      </c>
      <c r="K2100" s="19"/>
      <c r="L2100" s="19"/>
      <c r="M2100" s="19"/>
      <c r="N2100" s="19"/>
      <c r="O2100" s="17" t="n">
        <v>5</v>
      </c>
      <c r="P2100" s="18" t="s">
        <v>10013</v>
      </c>
      <c r="Q2100" s="18" t="s">
        <v>10038</v>
      </c>
      <c r="R2100" s="18" t="s">
        <v>10054</v>
      </c>
      <c r="S2100" s="17" t="s">
        <v>10048</v>
      </c>
      <c r="T2100" s="18" t="s">
        <v>9570</v>
      </c>
      <c r="U2100" s="19"/>
      <c r="V2100" s="18" t="s">
        <v>4226</v>
      </c>
      <c r="W2100" s="17" t="s">
        <v>240</v>
      </c>
      <c r="X2100" s="17" t="s">
        <v>10018</v>
      </c>
      <c r="Y2100" s="17" t="s">
        <v>242</v>
      </c>
      <c r="Z2100" s="19"/>
      <c r="AA2100" s="19"/>
      <c r="AB2100" s="17"/>
      <c r="AC2100" s="19"/>
    </row>
    <row r="2101" customFormat="false" ht="32.8" hidden="false" customHeight="false" outlineLevel="0" collapsed="false">
      <c r="A2101" s="10" t="s">
        <v>10055</v>
      </c>
      <c r="B2101" s="17" t="s">
        <v>159</v>
      </c>
      <c r="C2101" s="18" t="s">
        <v>160</v>
      </c>
      <c r="D2101" s="17" t="s">
        <v>19</v>
      </c>
      <c r="E2101" s="17" t="s">
        <v>75</v>
      </c>
      <c r="F2101" s="17" t="s">
        <v>5996</v>
      </c>
      <c r="G2101" s="17" t="s">
        <v>161</v>
      </c>
      <c r="H2101" s="17" t="s">
        <v>34</v>
      </c>
      <c r="I2101" s="17" t="s">
        <v>1028</v>
      </c>
      <c r="J2101" s="17" t="s">
        <v>233</v>
      </c>
      <c r="K2101" s="19"/>
      <c r="L2101" s="19"/>
      <c r="M2101" s="19"/>
      <c r="N2101" s="19"/>
      <c r="O2101" s="17" t="n">
        <v>4</v>
      </c>
      <c r="P2101" s="18" t="s">
        <v>10056</v>
      </c>
      <c r="Q2101" s="18" t="s">
        <v>10057</v>
      </c>
      <c r="R2101" s="18" t="s">
        <v>10058</v>
      </c>
      <c r="S2101" s="17" t="s">
        <v>7293</v>
      </c>
      <c r="T2101" s="18" t="s">
        <v>10059</v>
      </c>
      <c r="U2101" s="19"/>
      <c r="V2101" s="18" t="s">
        <v>10060</v>
      </c>
      <c r="W2101" s="17" t="s">
        <v>240</v>
      </c>
      <c r="X2101" s="17" t="s">
        <v>10061</v>
      </c>
      <c r="Y2101" s="17" t="s">
        <v>242</v>
      </c>
      <c r="Z2101" s="19"/>
      <c r="AA2101" s="19"/>
      <c r="AB2101" s="17" t="s">
        <v>1681</v>
      </c>
      <c r="AC2101" s="19"/>
    </row>
    <row r="2102" customFormat="false" ht="43.25" hidden="false" customHeight="false" outlineLevel="0" collapsed="false">
      <c r="A2102" s="10" t="s">
        <v>10062</v>
      </c>
      <c r="B2102" s="17" t="s">
        <v>159</v>
      </c>
      <c r="C2102" s="18" t="s">
        <v>160</v>
      </c>
      <c r="D2102" s="17" t="s">
        <v>19</v>
      </c>
      <c r="E2102" s="17" t="s">
        <v>75</v>
      </c>
      <c r="F2102" s="17" t="s">
        <v>5996</v>
      </c>
      <c r="G2102" s="17" t="s">
        <v>161</v>
      </c>
      <c r="H2102" s="17" t="s">
        <v>34</v>
      </c>
      <c r="I2102" s="17" t="s">
        <v>1028</v>
      </c>
      <c r="J2102" s="17" t="s">
        <v>233</v>
      </c>
      <c r="K2102" s="19"/>
      <c r="L2102" s="19"/>
      <c r="M2102" s="19"/>
      <c r="N2102" s="19"/>
      <c r="O2102" s="17" t="n">
        <v>5</v>
      </c>
      <c r="P2102" s="18" t="s">
        <v>10056</v>
      </c>
      <c r="Q2102" s="18" t="s">
        <v>10057</v>
      </c>
      <c r="R2102" s="18" t="s">
        <v>10063</v>
      </c>
      <c r="S2102" s="17" t="s">
        <v>10064</v>
      </c>
      <c r="T2102" s="18" t="s">
        <v>10065</v>
      </c>
      <c r="U2102" s="19"/>
      <c r="V2102" s="18" t="s">
        <v>10066</v>
      </c>
      <c r="W2102" s="17" t="s">
        <v>240</v>
      </c>
      <c r="X2102" s="17" t="s">
        <v>10061</v>
      </c>
      <c r="Y2102" s="17" t="s">
        <v>242</v>
      </c>
      <c r="Z2102" s="19"/>
      <c r="AA2102" s="19"/>
      <c r="AB2102" s="17"/>
      <c r="AC2102" s="19"/>
    </row>
    <row r="2103" customFormat="false" ht="32.8" hidden="false" customHeight="false" outlineLevel="0" collapsed="false">
      <c r="A2103" s="10" t="s">
        <v>10067</v>
      </c>
      <c r="B2103" s="17" t="s">
        <v>159</v>
      </c>
      <c r="C2103" s="18" t="s">
        <v>160</v>
      </c>
      <c r="D2103" s="17" t="s">
        <v>19</v>
      </c>
      <c r="E2103" s="17" t="s">
        <v>75</v>
      </c>
      <c r="F2103" s="17" t="s">
        <v>5996</v>
      </c>
      <c r="G2103" s="17" t="s">
        <v>161</v>
      </c>
      <c r="H2103" s="17" t="s">
        <v>34</v>
      </c>
      <c r="I2103" s="17" t="s">
        <v>289</v>
      </c>
      <c r="J2103" s="17" t="s">
        <v>233</v>
      </c>
      <c r="K2103" s="19"/>
      <c r="L2103" s="19"/>
      <c r="M2103" s="19"/>
      <c r="N2103" s="19"/>
      <c r="O2103" s="17" t="n">
        <v>5</v>
      </c>
      <c r="P2103" s="18" t="s">
        <v>10056</v>
      </c>
      <c r="Q2103" s="18" t="s">
        <v>10057</v>
      </c>
      <c r="R2103" s="18" t="s">
        <v>10068</v>
      </c>
      <c r="S2103" s="17" t="s">
        <v>10069</v>
      </c>
      <c r="T2103" s="18" t="s">
        <v>10070</v>
      </c>
      <c r="U2103" s="19"/>
      <c r="V2103" s="18" t="s">
        <v>10071</v>
      </c>
      <c r="W2103" s="17" t="s">
        <v>240</v>
      </c>
      <c r="X2103" s="17" t="s">
        <v>10061</v>
      </c>
      <c r="Y2103" s="17" t="s">
        <v>242</v>
      </c>
      <c r="Z2103" s="19"/>
      <c r="AA2103" s="19"/>
      <c r="AB2103" s="17"/>
      <c r="AC2103" s="19"/>
    </row>
    <row r="2104" customFormat="false" ht="32.8" hidden="false" customHeight="false" outlineLevel="0" collapsed="false">
      <c r="A2104" s="10" t="s">
        <v>10072</v>
      </c>
      <c r="B2104" s="17" t="s">
        <v>159</v>
      </c>
      <c r="C2104" s="18" t="s">
        <v>160</v>
      </c>
      <c r="D2104" s="17" t="s">
        <v>19</v>
      </c>
      <c r="E2104" s="17" t="s">
        <v>75</v>
      </c>
      <c r="F2104" s="17" t="s">
        <v>5996</v>
      </c>
      <c r="G2104" s="17" t="s">
        <v>161</v>
      </c>
      <c r="H2104" s="17" t="s">
        <v>34</v>
      </c>
      <c r="I2104" s="17" t="s">
        <v>1028</v>
      </c>
      <c r="J2104" s="17" t="s">
        <v>233</v>
      </c>
      <c r="K2104" s="19"/>
      <c r="L2104" s="19"/>
      <c r="M2104" s="19"/>
      <c r="N2104" s="19"/>
      <c r="O2104" s="17" t="n">
        <v>5</v>
      </c>
      <c r="P2104" s="18" t="s">
        <v>10056</v>
      </c>
      <c r="Q2104" s="18" t="s">
        <v>10057</v>
      </c>
      <c r="R2104" s="18" t="s">
        <v>10073</v>
      </c>
      <c r="S2104" s="17" t="s">
        <v>10074</v>
      </c>
      <c r="T2104" s="18" t="s">
        <v>10075</v>
      </c>
      <c r="U2104" s="19"/>
      <c r="V2104" s="18" t="s">
        <v>10076</v>
      </c>
      <c r="W2104" s="17" t="s">
        <v>240</v>
      </c>
      <c r="X2104" s="17" t="s">
        <v>10061</v>
      </c>
      <c r="Y2104" s="17" t="s">
        <v>242</v>
      </c>
      <c r="Z2104" s="19"/>
      <c r="AA2104" s="19"/>
      <c r="AB2104" s="17"/>
      <c r="AC2104" s="19"/>
    </row>
    <row r="2105" customFormat="false" ht="32.8" hidden="false" customHeight="false" outlineLevel="0" collapsed="false">
      <c r="A2105" s="10" t="s">
        <v>10077</v>
      </c>
      <c r="B2105" s="17" t="s">
        <v>159</v>
      </c>
      <c r="C2105" s="18" t="s">
        <v>160</v>
      </c>
      <c r="D2105" s="17" t="s">
        <v>19</v>
      </c>
      <c r="E2105" s="17" t="s">
        <v>75</v>
      </c>
      <c r="F2105" s="17" t="s">
        <v>5996</v>
      </c>
      <c r="G2105" s="17" t="s">
        <v>161</v>
      </c>
      <c r="H2105" s="17" t="s">
        <v>34</v>
      </c>
      <c r="I2105" s="17" t="s">
        <v>1028</v>
      </c>
      <c r="J2105" s="17" t="s">
        <v>233</v>
      </c>
      <c r="K2105" s="19"/>
      <c r="L2105" s="19"/>
      <c r="M2105" s="19"/>
      <c r="N2105" s="19"/>
      <c r="O2105" s="17" t="n">
        <v>5</v>
      </c>
      <c r="P2105" s="18" t="s">
        <v>10056</v>
      </c>
      <c r="Q2105" s="18" t="s">
        <v>10057</v>
      </c>
      <c r="R2105" s="18" t="s">
        <v>10078</v>
      </c>
      <c r="S2105" s="17" t="s">
        <v>10079</v>
      </c>
      <c r="T2105" s="18" t="s">
        <v>10080</v>
      </c>
      <c r="U2105" s="19"/>
      <c r="V2105" s="18" t="s">
        <v>10081</v>
      </c>
      <c r="W2105" s="17" t="s">
        <v>240</v>
      </c>
      <c r="X2105" s="17" t="s">
        <v>10061</v>
      </c>
      <c r="Y2105" s="17" t="s">
        <v>242</v>
      </c>
      <c r="Z2105" s="19"/>
      <c r="AA2105" s="19"/>
      <c r="AB2105" s="17"/>
      <c r="AC2105" s="19"/>
    </row>
    <row r="2106" customFormat="false" ht="32.8" hidden="false" customHeight="false" outlineLevel="0" collapsed="false">
      <c r="A2106" s="10" t="s">
        <v>10082</v>
      </c>
      <c r="B2106" s="17" t="s">
        <v>159</v>
      </c>
      <c r="C2106" s="18" t="s">
        <v>160</v>
      </c>
      <c r="D2106" s="17" t="s">
        <v>19</v>
      </c>
      <c r="E2106" s="17" t="s">
        <v>75</v>
      </c>
      <c r="F2106" s="17" t="s">
        <v>5996</v>
      </c>
      <c r="G2106" s="17" t="s">
        <v>161</v>
      </c>
      <c r="H2106" s="17" t="s">
        <v>34</v>
      </c>
      <c r="I2106" s="17" t="s">
        <v>1028</v>
      </c>
      <c r="J2106" s="17" t="s">
        <v>233</v>
      </c>
      <c r="K2106" s="19"/>
      <c r="L2106" s="19"/>
      <c r="M2106" s="19"/>
      <c r="N2106" s="19"/>
      <c r="O2106" s="17" t="n">
        <v>5</v>
      </c>
      <c r="P2106" s="18" t="s">
        <v>10056</v>
      </c>
      <c r="Q2106" s="18" t="s">
        <v>10083</v>
      </c>
      <c r="R2106" s="18" t="s">
        <v>10084</v>
      </c>
      <c r="S2106" s="17" t="s">
        <v>10085</v>
      </c>
      <c r="T2106" s="18" t="s">
        <v>10086</v>
      </c>
      <c r="U2106" s="19"/>
      <c r="V2106" s="18" t="s">
        <v>10087</v>
      </c>
      <c r="W2106" s="17" t="s">
        <v>240</v>
      </c>
      <c r="X2106" s="17" t="s">
        <v>10061</v>
      </c>
      <c r="Y2106" s="17" t="s">
        <v>242</v>
      </c>
      <c r="Z2106" s="19"/>
      <c r="AA2106" s="19"/>
      <c r="AB2106" s="17"/>
      <c r="AC2106" s="19"/>
    </row>
    <row r="2107" customFormat="false" ht="43.25" hidden="false" customHeight="false" outlineLevel="0" collapsed="false">
      <c r="A2107" s="10" t="s">
        <v>10088</v>
      </c>
      <c r="B2107" s="17" t="s">
        <v>159</v>
      </c>
      <c r="C2107" s="18" t="s">
        <v>160</v>
      </c>
      <c r="D2107" s="17" t="s">
        <v>19</v>
      </c>
      <c r="E2107" s="17" t="s">
        <v>75</v>
      </c>
      <c r="F2107" s="17" t="s">
        <v>5996</v>
      </c>
      <c r="G2107" s="17" t="s">
        <v>161</v>
      </c>
      <c r="H2107" s="17" t="s">
        <v>34</v>
      </c>
      <c r="I2107" s="17" t="s">
        <v>1028</v>
      </c>
      <c r="J2107" s="17" t="s">
        <v>233</v>
      </c>
      <c r="K2107" s="19"/>
      <c r="L2107" s="19"/>
      <c r="M2107" s="19"/>
      <c r="N2107" s="19"/>
      <c r="O2107" s="17" t="n">
        <v>5</v>
      </c>
      <c r="P2107" s="18" t="s">
        <v>10056</v>
      </c>
      <c r="Q2107" s="18" t="s">
        <v>10083</v>
      </c>
      <c r="R2107" s="18" t="s">
        <v>10089</v>
      </c>
      <c r="S2107" s="17" t="s">
        <v>10082</v>
      </c>
      <c r="T2107" s="18" t="s">
        <v>10090</v>
      </c>
      <c r="U2107" s="19"/>
      <c r="V2107" s="18" t="s">
        <v>10091</v>
      </c>
      <c r="W2107" s="17" t="s">
        <v>240</v>
      </c>
      <c r="X2107" s="17" t="s">
        <v>10061</v>
      </c>
      <c r="Y2107" s="17" t="s">
        <v>242</v>
      </c>
      <c r="Z2107" s="19"/>
      <c r="AA2107" s="19"/>
      <c r="AB2107" s="17"/>
      <c r="AC2107" s="19"/>
    </row>
    <row r="2108" customFormat="false" ht="32.8" hidden="false" customHeight="false" outlineLevel="0" collapsed="false">
      <c r="A2108" s="10" t="s">
        <v>10092</v>
      </c>
      <c r="B2108" s="17" t="s">
        <v>159</v>
      </c>
      <c r="C2108" s="18" t="s">
        <v>160</v>
      </c>
      <c r="D2108" s="17" t="s">
        <v>19</v>
      </c>
      <c r="E2108" s="17" t="s">
        <v>75</v>
      </c>
      <c r="F2108" s="17" t="s">
        <v>5996</v>
      </c>
      <c r="G2108" s="17" t="s">
        <v>161</v>
      </c>
      <c r="H2108" s="17" t="s">
        <v>34</v>
      </c>
      <c r="I2108" s="17" t="s">
        <v>1028</v>
      </c>
      <c r="J2108" s="17" t="s">
        <v>233</v>
      </c>
      <c r="K2108" s="19"/>
      <c r="L2108" s="19"/>
      <c r="M2108" s="19"/>
      <c r="N2108" s="19"/>
      <c r="O2108" s="17" t="n">
        <v>5</v>
      </c>
      <c r="P2108" s="18" t="s">
        <v>10056</v>
      </c>
      <c r="Q2108" s="18" t="s">
        <v>10083</v>
      </c>
      <c r="R2108" s="18" t="s">
        <v>10093</v>
      </c>
      <c r="S2108" s="17" t="s">
        <v>10094</v>
      </c>
      <c r="T2108" s="18" t="s">
        <v>10095</v>
      </c>
      <c r="U2108" s="19"/>
      <c r="V2108" s="18" t="s">
        <v>10096</v>
      </c>
      <c r="W2108" s="17" t="s">
        <v>240</v>
      </c>
      <c r="X2108" s="17" t="s">
        <v>10061</v>
      </c>
      <c r="Y2108" s="17" t="s">
        <v>242</v>
      </c>
      <c r="Z2108" s="19"/>
      <c r="AA2108" s="19"/>
      <c r="AB2108" s="17"/>
      <c r="AC2108" s="19"/>
    </row>
    <row r="2109" customFormat="false" ht="32.8" hidden="false" customHeight="false" outlineLevel="0" collapsed="false">
      <c r="A2109" s="10" t="s">
        <v>10097</v>
      </c>
      <c r="B2109" s="17" t="s">
        <v>159</v>
      </c>
      <c r="C2109" s="18" t="s">
        <v>160</v>
      </c>
      <c r="D2109" s="17" t="s">
        <v>19</v>
      </c>
      <c r="E2109" s="17" t="s">
        <v>75</v>
      </c>
      <c r="F2109" s="17" t="s">
        <v>5996</v>
      </c>
      <c r="G2109" s="17" t="s">
        <v>161</v>
      </c>
      <c r="H2109" s="17" t="s">
        <v>34</v>
      </c>
      <c r="I2109" s="17" t="s">
        <v>1028</v>
      </c>
      <c r="J2109" s="17" t="s">
        <v>233</v>
      </c>
      <c r="K2109" s="19"/>
      <c r="L2109" s="19"/>
      <c r="M2109" s="19"/>
      <c r="N2109" s="19"/>
      <c r="O2109" s="17" t="n">
        <v>5</v>
      </c>
      <c r="P2109" s="18" t="s">
        <v>10056</v>
      </c>
      <c r="Q2109" s="18" t="s">
        <v>10083</v>
      </c>
      <c r="R2109" s="18" t="s">
        <v>10098</v>
      </c>
      <c r="S2109" s="17" t="s">
        <v>10099</v>
      </c>
      <c r="T2109" s="18" t="s">
        <v>10100</v>
      </c>
      <c r="U2109" s="19"/>
      <c r="V2109" s="18" t="s">
        <v>10101</v>
      </c>
      <c r="W2109" s="17" t="s">
        <v>240</v>
      </c>
      <c r="X2109" s="17" t="s">
        <v>10061</v>
      </c>
      <c r="Y2109" s="17" t="s">
        <v>242</v>
      </c>
      <c r="Z2109" s="19"/>
      <c r="AA2109" s="19"/>
      <c r="AB2109" s="17"/>
      <c r="AC2109" s="19"/>
    </row>
    <row r="2110" customFormat="false" ht="32.8" hidden="false" customHeight="false" outlineLevel="0" collapsed="false">
      <c r="A2110" s="10" t="s">
        <v>10102</v>
      </c>
      <c r="B2110" s="17" t="s">
        <v>159</v>
      </c>
      <c r="C2110" s="18" t="s">
        <v>160</v>
      </c>
      <c r="D2110" s="17" t="s">
        <v>19</v>
      </c>
      <c r="E2110" s="17" t="s">
        <v>75</v>
      </c>
      <c r="F2110" s="17" t="s">
        <v>5996</v>
      </c>
      <c r="G2110" s="17" t="s">
        <v>161</v>
      </c>
      <c r="H2110" s="17" t="s">
        <v>34</v>
      </c>
      <c r="I2110" s="17" t="s">
        <v>1028</v>
      </c>
      <c r="J2110" s="17" t="s">
        <v>233</v>
      </c>
      <c r="K2110" s="19"/>
      <c r="L2110" s="19"/>
      <c r="M2110" s="19"/>
      <c r="N2110" s="19"/>
      <c r="O2110" s="17" t="n">
        <v>5</v>
      </c>
      <c r="P2110" s="18" t="s">
        <v>10056</v>
      </c>
      <c r="Q2110" s="18" t="s">
        <v>10083</v>
      </c>
      <c r="R2110" s="18" t="s">
        <v>10103</v>
      </c>
      <c r="S2110" s="17" t="s">
        <v>10097</v>
      </c>
      <c r="T2110" s="18" t="s">
        <v>10104</v>
      </c>
      <c r="U2110" s="19"/>
      <c r="V2110" s="18" t="s">
        <v>10105</v>
      </c>
      <c r="W2110" s="17" t="s">
        <v>240</v>
      </c>
      <c r="X2110" s="17" t="s">
        <v>10061</v>
      </c>
      <c r="Y2110" s="17" t="s">
        <v>242</v>
      </c>
      <c r="Z2110" s="19"/>
      <c r="AA2110" s="19"/>
      <c r="AB2110" s="17"/>
      <c r="AC2110" s="19"/>
    </row>
    <row r="2111" customFormat="false" ht="32.8" hidden="false" customHeight="false" outlineLevel="0" collapsed="false">
      <c r="A2111" s="10" t="s">
        <v>10106</v>
      </c>
      <c r="B2111" s="17" t="s">
        <v>159</v>
      </c>
      <c r="C2111" s="18" t="s">
        <v>160</v>
      </c>
      <c r="D2111" s="17" t="s">
        <v>19</v>
      </c>
      <c r="E2111" s="17" t="s">
        <v>75</v>
      </c>
      <c r="F2111" s="17" t="s">
        <v>5996</v>
      </c>
      <c r="G2111" s="17" t="s">
        <v>161</v>
      </c>
      <c r="H2111" s="17" t="s">
        <v>34</v>
      </c>
      <c r="I2111" s="17" t="s">
        <v>1028</v>
      </c>
      <c r="J2111" s="17" t="s">
        <v>233</v>
      </c>
      <c r="K2111" s="19"/>
      <c r="L2111" s="19"/>
      <c r="M2111" s="19"/>
      <c r="N2111" s="19"/>
      <c r="O2111" s="17" t="n">
        <v>5</v>
      </c>
      <c r="P2111" s="18" t="s">
        <v>10056</v>
      </c>
      <c r="Q2111" s="18" t="s">
        <v>10083</v>
      </c>
      <c r="R2111" s="18" t="s">
        <v>10107</v>
      </c>
      <c r="S2111" s="17" t="s">
        <v>10108</v>
      </c>
      <c r="T2111" s="18" t="s">
        <v>10109</v>
      </c>
      <c r="U2111" s="19"/>
      <c r="V2111" s="18" t="s">
        <v>10110</v>
      </c>
      <c r="W2111" s="17" t="s">
        <v>240</v>
      </c>
      <c r="X2111" s="17" t="s">
        <v>10061</v>
      </c>
      <c r="Y2111" s="17" t="s">
        <v>242</v>
      </c>
      <c r="Z2111" s="19"/>
      <c r="AA2111" s="19"/>
      <c r="AB2111" s="17"/>
      <c r="AC2111" s="19"/>
    </row>
    <row r="2112" customFormat="false" ht="22.35" hidden="false" customHeight="false" outlineLevel="0" collapsed="false">
      <c r="A2112" s="10" t="s">
        <v>10111</v>
      </c>
      <c r="B2112" s="17" t="s">
        <v>159</v>
      </c>
      <c r="C2112" s="18" t="s">
        <v>160</v>
      </c>
      <c r="D2112" s="17" t="s">
        <v>19</v>
      </c>
      <c r="E2112" s="17" t="s">
        <v>75</v>
      </c>
      <c r="F2112" s="17" t="s">
        <v>5996</v>
      </c>
      <c r="G2112" s="17" t="s">
        <v>161</v>
      </c>
      <c r="H2112" s="17" t="s">
        <v>34</v>
      </c>
      <c r="I2112" s="17" t="s">
        <v>1028</v>
      </c>
      <c r="J2112" s="17" t="s">
        <v>233</v>
      </c>
      <c r="K2112" s="19"/>
      <c r="L2112" s="19"/>
      <c r="M2112" s="19"/>
      <c r="N2112" s="19"/>
      <c r="O2112" s="17" t="n">
        <v>5</v>
      </c>
      <c r="P2112" s="18" t="s">
        <v>10056</v>
      </c>
      <c r="Q2112" s="18" t="s">
        <v>10083</v>
      </c>
      <c r="R2112" s="18" t="s">
        <v>10112</v>
      </c>
      <c r="S2112" s="17" t="s">
        <v>10113</v>
      </c>
      <c r="T2112" s="18" t="s">
        <v>9570</v>
      </c>
      <c r="U2112" s="19"/>
      <c r="V2112" s="18" t="s">
        <v>4226</v>
      </c>
      <c r="W2112" s="17" t="s">
        <v>240</v>
      </c>
      <c r="X2112" s="17" t="s">
        <v>10061</v>
      </c>
      <c r="Y2112" s="17" t="s">
        <v>242</v>
      </c>
      <c r="Z2112" s="19"/>
      <c r="AA2112" s="19"/>
      <c r="AB2112" s="17"/>
      <c r="AC2112" s="19"/>
    </row>
    <row r="2113" customFormat="false" ht="32.8" hidden="false" customHeight="false" outlineLevel="0" collapsed="false">
      <c r="A2113" s="10" t="s">
        <v>10114</v>
      </c>
      <c r="B2113" s="17" t="s">
        <v>189</v>
      </c>
      <c r="C2113" s="18" t="s">
        <v>190</v>
      </c>
      <c r="D2113" s="17" t="s">
        <v>19</v>
      </c>
      <c r="E2113" s="17" t="s">
        <v>75</v>
      </c>
      <c r="F2113" s="17" t="s">
        <v>4845</v>
      </c>
      <c r="G2113" s="17" t="s">
        <v>177</v>
      </c>
      <c r="H2113" s="17" t="s">
        <v>30</v>
      </c>
      <c r="I2113" s="17" t="s">
        <v>232</v>
      </c>
      <c r="J2113" s="17" t="s">
        <v>233</v>
      </c>
      <c r="K2113" s="19"/>
      <c r="L2113" s="19"/>
      <c r="M2113" s="19"/>
      <c r="N2113" s="19"/>
      <c r="O2113" s="17" t="n">
        <v>3</v>
      </c>
      <c r="P2113" s="18" t="s">
        <v>10115</v>
      </c>
      <c r="Q2113" s="18" t="s">
        <v>10116</v>
      </c>
      <c r="R2113" s="18" t="s">
        <v>10117</v>
      </c>
      <c r="S2113" s="17" t="s">
        <v>6720</v>
      </c>
      <c r="T2113" s="18" t="s">
        <v>10118</v>
      </c>
      <c r="U2113" s="19"/>
      <c r="V2113" s="18" t="s">
        <v>10119</v>
      </c>
      <c r="W2113" s="17" t="s">
        <v>1217</v>
      </c>
      <c r="X2113" s="17" t="s">
        <v>10120</v>
      </c>
      <c r="Y2113" s="17" t="s">
        <v>242</v>
      </c>
      <c r="Z2113" s="19"/>
      <c r="AA2113" s="19"/>
      <c r="AB2113" s="17"/>
      <c r="AC2113" s="19"/>
    </row>
    <row r="2114" customFormat="false" ht="32.8" hidden="false" customHeight="false" outlineLevel="0" collapsed="false">
      <c r="A2114" s="10" t="s">
        <v>10121</v>
      </c>
      <c r="B2114" s="17" t="s">
        <v>189</v>
      </c>
      <c r="C2114" s="18" t="s">
        <v>190</v>
      </c>
      <c r="D2114" s="17" t="s">
        <v>19</v>
      </c>
      <c r="E2114" s="17" t="s">
        <v>75</v>
      </c>
      <c r="F2114" s="17" t="s">
        <v>4845</v>
      </c>
      <c r="G2114" s="17" t="s">
        <v>177</v>
      </c>
      <c r="H2114" s="17" t="s">
        <v>30</v>
      </c>
      <c r="I2114" s="17" t="s">
        <v>450</v>
      </c>
      <c r="J2114" s="17" t="s">
        <v>233</v>
      </c>
      <c r="K2114" s="19"/>
      <c r="L2114" s="19"/>
      <c r="M2114" s="19"/>
      <c r="N2114" s="19"/>
      <c r="O2114" s="17" t="n">
        <v>3</v>
      </c>
      <c r="P2114" s="18" t="s">
        <v>10115</v>
      </c>
      <c r="Q2114" s="18" t="s">
        <v>10116</v>
      </c>
      <c r="R2114" s="18" t="s">
        <v>10122</v>
      </c>
      <c r="S2114" s="17" t="s">
        <v>10114</v>
      </c>
      <c r="T2114" s="18" t="s">
        <v>10123</v>
      </c>
      <c r="U2114" s="19"/>
      <c r="V2114" s="18" t="s">
        <v>10124</v>
      </c>
      <c r="W2114" s="17" t="s">
        <v>240</v>
      </c>
      <c r="X2114" s="17" t="s">
        <v>10120</v>
      </c>
      <c r="Y2114" s="17" t="s">
        <v>242</v>
      </c>
      <c r="Z2114" s="19"/>
      <c r="AA2114" s="19"/>
      <c r="AB2114" s="17"/>
      <c r="AC2114" s="19"/>
    </row>
    <row r="2115" customFormat="false" ht="32.8" hidden="false" customHeight="false" outlineLevel="0" collapsed="false">
      <c r="A2115" s="10" t="s">
        <v>10125</v>
      </c>
      <c r="B2115" s="17" t="s">
        <v>189</v>
      </c>
      <c r="C2115" s="18" t="s">
        <v>190</v>
      </c>
      <c r="D2115" s="17" t="s">
        <v>19</v>
      </c>
      <c r="E2115" s="17" t="s">
        <v>75</v>
      </c>
      <c r="F2115" s="17" t="s">
        <v>4845</v>
      </c>
      <c r="G2115" s="17" t="s">
        <v>177</v>
      </c>
      <c r="H2115" s="17" t="s">
        <v>30</v>
      </c>
      <c r="I2115" s="17" t="s">
        <v>333</v>
      </c>
      <c r="J2115" s="17" t="s">
        <v>233</v>
      </c>
      <c r="K2115" s="19"/>
      <c r="L2115" s="19"/>
      <c r="M2115" s="19"/>
      <c r="N2115" s="19"/>
      <c r="O2115" s="17" t="n">
        <v>3</v>
      </c>
      <c r="P2115" s="18" t="s">
        <v>10115</v>
      </c>
      <c r="Q2115" s="18" t="s">
        <v>10116</v>
      </c>
      <c r="R2115" s="18" t="s">
        <v>10126</v>
      </c>
      <c r="S2115" s="17" t="s">
        <v>10121</v>
      </c>
      <c r="T2115" s="18" t="s">
        <v>10127</v>
      </c>
      <c r="U2115" s="19"/>
      <c r="V2115" s="18" t="s">
        <v>10128</v>
      </c>
      <c r="W2115" s="17" t="s">
        <v>240</v>
      </c>
      <c r="X2115" s="17" t="s">
        <v>10120</v>
      </c>
      <c r="Y2115" s="17" t="s">
        <v>242</v>
      </c>
      <c r="Z2115" s="19"/>
      <c r="AA2115" s="19"/>
      <c r="AB2115" s="17"/>
      <c r="AC2115" s="19"/>
    </row>
    <row r="2116" customFormat="false" ht="22.35" hidden="false" customHeight="false" outlineLevel="0" collapsed="false">
      <c r="A2116" s="10" t="s">
        <v>10129</v>
      </c>
      <c r="B2116" s="17" t="s">
        <v>189</v>
      </c>
      <c r="C2116" s="18" t="s">
        <v>190</v>
      </c>
      <c r="D2116" s="17" t="s">
        <v>19</v>
      </c>
      <c r="E2116" s="17" t="s">
        <v>75</v>
      </c>
      <c r="F2116" s="17" t="s">
        <v>4845</v>
      </c>
      <c r="G2116" s="17" t="s">
        <v>177</v>
      </c>
      <c r="H2116" s="17" t="s">
        <v>30</v>
      </c>
      <c r="I2116" s="17" t="s">
        <v>289</v>
      </c>
      <c r="J2116" s="17" t="s">
        <v>233</v>
      </c>
      <c r="K2116" s="19"/>
      <c r="L2116" s="19"/>
      <c r="M2116" s="19"/>
      <c r="N2116" s="19"/>
      <c r="O2116" s="17" t="n">
        <v>4</v>
      </c>
      <c r="P2116" s="18" t="s">
        <v>10115</v>
      </c>
      <c r="Q2116" s="18" t="s">
        <v>10116</v>
      </c>
      <c r="R2116" s="18" t="s">
        <v>10130</v>
      </c>
      <c r="S2116" s="17" t="s">
        <v>10121</v>
      </c>
      <c r="T2116" s="18" t="s">
        <v>10131</v>
      </c>
      <c r="U2116" s="19"/>
      <c r="V2116" s="18" t="s">
        <v>10132</v>
      </c>
      <c r="W2116" s="17" t="s">
        <v>240</v>
      </c>
      <c r="X2116" s="17" t="s">
        <v>10120</v>
      </c>
      <c r="Y2116" s="17" t="s">
        <v>242</v>
      </c>
      <c r="Z2116" s="19"/>
      <c r="AA2116" s="19"/>
      <c r="AB2116" s="17"/>
      <c r="AC2116" s="19"/>
    </row>
    <row r="2117" customFormat="false" ht="32.8" hidden="false" customHeight="false" outlineLevel="0" collapsed="false">
      <c r="A2117" s="10" t="s">
        <v>10133</v>
      </c>
      <c r="B2117" s="17" t="s">
        <v>189</v>
      </c>
      <c r="C2117" s="18" t="s">
        <v>190</v>
      </c>
      <c r="D2117" s="17" t="s">
        <v>19</v>
      </c>
      <c r="E2117" s="17" t="s">
        <v>75</v>
      </c>
      <c r="F2117" s="17" t="s">
        <v>4845</v>
      </c>
      <c r="G2117" s="17" t="s">
        <v>177</v>
      </c>
      <c r="H2117" s="17" t="s">
        <v>30</v>
      </c>
      <c r="I2117" s="17" t="s">
        <v>928</v>
      </c>
      <c r="J2117" s="17" t="s">
        <v>233</v>
      </c>
      <c r="K2117" s="19"/>
      <c r="L2117" s="19"/>
      <c r="M2117" s="19"/>
      <c r="N2117" s="19"/>
      <c r="O2117" s="17" t="n">
        <v>4</v>
      </c>
      <c r="P2117" s="18" t="s">
        <v>10115</v>
      </c>
      <c r="Q2117" s="18" t="s">
        <v>10116</v>
      </c>
      <c r="R2117" s="18" t="s">
        <v>10134</v>
      </c>
      <c r="S2117" s="17" t="s">
        <v>10135</v>
      </c>
      <c r="T2117" s="18" t="s">
        <v>10136</v>
      </c>
      <c r="U2117" s="19"/>
      <c r="V2117" s="18" t="s">
        <v>10137</v>
      </c>
      <c r="W2117" s="17" t="s">
        <v>240</v>
      </c>
      <c r="X2117" s="17" t="s">
        <v>10120</v>
      </c>
      <c r="Y2117" s="17" t="s">
        <v>242</v>
      </c>
      <c r="Z2117" s="19"/>
      <c r="AA2117" s="19"/>
      <c r="AB2117" s="17"/>
      <c r="AC2117" s="19"/>
    </row>
    <row r="2118" customFormat="false" ht="32.8" hidden="false" customHeight="false" outlineLevel="0" collapsed="false">
      <c r="A2118" s="10" t="s">
        <v>10138</v>
      </c>
      <c r="B2118" s="17" t="s">
        <v>189</v>
      </c>
      <c r="C2118" s="18" t="s">
        <v>190</v>
      </c>
      <c r="D2118" s="17" t="s">
        <v>19</v>
      </c>
      <c r="E2118" s="17" t="s">
        <v>75</v>
      </c>
      <c r="F2118" s="17" t="s">
        <v>4845</v>
      </c>
      <c r="G2118" s="17" t="s">
        <v>177</v>
      </c>
      <c r="H2118" s="17" t="s">
        <v>30</v>
      </c>
      <c r="I2118" s="17" t="s">
        <v>5507</v>
      </c>
      <c r="J2118" s="17" t="s">
        <v>233</v>
      </c>
      <c r="K2118" s="19"/>
      <c r="L2118" s="19"/>
      <c r="M2118" s="19"/>
      <c r="N2118" s="19"/>
      <c r="O2118" s="17" t="n">
        <v>4</v>
      </c>
      <c r="P2118" s="18" t="s">
        <v>10115</v>
      </c>
      <c r="Q2118" s="18" t="s">
        <v>10116</v>
      </c>
      <c r="R2118" s="18" t="s">
        <v>10139</v>
      </c>
      <c r="S2118" s="17" t="s">
        <v>10140</v>
      </c>
      <c r="T2118" s="18" t="s">
        <v>10141</v>
      </c>
      <c r="U2118" s="19"/>
      <c r="V2118" s="18" t="s">
        <v>10142</v>
      </c>
      <c r="W2118" s="17" t="s">
        <v>383</v>
      </c>
      <c r="X2118" s="17" t="s">
        <v>10120</v>
      </c>
      <c r="Y2118" s="17" t="s">
        <v>242</v>
      </c>
      <c r="Z2118" s="19"/>
      <c r="AA2118" s="19"/>
      <c r="AB2118" s="17"/>
      <c r="AC2118" s="19"/>
    </row>
    <row r="2119" customFormat="false" ht="32.8" hidden="false" customHeight="false" outlineLevel="0" collapsed="false">
      <c r="A2119" s="10" t="s">
        <v>10143</v>
      </c>
      <c r="B2119" s="17" t="s">
        <v>189</v>
      </c>
      <c r="C2119" s="18" t="s">
        <v>190</v>
      </c>
      <c r="D2119" s="17" t="s">
        <v>19</v>
      </c>
      <c r="E2119" s="17" t="s">
        <v>75</v>
      </c>
      <c r="F2119" s="17" t="s">
        <v>4845</v>
      </c>
      <c r="G2119" s="17" t="s">
        <v>177</v>
      </c>
      <c r="H2119" s="17" t="s">
        <v>30</v>
      </c>
      <c r="I2119" s="17" t="s">
        <v>277</v>
      </c>
      <c r="J2119" s="17" t="s">
        <v>233</v>
      </c>
      <c r="K2119" s="19"/>
      <c r="L2119" s="19"/>
      <c r="M2119" s="19"/>
      <c r="N2119" s="19"/>
      <c r="O2119" s="17" t="n">
        <v>5</v>
      </c>
      <c r="P2119" s="18" t="s">
        <v>10115</v>
      </c>
      <c r="Q2119" s="18" t="s">
        <v>10116</v>
      </c>
      <c r="R2119" s="18" t="s">
        <v>10144</v>
      </c>
      <c r="S2119" s="17" t="s">
        <v>10129</v>
      </c>
      <c r="T2119" s="18" t="s">
        <v>10145</v>
      </c>
      <c r="U2119" s="19"/>
      <c r="V2119" s="18" t="s">
        <v>10146</v>
      </c>
      <c r="W2119" s="17" t="s">
        <v>240</v>
      </c>
      <c r="X2119" s="17" t="s">
        <v>10120</v>
      </c>
      <c r="Y2119" s="17" t="s">
        <v>242</v>
      </c>
      <c r="Z2119" s="19"/>
      <c r="AA2119" s="19"/>
      <c r="AB2119" s="17"/>
      <c r="AC2119" s="19"/>
    </row>
    <row r="2120" customFormat="false" ht="32.8" hidden="false" customHeight="false" outlineLevel="0" collapsed="false">
      <c r="A2120" s="10" t="s">
        <v>10147</v>
      </c>
      <c r="B2120" s="17" t="s">
        <v>189</v>
      </c>
      <c r="C2120" s="18" t="s">
        <v>190</v>
      </c>
      <c r="D2120" s="17" t="s">
        <v>19</v>
      </c>
      <c r="E2120" s="17" t="s">
        <v>75</v>
      </c>
      <c r="F2120" s="17" t="s">
        <v>4845</v>
      </c>
      <c r="G2120" s="17" t="s">
        <v>177</v>
      </c>
      <c r="H2120" s="17" t="s">
        <v>30</v>
      </c>
      <c r="I2120" s="17" t="s">
        <v>333</v>
      </c>
      <c r="J2120" s="17" t="s">
        <v>233</v>
      </c>
      <c r="K2120" s="19"/>
      <c r="L2120" s="19"/>
      <c r="M2120" s="19"/>
      <c r="N2120" s="19"/>
      <c r="O2120" s="17" t="n">
        <v>4</v>
      </c>
      <c r="P2120" s="18" t="s">
        <v>10115</v>
      </c>
      <c r="Q2120" s="18" t="s">
        <v>10116</v>
      </c>
      <c r="R2120" s="18" t="s">
        <v>10148</v>
      </c>
      <c r="S2120" s="17" t="s">
        <v>10125</v>
      </c>
      <c r="T2120" s="18" t="s">
        <v>10149</v>
      </c>
      <c r="U2120" s="19"/>
      <c r="V2120" s="18" t="s">
        <v>10150</v>
      </c>
      <c r="W2120" s="17" t="s">
        <v>240</v>
      </c>
      <c r="X2120" s="17" t="s">
        <v>10120</v>
      </c>
      <c r="Y2120" s="17" t="s">
        <v>242</v>
      </c>
      <c r="Z2120" s="19"/>
      <c r="AA2120" s="19"/>
      <c r="AB2120" s="17"/>
      <c r="AC2120" s="19"/>
    </row>
    <row r="2121" customFormat="false" ht="22.35" hidden="false" customHeight="false" outlineLevel="0" collapsed="false">
      <c r="A2121" s="10" t="s">
        <v>10151</v>
      </c>
      <c r="B2121" s="17" t="s">
        <v>189</v>
      </c>
      <c r="C2121" s="18" t="s">
        <v>190</v>
      </c>
      <c r="D2121" s="17" t="s">
        <v>19</v>
      </c>
      <c r="E2121" s="17" t="s">
        <v>75</v>
      </c>
      <c r="F2121" s="17" t="s">
        <v>4845</v>
      </c>
      <c r="G2121" s="17" t="s">
        <v>177</v>
      </c>
      <c r="H2121" s="17" t="s">
        <v>30</v>
      </c>
      <c r="I2121" s="17" t="s">
        <v>1028</v>
      </c>
      <c r="J2121" s="17" t="s">
        <v>233</v>
      </c>
      <c r="K2121" s="19"/>
      <c r="L2121" s="19"/>
      <c r="M2121" s="19"/>
      <c r="N2121" s="19"/>
      <c r="O2121" s="17" t="n">
        <v>5</v>
      </c>
      <c r="P2121" s="18" t="s">
        <v>10115</v>
      </c>
      <c r="Q2121" s="18" t="s">
        <v>10116</v>
      </c>
      <c r="R2121" s="18" t="s">
        <v>10152</v>
      </c>
      <c r="S2121" s="17" t="s">
        <v>10153</v>
      </c>
      <c r="T2121" s="18" t="s">
        <v>9570</v>
      </c>
      <c r="U2121" s="19"/>
      <c r="V2121" s="18" t="s">
        <v>4226</v>
      </c>
      <c r="W2121" s="17" t="s">
        <v>240</v>
      </c>
      <c r="X2121" s="17" t="s">
        <v>10120</v>
      </c>
      <c r="Y2121" s="17" t="s">
        <v>242</v>
      </c>
      <c r="Z2121" s="19"/>
      <c r="AA2121" s="19"/>
      <c r="AB2121" s="17"/>
      <c r="AC2121" s="19"/>
    </row>
  </sheetData>
  <sheetProtection sheet="true" formatCells="false" formatColumns="false" formatRows="false" sort="false" autoFilter="false"/>
  <autoFilter ref="A1:AC2121"/>
  <conditionalFormatting sqref="A2:AC2121">
    <cfRule type="expression" priority="2" aboveAverage="0" equalAverage="0" bottom="0" percent="0" rank="0" text="" dxfId="6">
      <formula>$Y2="Blocked"</formula>
    </cfRule>
    <cfRule type="expression" priority="3" aboveAverage="0" equalAverage="0" bottom="0" percent="0" rank="0" text="" dxfId="7">
      <formula>$Y2="Done"</formula>
    </cfRule>
    <cfRule type="expression" priority="4" aboveAverage="0" equalAverage="0" bottom="0" percent="0" rank="0" text="" dxfId="8">
      <formula>AND($O2&lt;=1,$L2="")</formula>
    </cfRule>
    <cfRule type="expression" priority="5" aboveAverage="0" equalAverage="0" bottom="0" percent="0" rank="0" text="" dxfId="9">
      <formula>$AB2&lt;&gt;""</formula>
    </cfRule>
  </conditionalFormatting>
  <dataValidations count="7">
    <dataValidation allowBlank="true" errorStyle="stop" operator="between" showDropDown="false" showErrorMessage="false" showInputMessage="false" sqref="H2:H2121" type="list">
      <formula1>SquadList</formula1>
      <formula2>0</formula2>
    </dataValidation>
    <dataValidation allowBlank="true" errorStyle="stop" operator="between" showDropDown="false" showErrorMessage="false" showInputMessage="false" sqref="I2:I2121" type="list">
      <formula1>RoleList</formula1>
      <formula2>0</formula2>
    </dataValidation>
    <dataValidation allowBlank="true" errorStyle="stop" operator="between" showDropDown="false" showErrorMessage="false" showInputMessage="false" sqref="J2:J2121" type="list">
      <formula1>TestTeamList</formula1>
      <formula2>0</formula2>
    </dataValidation>
    <dataValidation allowBlank="true" errorStyle="stop" operator="between" showDropDown="false" showErrorMessage="false" showInputMessage="false" sqref="W2:W2121" type="list">
      <formula1>DeployList</formula1>
      <formula2>0</formula2>
    </dataValidation>
    <dataValidation allowBlank="true" errorStyle="stop" operator="between" showDropDown="false" showErrorMessage="false" showInputMessage="false" sqref="Y2:Y2121" type="list">
      <formula1>StatusList</formula1>
      <formula2>0</formula2>
    </dataValidation>
    <dataValidation allowBlank="true" errorStyle="stop" operator="between" showDropDown="false" showErrorMessage="false" showInputMessage="false" sqref="E2:E2121" type="list">
      <formula1>PriorityList</formula1>
      <formula2>0</formula2>
    </dataValidation>
    <dataValidation allowBlank="true" errorStyle="stop" operator="between" showDropDown="false" showErrorMessage="false" showInputMessage="false" sqref="D2:D2121" type="list">
      <formula1>WorkTypeList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3"/>
    <col collapsed="false" customWidth="true" hidden="false" outlineLevel="0" max="4" min="4" style="0" width="14"/>
    <col collapsed="false" customWidth="true" hidden="false" outlineLevel="0" max="5" min="5" style="0" width="8"/>
    <col collapsed="false" customWidth="true" hidden="false" outlineLevel="0" max="6" min="6" style="0" width="52"/>
    <col collapsed="false" customWidth="true" hidden="false" outlineLevel="0" max="7" min="7" style="0" width="17"/>
    <col collapsed="false" customWidth="true" hidden="false" outlineLevel="0" max="8" min="8" style="0" width="13"/>
    <col collapsed="false" customWidth="true" hidden="false" outlineLevel="0" max="9" min="9" style="0" width="26"/>
  </cols>
  <sheetData>
    <row r="1" customFormat="false" ht="16.15" hidden="false" customHeight="false" outlineLevel="0" collapsed="false">
      <c r="A1" s="9" t="s">
        <v>10154</v>
      </c>
    </row>
    <row r="2" customFormat="false" ht="15" hidden="false" customHeight="false" outlineLevel="0" collapsed="false">
      <c r="A2" s="3" t="s">
        <v>10155</v>
      </c>
    </row>
    <row r="4" customFormat="false" ht="15" hidden="false" customHeight="false" outlineLevel="0" collapsed="false">
      <c r="A4" s="6" t="s">
        <v>10156</v>
      </c>
      <c r="B4" s="6" t="s">
        <v>10157</v>
      </c>
      <c r="C4" s="6" t="s">
        <v>10158</v>
      </c>
      <c r="D4" s="6" t="s">
        <v>10159</v>
      </c>
      <c r="E4" s="6" t="s">
        <v>39</v>
      </c>
      <c r="F4" s="6" t="s">
        <v>10160</v>
      </c>
      <c r="G4" s="6" t="s">
        <v>10161</v>
      </c>
      <c r="H4" s="6" t="s">
        <v>10162</v>
      </c>
      <c r="I4" s="6" t="s">
        <v>227</v>
      </c>
    </row>
    <row r="5" customFormat="false" ht="22.35" hidden="false" customHeight="false" outlineLevel="0" collapsed="false">
      <c r="A5" s="10" t="s">
        <v>10163</v>
      </c>
      <c r="B5" s="10"/>
      <c r="C5" s="10"/>
      <c r="D5" s="10" t="s">
        <v>10164</v>
      </c>
      <c r="E5" s="10" t="n">
        <v>0</v>
      </c>
      <c r="F5" s="11" t="s">
        <v>10165</v>
      </c>
      <c r="G5" s="10"/>
      <c r="H5" s="10"/>
      <c r="I5"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24"/>
    <col collapsed="false" customWidth="true" hidden="false" outlineLevel="0" max="4" min="4" style="0" width="12"/>
    <col collapsed="false" customWidth="true" hidden="false" outlineLevel="0" max="5" min="5" style="0" width="14"/>
    <col collapsed="false" customWidth="true" hidden="false" outlineLevel="0" max="6" min="6" style="0" width="12"/>
    <col collapsed="false" customWidth="true" hidden="false" outlineLevel="0" max="7" min="7" style="0" width="15"/>
    <col collapsed="false" customWidth="true" hidden="false" outlineLevel="0" max="8" min="8" style="0" width="26"/>
    <col collapsed="false" customWidth="true" hidden="false" outlineLevel="0" max="9" min="9" style="0" width="15"/>
    <col collapsed="false" customWidth="true" hidden="false" outlineLevel="0" max="10" min="10" style="0" width="26"/>
  </cols>
  <sheetData>
    <row r="1" customFormat="false" ht="16.15" hidden="false" customHeight="false" outlineLevel="0" collapsed="false">
      <c r="A1" s="9" t="s">
        <v>10166</v>
      </c>
    </row>
    <row r="2" customFormat="false" ht="15" hidden="false" customHeight="false" outlineLevel="0" collapsed="false">
      <c r="A2" s="3" t="s">
        <v>10167</v>
      </c>
    </row>
    <row r="4" customFormat="false" ht="23.85" hidden="false" customHeight="false" outlineLevel="0" collapsed="false">
      <c r="A4" s="6" t="s">
        <v>10168</v>
      </c>
      <c r="B4" s="6" t="s">
        <v>10169</v>
      </c>
      <c r="C4" s="6" t="s">
        <v>18</v>
      </c>
      <c r="D4" s="6" t="s">
        <v>10170</v>
      </c>
      <c r="E4" s="6" t="s">
        <v>10171</v>
      </c>
      <c r="F4" s="6" t="s">
        <v>10156</v>
      </c>
      <c r="G4" s="6" t="s">
        <v>10172</v>
      </c>
      <c r="H4" s="6" t="s">
        <v>10173</v>
      </c>
      <c r="I4" s="6" t="s">
        <v>10174</v>
      </c>
      <c r="J4" s="6" t="s">
        <v>227</v>
      </c>
    </row>
    <row r="5" customFormat="false" ht="15" hidden="false" customHeight="false" outlineLevel="0" collapsed="false">
      <c r="A5" s="10" t="s">
        <v>10175</v>
      </c>
      <c r="B5" s="10" t="s">
        <v>10176</v>
      </c>
      <c r="C5" s="10" t="s">
        <v>28</v>
      </c>
      <c r="D5" s="10" t="s">
        <v>233</v>
      </c>
      <c r="E5" s="10"/>
      <c r="F5" s="10" t="s">
        <v>10163</v>
      </c>
      <c r="G5" s="10" t="s">
        <v>10177</v>
      </c>
      <c r="H5" s="10" t="n">
        <f aca="false">SUMIFS('Master Checklist'!$M:$M,'Master Checklist'!$L:$L,$A5,'Master Checklist'!$N:$N,$F5)</f>
        <v>0</v>
      </c>
      <c r="I5" s="10" t="str">
        <f aca="false">IF(H5&gt;G5,"YES","")</f>
        <v/>
      </c>
      <c r="J5"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16"/>
    <col collapsed="false" customWidth="true" hidden="false" outlineLevel="0" max="4" min="4" style="0" width="13"/>
    <col collapsed="false" customWidth="true" hidden="false" outlineLevel="0" max="6" min="5" style="0" width="9"/>
    <col collapsed="false" customWidth="true" hidden="false" outlineLevel="0" max="7" min="7" style="0" width="10"/>
    <col collapsed="false" customWidth="true" hidden="false" outlineLevel="0" max="8" min="8" style="0" width="12"/>
    <col collapsed="false" customWidth="true" hidden="false" outlineLevel="0" max="10" min="9" style="0" width="40"/>
  </cols>
  <sheetData>
    <row r="1" customFormat="false" ht="16.15" hidden="false" customHeight="false" outlineLevel="0" collapsed="false">
      <c r="A1" s="9" t="s">
        <v>10178</v>
      </c>
    </row>
    <row r="2" customFormat="false" ht="15" hidden="false" customHeight="false" outlineLevel="0" collapsed="false">
      <c r="A2" s="3" t="s">
        <v>10179</v>
      </c>
    </row>
    <row r="4" customFormat="false" ht="15" hidden="false" customHeight="false" outlineLevel="0" collapsed="false">
      <c r="A4" s="6" t="s">
        <v>39</v>
      </c>
      <c r="B4" s="6" t="s">
        <v>40</v>
      </c>
      <c r="C4" s="6" t="s">
        <v>10180</v>
      </c>
      <c r="D4" s="6" t="s">
        <v>10181</v>
      </c>
      <c r="E4" s="6" t="s">
        <v>10182</v>
      </c>
      <c r="F4" s="6" t="s">
        <v>22</v>
      </c>
      <c r="G4" s="6" t="s">
        <v>41</v>
      </c>
      <c r="H4" s="6" t="s">
        <v>10183</v>
      </c>
      <c r="I4" s="6" t="s">
        <v>10184</v>
      </c>
      <c r="J4" s="6" t="s">
        <v>10185</v>
      </c>
    </row>
    <row r="5" customFormat="false" ht="15" hidden="false" customHeight="false" outlineLevel="0" collapsed="false">
      <c r="A5" s="10" t="s">
        <v>10186</v>
      </c>
      <c r="B5" s="11" t="s">
        <v>42</v>
      </c>
      <c r="C5" s="10"/>
      <c r="D5" s="10"/>
      <c r="E5" s="10" t="n">
        <f aca="false">COUNTIF('Master Checklist'!$O:$O,0)</f>
        <v>292</v>
      </c>
      <c r="F5" s="10" t="n">
        <f aca="false">COUNTIFS('Master Checklist'!$O:$O,0,'Master Checklist'!$Y:$Y,"Done")</f>
        <v>0</v>
      </c>
      <c r="G5" s="10" t="n">
        <f aca="false">COUNTIFS('Master Checklist'!$O:$O,0,'Master Checklist'!$E:$E,"P0",'Master Checklist'!$Y:$Y,"&lt;&gt;Done")</f>
        <v>25</v>
      </c>
      <c r="H5" s="10" t="str">
        <f aca="false">IF(AND(E5&gt;0,F5=E5),"PASS","OPEN")</f>
        <v>OPEN</v>
      </c>
      <c r="I5" s="11"/>
      <c r="J5" s="11"/>
    </row>
    <row r="6" customFormat="false" ht="15" hidden="false" customHeight="false" outlineLevel="0" collapsed="false">
      <c r="A6" s="10" t="s">
        <v>10187</v>
      </c>
      <c r="B6" s="11" t="s">
        <v>43</v>
      </c>
      <c r="C6" s="10"/>
      <c r="D6" s="10"/>
      <c r="E6" s="10" t="n">
        <f aca="false">COUNTIF('Master Checklist'!$O:$O,1)</f>
        <v>498</v>
      </c>
      <c r="F6" s="10" t="n">
        <f aca="false">COUNTIFS('Master Checklist'!$O:$O,1,'Master Checklist'!$Y:$Y,"Done")</f>
        <v>0</v>
      </c>
      <c r="G6" s="10" t="n">
        <f aca="false">COUNTIFS('Master Checklist'!$O:$O,1,'Master Checklist'!$E:$E,"P0",'Master Checklist'!$Y:$Y,"&lt;&gt;Done")</f>
        <v>13</v>
      </c>
      <c r="H6" s="10" t="str">
        <f aca="false">IF(AND(E6&gt;0,F6=E6),"PASS","OPEN")</f>
        <v>OPEN</v>
      </c>
      <c r="I6" s="11"/>
      <c r="J6" s="11"/>
    </row>
    <row r="7" customFormat="false" ht="15" hidden="false" customHeight="false" outlineLevel="0" collapsed="false">
      <c r="A7" s="10" t="s">
        <v>10188</v>
      </c>
      <c r="B7" s="11" t="s">
        <v>44</v>
      </c>
      <c r="C7" s="10"/>
      <c r="D7" s="10"/>
      <c r="E7" s="10" t="n">
        <f aca="false">COUNTIF('Master Checklist'!$O:$O,2)</f>
        <v>496</v>
      </c>
      <c r="F7" s="10" t="n">
        <f aca="false">COUNTIFS('Master Checklist'!$O:$O,2,'Master Checklist'!$Y:$Y,"Done")</f>
        <v>0</v>
      </c>
      <c r="G7" s="10" t="n">
        <f aca="false">COUNTIFS('Master Checklist'!$O:$O,2,'Master Checklist'!$E:$E,"P0",'Master Checklist'!$Y:$Y,"&lt;&gt;Done")</f>
        <v>6</v>
      </c>
      <c r="H7" s="10" t="str">
        <f aca="false">IF(AND(E7&gt;0,F7=E7),"PASS","OPEN")</f>
        <v>OPEN</v>
      </c>
      <c r="I7" s="11"/>
      <c r="J7" s="11"/>
    </row>
    <row r="8" customFormat="false" ht="15" hidden="false" customHeight="false" outlineLevel="0" collapsed="false">
      <c r="A8" s="10" t="s">
        <v>10189</v>
      </c>
      <c r="B8" s="11" t="s">
        <v>45</v>
      </c>
      <c r="C8" s="10"/>
      <c r="D8" s="10"/>
      <c r="E8" s="10" t="n">
        <f aca="false">COUNTIF('Master Checklist'!$O:$O,3)</f>
        <v>513</v>
      </c>
      <c r="F8" s="10" t="n">
        <f aca="false">COUNTIFS('Master Checklist'!$O:$O,3,'Master Checklist'!$Y:$Y,"Done")</f>
        <v>0</v>
      </c>
      <c r="G8" s="10" t="n">
        <f aca="false">COUNTIFS('Master Checklist'!$O:$O,3,'Master Checklist'!$E:$E,"P0",'Master Checklist'!$Y:$Y,"&lt;&gt;Done")</f>
        <v>6</v>
      </c>
      <c r="H8" s="10" t="str">
        <f aca="false">IF(AND(E8&gt;0,F8=E8),"PASS","OPEN")</f>
        <v>OPEN</v>
      </c>
      <c r="I8" s="11"/>
      <c r="J8" s="11"/>
    </row>
    <row r="9" customFormat="false" ht="15" hidden="false" customHeight="false" outlineLevel="0" collapsed="false">
      <c r="A9" s="10" t="s">
        <v>10190</v>
      </c>
      <c r="B9" s="11" t="s">
        <v>46</v>
      </c>
      <c r="C9" s="10"/>
      <c r="D9" s="10"/>
      <c r="E9" s="10" t="n">
        <f aca="false">COUNTIF('Master Checklist'!$O:$O,4)</f>
        <v>212</v>
      </c>
      <c r="F9" s="10" t="n">
        <f aca="false">COUNTIFS('Master Checklist'!$O:$O,4,'Master Checklist'!$Y:$Y,"Done")</f>
        <v>0</v>
      </c>
      <c r="G9" s="10" t="n">
        <f aca="false">COUNTIFS('Master Checklist'!$O:$O,4,'Master Checklist'!$E:$E,"P0",'Master Checklist'!$Y:$Y,"&lt;&gt;Done")</f>
        <v>0</v>
      </c>
      <c r="H9" s="10" t="str">
        <f aca="false">IF(AND(E9&gt;0,F9=E9),"PASS","OPEN")</f>
        <v>OPEN</v>
      </c>
      <c r="I9" s="11"/>
      <c r="J9" s="11"/>
    </row>
    <row r="10" customFormat="false" ht="15" hidden="false" customHeight="false" outlineLevel="0" collapsed="false">
      <c r="A10" s="10" t="s">
        <v>10191</v>
      </c>
      <c r="B10" s="11" t="s">
        <v>47</v>
      </c>
      <c r="C10" s="10"/>
      <c r="D10" s="10"/>
      <c r="E10" s="10" t="n">
        <f aca="false">COUNTIF('Master Checklist'!$O:$O,5)</f>
        <v>109</v>
      </c>
      <c r="F10" s="10" t="n">
        <f aca="false">COUNTIFS('Master Checklist'!$O:$O,5,'Master Checklist'!$Y:$Y,"Done")</f>
        <v>0</v>
      </c>
      <c r="G10" s="10" t="n">
        <f aca="false">COUNTIFS('Master Checklist'!$O:$O,5,'Master Checklist'!$E:$E,"P0",'Master Checklist'!$Y:$Y,"&lt;&gt;Done")</f>
        <v>0</v>
      </c>
      <c r="H10" s="10" t="str">
        <f aca="false">IF(AND(E10&gt;0,F10=E10),"PASS","OPEN")</f>
        <v>OPEN</v>
      </c>
      <c r="I10" s="11"/>
      <c r="J10"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7"/>
    <col collapsed="false" customWidth="true" hidden="false" outlineLevel="0" max="4" min="4" style="0" width="10"/>
    <col collapsed="false" customWidth="true" hidden="false" outlineLevel="0" max="5" min="5" style="0" width="16"/>
    <col collapsed="false" customWidth="true" hidden="false" outlineLevel="0" max="6" min="6" style="0" width="11"/>
    <col collapsed="false" customWidth="true" hidden="false" outlineLevel="0" max="7" min="7" style="0" width="14"/>
    <col collapsed="false" customWidth="true" hidden="false" outlineLevel="0" max="8" min="8" style="0" width="52"/>
    <col collapsed="false" customWidth="true" hidden="false" outlineLevel="0" max="9" min="9" style="0" width="11"/>
    <col collapsed="false" customWidth="true" hidden="false" outlineLevel="0" max="11" min="10" style="0" width="13"/>
    <col collapsed="false" customWidth="true" hidden="false" outlineLevel="0" max="12" min="12" style="0" width="12"/>
    <col collapsed="false" customWidth="true" hidden="false" outlineLevel="0" max="13" min="13" style="0" width="16"/>
  </cols>
  <sheetData>
    <row r="1" customFormat="false" ht="16.15" hidden="false" customHeight="false" outlineLevel="0" collapsed="false">
      <c r="A1" s="9" t="s">
        <v>10192</v>
      </c>
    </row>
    <row r="2" customFormat="false" ht="15" hidden="false" customHeight="false" outlineLevel="0" collapsed="false">
      <c r="A2" s="3" t="s">
        <v>10193</v>
      </c>
    </row>
    <row r="4" customFormat="false" ht="23.85" hidden="false" customHeight="false" outlineLevel="0" collapsed="false">
      <c r="A4" s="6" t="s">
        <v>10194</v>
      </c>
      <c r="B4" s="6" t="s">
        <v>10195</v>
      </c>
      <c r="C4" s="6" t="s">
        <v>10196</v>
      </c>
      <c r="D4" s="6" t="s">
        <v>203</v>
      </c>
      <c r="E4" s="6" t="s">
        <v>10197</v>
      </c>
      <c r="F4" s="6" t="s">
        <v>10170</v>
      </c>
      <c r="G4" s="6" t="s">
        <v>10198</v>
      </c>
      <c r="H4" s="6" t="s">
        <v>10199</v>
      </c>
      <c r="I4" s="6" t="s">
        <v>223</v>
      </c>
      <c r="J4" s="6" t="s">
        <v>10200</v>
      </c>
      <c r="K4" s="6" t="s">
        <v>10201</v>
      </c>
      <c r="L4" s="6" t="s">
        <v>10202</v>
      </c>
      <c r="M4" s="6" t="s">
        <v>10203</v>
      </c>
    </row>
    <row r="5" customFormat="false" ht="15" hidden="false" customHeight="false" outlineLevel="0" collapsed="false">
      <c r="A5" s="10" t="s">
        <v>10204</v>
      </c>
      <c r="B5" s="10"/>
      <c r="C5" s="10" t="s">
        <v>10205</v>
      </c>
      <c r="D5" s="10" t="s">
        <v>10206</v>
      </c>
      <c r="E5" s="10" t="s">
        <v>10207</v>
      </c>
      <c r="F5" s="10" t="s">
        <v>7670</v>
      </c>
      <c r="G5" s="10" t="s">
        <v>10208</v>
      </c>
      <c r="H5" s="11" t="s">
        <v>10209</v>
      </c>
      <c r="I5" s="10" t="s">
        <v>10210</v>
      </c>
      <c r="J5" s="10"/>
      <c r="K5" s="10"/>
      <c r="L5" s="10"/>
      <c r="M5"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2"/>
    <col collapsed="false" customWidth="true" hidden="false" outlineLevel="0" max="3" min="3" style="0" width="22"/>
    <col collapsed="false" customWidth="true" hidden="false" outlineLevel="0" max="4" min="4" style="0" width="16"/>
    <col collapsed="false" customWidth="true" hidden="false" outlineLevel="0" max="6" min="5" style="0" width="14"/>
    <col collapsed="false" customWidth="true" hidden="false" outlineLevel="0" max="8" min="7" style="0" width="16"/>
    <col collapsed="false" customWidth="true" hidden="false" outlineLevel="0" max="9" min="9" style="0" width="11"/>
    <col collapsed="false" customWidth="true" hidden="false" outlineLevel="0" max="10" min="10" style="0" width="44"/>
  </cols>
  <sheetData>
    <row r="1" customFormat="false" ht="16.15" hidden="false" customHeight="false" outlineLevel="0" collapsed="false">
      <c r="A1" s="9" t="s">
        <v>10211</v>
      </c>
    </row>
    <row r="2" customFormat="false" ht="15" hidden="false" customHeight="false" outlineLevel="0" collapsed="false">
      <c r="A2" s="3" t="s">
        <v>10212</v>
      </c>
    </row>
    <row r="4" customFormat="false" ht="23.85" hidden="false" customHeight="false" outlineLevel="0" collapsed="false">
      <c r="A4" s="6" t="s">
        <v>10197</v>
      </c>
      <c r="B4" s="6" t="s">
        <v>10213</v>
      </c>
      <c r="C4" s="6" t="s">
        <v>10214</v>
      </c>
      <c r="D4" s="6" t="s">
        <v>10203</v>
      </c>
      <c r="E4" s="6" t="s">
        <v>10215</v>
      </c>
      <c r="F4" s="6" t="s">
        <v>223</v>
      </c>
      <c r="G4" s="6" t="s">
        <v>10216</v>
      </c>
      <c r="H4" s="6" t="s">
        <v>10217</v>
      </c>
      <c r="I4" s="6" t="s">
        <v>10218</v>
      </c>
      <c r="J4" s="6" t="s">
        <v>227</v>
      </c>
    </row>
    <row r="5" customFormat="false" ht="22.35" hidden="false" customHeight="false" outlineLevel="0" collapsed="false">
      <c r="A5" s="10" t="s">
        <v>10219</v>
      </c>
      <c r="B5" s="11" t="s">
        <v>10220</v>
      </c>
      <c r="C5" s="10" t="s">
        <v>383</v>
      </c>
      <c r="D5" s="10"/>
      <c r="E5" s="10"/>
      <c r="F5" s="10" t="s">
        <v>10221</v>
      </c>
      <c r="G5" s="10"/>
      <c r="H5" s="10" t="n">
        <f aca="false">COUNTIF('Master Checklist'!$W:$W,"Enclave")</f>
        <v>102</v>
      </c>
      <c r="I5" s="10" t="s">
        <v>10222</v>
      </c>
      <c r="J5" s="11" t="s">
        <v>10223</v>
      </c>
    </row>
    <row r="6" customFormat="false" ht="15" hidden="false" customHeight="false" outlineLevel="0" collapsed="false">
      <c r="A6" s="10" t="s">
        <v>10224</v>
      </c>
      <c r="B6" s="11" t="s">
        <v>10225</v>
      </c>
      <c r="C6" s="10" t="s">
        <v>240</v>
      </c>
      <c r="D6" s="10"/>
      <c r="E6" s="10"/>
      <c r="F6" s="10" t="s">
        <v>242</v>
      </c>
      <c r="G6" s="10"/>
      <c r="H6" s="10"/>
      <c r="I6" s="10"/>
      <c r="J6" s="11"/>
    </row>
    <row r="7" customFormat="false" ht="15" hidden="false" customHeight="false" outlineLevel="0" collapsed="false">
      <c r="A7" s="10" t="s">
        <v>10226</v>
      </c>
      <c r="B7" s="11" t="s">
        <v>10227</v>
      </c>
      <c r="C7" s="10" t="s">
        <v>5511</v>
      </c>
      <c r="D7" s="10"/>
      <c r="E7" s="10"/>
      <c r="F7" s="10" t="s">
        <v>242</v>
      </c>
      <c r="G7" s="10"/>
      <c r="H7" s="10"/>
      <c r="I7" s="10"/>
      <c r="J7" s="11"/>
    </row>
    <row r="8" customFormat="false" ht="15" hidden="false" customHeight="false" outlineLevel="0" collapsed="false">
      <c r="A8" s="10" t="s">
        <v>10228</v>
      </c>
      <c r="B8" s="11" t="s">
        <v>10229</v>
      </c>
      <c r="C8" s="10" t="s">
        <v>1217</v>
      </c>
      <c r="D8" s="10"/>
      <c r="E8" s="10"/>
      <c r="F8" s="10" t="s">
        <v>242</v>
      </c>
      <c r="G8" s="10"/>
      <c r="H8" s="10"/>
      <c r="I8" s="10"/>
      <c r="J8" s="11"/>
    </row>
    <row r="9" customFormat="false" ht="15" hidden="false" customHeight="false" outlineLevel="0" collapsed="false">
      <c r="A9" s="10" t="s">
        <v>10230</v>
      </c>
      <c r="B9" s="11" t="s">
        <v>10231</v>
      </c>
      <c r="C9" s="10" t="s">
        <v>1217</v>
      </c>
      <c r="D9" s="10"/>
      <c r="E9" s="10"/>
      <c r="F9" s="10" t="s">
        <v>242</v>
      </c>
      <c r="G9" s="10"/>
      <c r="H9" s="10"/>
      <c r="I9" s="10"/>
      <c r="J9"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3" min="3" style="0" width="7"/>
    <col collapsed="false" customWidth="true" hidden="false" outlineLevel="0" max="5" min="4" style="0" width="16"/>
    <col collapsed="false" customWidth="true" hidden="false" outlineLevel="0" max="6" min="6" style="0" width="17"/>
    <col collapsed="false" customWidth="true" hidden="false" outlineLevel="0" max="7" min="7" style="0" width="16"/>
    <col collapsed="false" customWidth="true" hidden="false" outlineLevel="0" max="8" min="8" style="0" width="14"/>
    <col collapsed="false" customWidth="true" hidden="false" outlineLevel="0" max="9" min="9" style="0" width="24"/>
    <col collapsed="false" customWidth="true" hidden="false" outlineLevel="0" max="10" min="10" style="0" width="16"/>
    <col collapsed="false" customWidth="true" hidden="false" outlineLevel="0" max="11" min="11" style="0" width="12"/>
    <col collapsed="false" customWidth="true" hidden="false" outlineLevel="0" max="12" min="12" style="0" width="14"/>
  </cols>
  <sheetData>
    <row r="1" customFormat="false" ht="16.15" hidden="false" customHeight="false" outlineLevel="0" collapsed="false">
      <c r="A1" s="9" t="s">
        <v>10232</v>
      </c>
    </row>
    <row r="2" customFormat="false" ht="15" hidden="false" customHeight="false" outlineLevel="0" collapsed="false">
      <c r="A2" s="3" t="s">
        <v>10233</v>
      </c>
    </row>
    <row r="4" customFormat="false" ht="15" hidden="false" customHeight="false" outlineLevel="0" collapsed="false">
      <c r="A4" s="6" t="s">
        <v>216</v>
      </c>
      <c r="B4" s="6" t="s">
        <v>203</v>
      </c>
      <c r="C4" s="6" t="s">
        <v>10234</v>
      </c>
      <c r="D4" s="6" t="s">
        <v>10235</v>
      </c>
      <c r="E4" s="6" t="s">
        <v>10236</v>
      </c>
      <c r="F4" s="6" t="s">
        <v>10237</v>
      </c>
      <c r="G4" s="6" t="s">
        <v>10238</v>
      </c>
      <c r="H4" s="6" t="s">
        <v>10239</v>
      </c>
      <c r="I4" s="6" t="s">
        <v>10240</v>
      </c>
      <c r="J4" s="6" t="s">
        <v>10241</v>
      </c>
      <c r="K4" s="6" t="s">
        <v>223</v>
      </c>
      <c r="L4" s="6" t="s">
        <v>10203</v>
      </c>
    </row>
    <row r="5" customFormat="false" ht="15" hidden="false" customHeight="false" outlineLevel="0" collapsed="false">
      <c r="A5" s="10" t="s">
        <v>10242</v>
      </c>
      <c r="B5" s="10" t="s">
        <v>175</v>
      </c>
      <c r="C5" s="10"/>
      <c r="D5" s="10"/>
      <c r="E5" s="10"/>
      <c r="F5" s="10"/>
      <c r="G5" s="10" t="s">
        <v>10243</v>
      </c>
      <c r="H5" s="10"/>
      <c r="I5" s="10"/>
      <c r="J5" s="10" t="s">
        <v>10244</v>
      </c>
      <c r="K5" s="10" t="s">
        <v>242</v>
      </c>
      <c r="L5" s="10"/>
    </row>
    <row r="6" customFormat="false" ht="15" hidden="false" customHeight="false" outlineLevel="0" collapsed="false">
      <c r="A6" s="10" t="s">
        <v>10245</v>
      </c>
      <c r="B6" s="10" t="s">
        <v>127</v>
      </c>
      <c r="C6" s="10"/>
      <c r="D6" s="10"/>
      <c r="E6" s="10"/>
      <c r="F6" s="10"/>
      <c r="G6" s="10" t="s">
        <v>10243</v>
      </c>
      <c r="H6" s="10"/>
      <c r="I6" s="10"/>
      <c r="J6" s="10" t="s">
        <v>10244</v>
      </c>
      <c r="K6" s="10" t="s">
        <v>242</v>
      </c>
      <c r="L6" s="10"/>
    </row>
    <row r="7" customFormat="false" ht="15" hidden="false" customHeight="false" outlineLevel="0" collapsed="false">
      <c r="A7" s="10" t="s">
        <v>10246</v>
      </c>
      <c r="B7" s="10" t="s">
        <v>127</v>
      </c>
      <c r="C7" s="10"/>
      <c r="D7" s="10"/>
      <c r="E7" s="10"/>
      <c r="F7" s="10"/>
      <c r="G7" s="10" t="s">
        <v>10243</v>
      </c>
      <c r="H7" s="10"/>
      <c r="I7" s="10"/>
      <c r="J7" s="10" t="s">
        <v>10244</v>
      </c>
      <c r="K7" s="10" t="s">
        <v>242</v>
      </c>
      <c r="L7" s="10"/>
    </row>
    <row r="8" customFormat="false" ht="15" hidden="false" customHeight="false" outlineLevel="0" collapsed="false">
      <c r="A8" s="10" t="s">
        <v>10247</v>
      </c>
      <c r="B8" s="10" t="s">
        <v>127</v>
      </c>
      <c r="C8" s="10"/>
      <c r="D8" s="10"/>
      <c r="E8" s="10"/>
      <c r="F8" s="10"/>
      <c r="G8" s="10" t="s">
        <v>10243</v>
      </c>
      <c r="H8" s="10"/>
      <c r="I8" s="10"/>
      <c r="J8" s="10" t="s">
        <v>10244</v>
      </c>
      <c r="K8" s="10" t="s">
        <v>242</v>
      </c>
      <c r="L8" s="10"/>
    </row>
    <row r="9" customFormat="false" ht="15" hidden="false" customHeight="false" outlineLevel="0" collapsed="false">
      <c r="A9" s="10" t="s">
        <v>10248</v>
      </c>
      <c r="B9" s="10" t="s">
        <v>132</v>
      </c>
      <c r="C9" s="10"/>
      <c r="D9" s="10"/>
      <c r="E9" s="10"/>
      <c r="F9" s="10"/>
      <c r="G9" s="10" t="s">
        <v>10249</v>
      </c>
      <c r="H9" s="10"/>
      <c r="I9" s="10"/>
      <c r="J9" s="10" t="s">
        <v>10244</v>
      </c>
      <c r="K9" s="10" t="s">
        <v>242</v>
      </c>
      <c r="L9"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58"/>
    <col collapsed="false" customWidth="true" hidden="false" outlineLevel="0" max="4" min="4" style="0" width="26"/>
    <col collapsed="false" customWidth="true" hidden="false" outlineLevel="0" max="5" min="5" style="0" width="12"/>
    <col collapsed="false" customWidth="true" hidden="false" outlineLevel="0" max="7" min="6" style="0" width="10"/>
    <col collapsed="false" customWidth="true" hidden="false" outlineLevel="0" max="8" min="8" style="0" width="44"/>
    <col collapsed="false" customWidth="true" hidden="false" outlineLevel="0" max="9" min="9" style="0" width="14"/>
    <col collapsed="false" customWidth="true" hidden="false" outlineLevel="0" max="10" min="10" style="0" width="12"/>
    <col collapsed="false" customWidth="true" hidden="false" outlineLevel="0" max="11" min="11" style="0" width="10"/>
    <col collapsed="false" customWidth="true" hidden="false" outlineLevel="0" max="12" min="12" style="0" width="18"/>
  </cols>
  <sheetData>
    <row r="1" customFormat="false" ht="16.15" hidden="false" customHeight="false" outlineLevel="0" collapsed="false">
      <c r="A1" s="9" t="s">
        <v>10250</v>
      </c>
    </row>
    <row r="2" customFormat="false" ht="15" hidden="false" customHeight="false" outlineLevel="0" collapsed="false">
      <c r="A2" s="3" t="s">
        <v>10251</v>
      </c>
    </row>
    <row r="4" customFormat="false" ht="15" hidden="false" customHeight="false" outlineLevel="0" collapsed="false">
      <c r="A4" s="6" t="s">
        <v>202</v>
      </c>
      <c r="B4" s="6" t="s">
        <v>52</v>
      </c>
      <c r="C4" s="6" t="s">
        <v>10252</v>
      </c>
      <c r="D4" s="6" t="s">
        <v>10253</v>
      </c>
      <c r="E4" s="6" t="s">
        <v>10254</v>
      </c>
      <c r="F4" s="6" t="s">
        <v>10255</v>
      </c>
      <c r="G4" s="6" t="s">
        <v>10256</v>
      </c>
      <c r="H4" s="6" t="s">
        <v>10257</v>
      </c>
      <c r="I4" s="6" t="s">
        <v>10203</v>
      </c>
      <c r="J4" s="6" t="s">
        <v>10258</v>
      </c>
      <c r="K4" s="6" t="s">
        <v>223</v>
      </c>
      <c r="L4" s="6" t="s">
        <v>10259</v>
      </c>
    </row>
    <row r="5" customFormat="false" ht="15" hidden="false" customHeight="false" outlineLevel="0" collapsed="false">
      <c r="A5" s="10" t="s">
        <v>10260</v>
      </c>
      <c r="B5" s="10" t="s">
        <v>10261</v>
      </c>
      <c r="C5" s="11" t="s">
        <v>10262</v>
      </c>
      <c r="D5" s="10" t="s">
        <v>10263</v>
      </c>
      <c r="E5" s="10" t="s">
        <v>10264</v>
      </c>
      <c r="F5" s="10" t="s">
        <v>10264</v>
      </c>
      <c r="G5" s="10" t="s">
        <v>244</v>
      </c>
      <c r="H5" s="11" t="s">
        <v>10265</v>
      </c>
      <c r="I5" s="10"/>
      <c r="J5" s="10"/>
      <c r="K5" s="10" t="s">
        <v>10210</v>
      </c>
      <c r="L5" s="10" t="s">
        <v>1938</v>
      </c>
    </row>
    <row r="6" customFormat="false" ht="15" hidden="false" customHeight="false" outlineLevel="0" collapsed="false">
      <c r="A6" s="10" t="s">
        <v>10266</v>
      </c>
      <c r="B6" s="10" t="s">
        <v>10261</v>
      </c>
      <c r="C6" s="11" t="s">
        <v>10267</v>
      </c>
      <c r="D6" s="10" t="s">
        <v>10268</v>
      </c>
      <c r="E6" s="10" t="s">
        <v>10264</v>
      </c>
      <c r="F6" s="10" t="s">
        <v>10264</v>
      </c>
      <c r="G6" s="10" t="s">
        <v>244</v>
      </c>
      <c r="H6" s="11" t="s">
        <v>10269</v>
      </c>
      <c r="I6" s="10"/>
      <c r="J6" s="10"/>
      <c r="K6" s="10" t="s">
        <v>10210</v>
      </c>
      <c r="L6" s="10" t="s">
        <v>6731</v>
      </c>
    </row>
    <row r="7" customFormat="false" ht="22.35" hidden="false" customHeight="false" outlineLevel="0" collapsed="false">
      <c r="A7" s="10" t="s">
        <v>10270</v>
      </c>
      <c r="B7" s="10" t="s">
        <v>10261</v>
      </c>
      <c r="C7" s="11" t="s">
        <v>10271</v>
      </c>
      <c r="D7" s="10" t="s">
        <v>10272</v>
      </c>
      <c r="E7" s="10" t="s">
        <v>10264</v>
      </c>
      <c r="F7" s="10" t="s">
        <v>10264</v>
      </c>
      <c r="G7" s="10" t="s">
        <v>244</v>
      </c>
      <c r="H7" s="11" t="s">
        <v>10273</v>
      </c>
      <c r="I7" s="10"/>
      <c r="J7" s="10"/>
      <c r="K7" s="10" t="s">
        <v>10210</v>
      </c>
      <c r="L7" s="10" t="s">
        <v>4120</v>
      </c>
    </row>
    <row r="8" customFormat="false" ht="15" hidden="false" customHeight="false" outlineLevel="0" collapsed="false">
      <c r="A8" s="10" t="s">
        <v>10274</v>
      </c>
      <c r="B8" s="10" t="s">
        <v>10261</v>
      </c>
      <c r="C8" s="11" t="s">
        <v>10275</v>
      </c>
      <c r="D8" s="10" t="s">
        <v>10276</v>
      </c>
      <c r="E8" s="10" t="s">
        <v>10264</v>
      </c>
      <c r="F8" s="10" t="s">
        <v>10264</v>
      </c>
      <c r="G8" s="10" t="s">
        <v>244</v>
      </c>
      <c r="H8" s="11" t="s">
        <v>10277</v>
      </c>
      <c r="I8" s="10"/>
      <c r="J8" s="10"/>
      <c r="K8" s="10" t="s">
        <v>10210</v>
      </c>
      <c r="L8" s="10" t="s">
        <v>233</v>
      </c>
    </row>
    <row r="9" customFormat="false" ht="22.35" hidden="false" customHeight="false" outlineLevel="0" collapsed="false">
      <c r="A9" s="10" t="s">
        <v>10278</v>
      </c>
      <c r="B9" s="10" t="s">
        <v>10261</v>
      </c>
      <c r="C9" s="11" t="s">
        <v>10279</v>
      </c>
      <c r="D9" s="10" t="s">
        <v>10280</v>
      </c>
      <c r="E9" s="10" t="s">
        <v>10281</v>
      </c>
      <c r="F9" s="10" t="s">
        <v>10264</v>
      </c>
      <c r="G9" s="10" t="s">
        <v>229</v>
      </c>
      <c r="H9" s="11" t="s">
        <v>10282</v>
      </c>
      <c r="I9" s="10"/>
      <c r="J9" s="10"/>
      <c r="K9" s="10" t="s">
        <v>10210</v>
      </c>
      <c r="L9" s="10" t="s">
        <v>4011</v>
      </c>
    </row>
    <row r="10" customFormat="false" ht="15" hidden="false" customHeight="false" outlineLevel="0" collapsed="false">
      <c r="A10" s="10" t="s">
        <v>10283</v>
      </c>
      <c r="B10" s="10" t="s">
        <v>10261</v>
      </c>
      <c r="C10" s="11" t="s">
        <v>10284</v>
      </c>
      <c r="D10" s="10" t="s">
        <v>240</v>
      </c>
      <c r="E10" s="10" t="s">
        <v>10264</v>
      </c>
      <c r="F10" s="10" t="s">
        <v>10264</v>
      </c>
      <c r="G10" s="10" t="s">
        <v>244</v>
      </c>
      <c r="H10" s="11" t="s">
        <v>10285</v>
      </c>
      <c r="I10" s="10"/>
      <c r="J10" s="10"/>
      <c r="K10" s="10" t="s">
        <v>10210</v>
      </c>
      <c r="L10" s="10"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30"/>
    <col collapsed="false" customWidth="true" hidden="false" outlineLevel="0" max="4" min="4" style="0" width="26"/>
    <col collapsed="false" customWidth="true" hidden="false" outlineLevel="0" max="6" min="5" style="0" width="16"/>
    <col collapsed="false" customWidth="true" hidden="false" outlineLevel="0" max="7" min="7" style="0" width="14"/>
    <col collapsed="false" customWidth="true" hidden="false" outlineLevel="0" max="8" min="8" style="0" width="26"/>
    <col collapsed="false" customWidth="true" hidden="false" outlineLevel="0" max="9" min="9" style="0" width="13"/>
  </cols>
  <sheetData>
    <row r="1" customFormat="false" ht="16.15" hidden="false" customHeight="false" outlineLevel="0" collapsed="false">
      <c r="A1" s="9" t="s">
        <v>10286</v>
      </c>
    </row>
    <row r="2" customFormat="false" ht="15" hidden="false" customHeight="false" outlineLevel="0" collapsed="false">
      <c r="A2" s="3" t="s">
        <v>10287</v>
      </c>
    </row>
    <row r="4" customFormat="false" ht="15" hidden="false" customHeight="false" outlineLevel="0" collapsed="false">
      <c r="A4" s="6" t="s">
        <v>50</v>
      </c>
      <c r="B4" s="6" t="s">
        <v>203</v>
      </c>
      <c r="C4" s="6" t="s">
        <v>10288</v>
      </c>
      <c r="D4" s="6" t="s">
        <v>10289</v>
      </c>
      <c r="E4" s="6" t="s">
        <v>10290</v>
      </c>
      <c r="F4" s="6" t="s">
        <v>10291</v>
      </c>
      <c r="G4" s="6" t="s">
        <v>10292</v>
      </c>
      <c r="H4" s="6" t="s">
        <v>10293</v>
      </c>
      <c r="I4" s="6" t="s">
        <v>223</v>
      </c>
    </row>
    <row r="5" customFormat="false" ht="15" hidden="false" customHeight="false" outlineLevel="0" collapsed="false">
      <c r="A5" s="10" t="s">
        <v>60</v>
      </c>
      <c r="B5" s="11" t="s">
        <v>61</v>
      </c>
      <c r="C5" s="10" t="s">
        <v>10294</v>
      </c>
      <c r="D5" s="10"/>
      <c r="E5" s="10"/>
      <c r="F5" s="10"/>
      <c r="G5" s="10"/>
      <c r="H5" s="10"/>
      <c r="I5" s="10" t="s">
        <v>242</v>
      </c>
    </row>
    <row r="6" customFormat="false" ht="15" hidden="false" customHeight="false" outlineLevel="0" collapsed="false">
      <c r="A6" s="10" t="s">
        <v>65</v>
      </c>
      <c r="B6" s="11" t="s">
        <v>66</v>
      </c>
      <c r="C6" s="10" t="s">
        <v>10294</v>
      </c>
      <c r="D6" s="10"/>
      <c r="E6" s="10"/>
      <c r="F6" s="10"/>
      <c r="G6" s="10"/>
      <c r="H6" s="10"/>
      <c r="I6" s="10" t="s">
        <v>242</v>
      </c>
    </row>
    <row r="7" customFormat="false" ht="15" hidden="false" customHeight="false" outlineLevel="0" collapsed="false">
      <c r="A7" s="10" t="s">
        <v>68</v>
      </c>
      <c r="B7" s="11" t="s">
        <v>69</v>
      </c>
      <c r="C7" s="10" t="s">
        <v>10294</v>
      </c>
      <c r="D7" s="10"/>
      <c r="E7" s="10"/>
      <c r="F7" s="10"/>
      <c r="G7" s="10"/>
      <c r="H7" s="10"/>
      <c r="I7" s="10" t="s">
        <v>242</v>
      </c>
    </row>
    <row r="8" customFormat="false" ht="15" hidden="false" customHeight="false" outlineLevel="0" collapsed="false">
      <c r="A8" s="10" t="s">
        <v>73</v>
      </c>
      <c r="B8" s="11" t="s">
        <v>74</v>
      </c>
      <c r="C8" s="10" t="s">
        <v>10294</v>
      </c>
      <c r="D8" s="10"/>
      <c r="E8" s="10"/>
      <c r="F8" s="10"/>
      <c r="G8" s="10"/>
      <c r="H8" s="10"/>
      <c r="I8" s="10" t="s">
        <v>242</v>
      </c>
    </row>
    <row r="9" customFormat="false" ht="15" hidden="false" customHeight="false" outlineLevel="0" collapsed="false">
      <c r="A9" s="10" t="s">
        <v>77</v>
      </c>
      <c r="B9" s="11" t="s">
        <v>78</v>
      </c>
      <c r="C9" s="10" t="s">
        <v>10294</v>
      </c>
      <c r="D9" s="10"/>
      <c r="E9" s="10"/>
      <c r="F9" s="10"/>
      <c r="G9" s="10"/>
      <c r="H9" s="10"/>
      <c r="I9" s="10" t="s">
        <v>242</v>
      </c>
    </row>
    <row r="10" customFormat="false" ht="15" hidden="false" customHeight="false" outlineLevel="0" collapsed="false">
      <c r="A10" s="10" t="s">
        <v>81</v>
      </c>
      <c r="B10" s="11" t="s">
        <v>82</v>
      </c>
      <c r="C10" s="10" t="s">
        <v>10294</v>
      </c>
      <c r="D10" s="10"/>
      <c r="E10" s="10"/>
      <c r="F10" s="10"/>
      <c r="G10" s="10"/>
      <c r="H10" s="10"/>
      <c r="I10" s="10" t="s">
        <v>242</v>
      </c>
    </row>
    <row r="11" customFormat="false" ht="15" hidden="false" customHeight="false" outlineLevel="0" collapsed="false">
      <c r="A11" s="10" t="s">
        <v>84</v>
      </c>
      <c r="B11" s="11" t="s">
        <v>85</v>
      </c>
      <c r="C11" s="10" t="s">
        <v>10294</v>
      </c>
      <c r="D11" s="10"/>
      <c r="E11" s="10"/>
      <c r="F11" s="10"/>
      <c r="G11" s="10"/>
      <c r="H11" s="10"/>
      <c r="I11" s="10" t="s">
        <v>242</v>
      </c>
    </row>
    <row r="12" customFormat="false" ht="15" hidden="false" customHeight="false" outlineLevel="0" collapsed="false">
      <c r="A12" s="10" t="s">
        <v>88</v>
      </c>
      <c r="B12" s="11" t="s">
        <v>89</v>
      </c>
      <c r="C12" s="10" t="s">
        <v>10294</v>
      </c>
      <c r="D12" s="10"/>
      <c r="E12" s="10"/>
      <c r="F12" s="10"/>
      <c r="G12" s="10"/>
      <c r="H12" s="10"/>
      <c r="I12" s="10" t="s">
        <v>242</v>
      </c>
    </row>
    <row r="13" customFormat="false" ht="15" hidden="false" customHeight="false" outlineLevel="0" collapsed="false">
      <c r="A13" s="10" t="s">
        <v>91</v>
      </c>
      <c r="B13" s="11" t="s">
        <v>92</v>
      </c>
      <c r="C13" s="10" t="s">
        <v>10294</v>
      </c>
      <c r="D13" s="10"/>
      <c r="E13" s="10"/>
      <c r="F13" s="10"/>
      <c r="G13" s="10"/>
      <c r="H13" s="10"/>
      <c r="I13" s="10" t="s">
        <v>242</v>
      </c>
    </row>
    <row r="14" customFormat="false" ht="15" hidden="false" customHeight="false" outlineLevel="0" collapsed="false">
      <c r="A14" s="10" t="s">
        <v>94</v>
      </c>
      <c r="B14" s="11" t="s">
        <v>95</v>
      </c>
      <c r="C14" s="10" t="s">
        <v>10294</v>
      </c>
      <c r="D14" s="10"/>
      <c r="E14" s="10"/>
      <c r="F14" s="10"/>
      <c r="G14" s="10"/>
      <c r="H14" s="10"/>
      <c r="I14" s="10" t="s">
        <v>242</v>
      </c>
    </row>
    <row r="15" customFormat="false" ht="15" hidden="false" customHeight="false" outlineLevel="0" collapsed="false">
      <c r="A15" s="10" t="s">
        <v>97</v>
      </c>
      <c r="B15" s="11" t="s">
        <v>98</v>
      </c>
      <c r="C15" s="10" t="s">
        <v>10294</v>
      </c>
      <c r="D15" s="10"/>
      <c r="E15" s="10"/>
      <c r="F15" s="10"/>
      <c r="G15" s="10"/>
      <c r="H15" s="10"/>
      <c r="I15" s="10" t="s">
        <v>242</v>
      </c>
    </row>
    <row r="16" customFormat="false" ht="15" hidden="false" customHeight="false" outlineLevel="0" collapsed="false">
      <c r="A16" s="10" t="s">
        <v>100</v>
      </c>
      <c r="B16" s="11" t="s">
        <v>101</v>
      </c>
      <c r="C16" s="10" t="s">
        <v>10294</v>
      </c>
      <c r="D16" s="10"/>
      <c r="E16" s="10"/>
      <c r="F16" s="10"/>
      <c r="G16" s="10"/>
      <c r="H16" s="10"/>
      <c r="I16" s="10" t="s">
        <v>242</v>
      </c>
    </row>
    <row r="17" customFormat="false" ht="15" hidden="false" customHeight="false" outlineLevel="0" collapsed="false">
      <c r="A17" s="10" t="s">
        <v>103</v>
      </c>
      <c r="B17" s="11" t="s">
        <v>104</v>
      </c>
      <c r="C17" s="10" t="s">
        <v>10294</v>
      </c>
      <c r="D17" s="10"/>
      <c r="E17" s="10"/>
      <c r="F17" s="10"/>
      <c r="G17" s="10"/>
      <c r="H17" s="10"/>
      <c r="I17" s="10" t="s">
        <v>242</v>
      </c>
    </row>
    <row r="18" customFormat="false" ht="15" hidden="false" customHeight="false" outlineLevel="0" collapsed="false">
      <c r="A18" s="10" t="s">
        <v>106</v>
      </c>
      <c r="B18" s="11" t="s">
        <v>107</v>
      </c>
      <c r="C18" s="10" t="s">
        <v>10294</v>
      </c>
      <c r="D18" s="10"/>
      <c r="E18" s="10"/>
      <c r="F18" s="10"/>
      <c r="G18" s="10"/>
      <c r="H18" s="10"/>
      <c r="I18" s="10" t="s">
        <v>242</v>
      </c>
    </row>
    <row r="19" customFormat="false" ht="15" hidden="false" customHeight="false" outlineLevel="0" collapsed="false">
      <c r="A19" s="10" t="s">
        <v>109</v>
      </c>
      <c r="B19" s="11" t="s">
        <v>110</v>
      </c>
      <c r="C19" s="10" t="s">
        <v>10294</v>
      </c>
      <c r="D19" s="10"/>
      <c r="E19" s="10"/>
      <c r="F19" s="10"/>
      <c r="G19" s="10"/>
      <c r="H19" s="10"/>
      <c r="I19" s="10" t="s">
        <v>242</v>
      </c>
    </row>
    <row r="20" customFormat="false" ht="15" hidden="false" customHeight="false" outlineLevel="0" collapsed="false">
      <c r="A20" s="10" t="s">
        <v>112</v>
      </c>
      <c r="B20" s="11" t="s">
        <v>113</v>
      </c>
      <c r="C20" s="10" t="s">
        <v>10294</v>
      </c>
      <c r="D20" s="10"/>
      <c r="E20" s="10"/>
      <c r="F20" s="10"/>
      <c r="G20" s="10"/>
      <c r="H20" s="10"/>
      <c r="I20" s="10" t="s">
        <v>242</v>
      </c>
    </row>
    <row r="21" customFormat="false" ht="15" hidden="false" customHeight="false" outlineLevel="0" collapsed="false">
      <c r="A21" s="10" t="s">
        <v>116</v>
      </c>
      <c r="B21" s="11" t="s">
        <v>117</v>
      </c>
      <c r="C21" s="10" t="s">
        <v>10294</v>
      </c>
      <c r="D21" s="10"/>
      <c r="E21" s="10"/>
      <c r="F21" s="10"/>
      <c r="G21" s="10"/>
      <c r="H21" s="10"/>
      <c r="I21" s="10" t="s">
        <v>242</v>
      </c>
    </row>
    <row r="22" customFormat="false" ht="15" hidden="false" customHeight="false" outlineLevel="0" collapsed="false">
      <c r="A22" s="10" t="s">
        <v>121</v>
      </c>
      <c r="B22" s="11" t="s">
        <v>122</v>
      </c>
      <c r="C22" s="10" t="s">
        <v>10294</v>
      </c>
      <c r="D22" s="10"/>
      <c r="E22" s="10"/>
      <c r="F22" s="10"/>
      <c r="G22" s="10"/>
      <c r="H22" s="10"/>
      <c r="I22" s="10" t="s">
        <v>242</v>
      </c>
    </row>
    <row r="23" customFormat="false" ht="15" hidden="false" customHeight="false" outlineLevel="0" collapsed="false">
      <c r="A23" s="10" t="s">
        <v>124</v>
      </c>
      <c r="B23" s="11" t="s">
        <v>125</v>
      </c>
      <c r="C23" s="10" t="s">
        <v>10294</v>
      </c>
      <c r="D23" s="10"/>
      <c r="E23" s="10"/>
      <c r="F23" s="10"/>
      <c r="G23" s="10"/>
      <c r="H23" s="10"/>
      <c r="I23" s="10" t="s">
        <v>242</v>
      </c>
    </row>
    <row r="24" customFormat="false" ht="15" hidden="false" customHeight="false" outlineLevel="0" collapsed="false">
      <c r="A24" s="10" t="s">
        <v>127</v>
      </c>
      <c r="B24" s="11" t="s">
        <v>128</v>
      </c>
      <c r="C24" s="10" t="s">
        <v>10294</v>
      </c>
      <c r="D24" s="10"/>
      <c r="E24" s="10"/>
      <c r="F24" s="10"/>
      <c r="G24" s="10"/>
      <c r="H24" s="10"/>
      <c r="I24" s="10" t="s">
        <v>242</v>
      </c>
    </row>
    <row r="25" customFormat="false" ht="15" hidden="false" customHeight="false" outlineLevel="0" collapsed="false">
      <c r="A25" s="10" t="s">
        <v>132</v>
      </c>
      <c r="B25" s="11" t="s">
        <v>133</v>
      </c>
      <c r="C25" s="10" t="s">
        <v>10294</v>
      </c>
      <c r="D25" s="10"/>
      <c r="E25" s="10"/>
      <c r="F25" s="10"/>
      <c r="G25" s="10"/>
      <c r="H25" s="10"/>
      <c r="I25" s="10" t="s">
        <v>242</v>
      </c>
    </row>
    <row r="26" customFormat="false" ht="15" hidden="false" customHeight="false" outlineLevel="0" collapsed="false">
      <c r="A26" s="10" t="s">
        <v>137</v>
      </c>
      <c r="B26" s="11" t="s">
        <v>138</v>
      </c>
      <c r="C26" s="10" t="s">
        <v>10294</v>
      </c>
      <c r="D26" s="10"/>
      <c r="E26" s="10"/>
      <c r="F26" s="10"/>
      <c r="G26" s="10"/>
      <c r="H26" s="10"/>
      <c r="I26" s="10" t="s">
        <v>242</v>
      </c>
    </row>
    <row r="27" customFormat="false" ht="15" hidden="false" customHeight="false" outlineLevel="0" collapsed="false">
      <c r="A27" s="10" t="s">
        <v>140</v>
      </c>
      <c r="B27" s="11" t="s">
        <v>141</v>
      </c>
      <c r="C27" s="10" t="s">
        <v>10294</v>
      </c>
      <c r="D27" s="10"/>
      <c r="E27" s="10"/>
      <c r="F27" s="10"/>
      <c r="G27" s="10"/>
      <c r="H27" s="10"/>
      <c r="I27" s="10" t="s">
        <v>242</v>
      </c>
    </row>
    <row r="28" customFormat="false" ht="15" hidden="false" customHeight="false" outlineLevel="0" collapsed="false">
      <c r="A28" s="10" t="s">
        <v>143</v>
      </c>
      <c r="B28" s="11" t="s">
        <v>144</v>
      </c>
      <c r="C28" s="10" t="s">
        <v>10294</v>
      </c>
      <c r="D28" s="10"/>
      <c r="E28" s="10"/>
      <c r="F28" s="10"/>
      <c r="G28" s="10"/>
      <c r="H28" s="10"/>
      <c r="I28" s="10" t="s">
        <v>242</v>
      </c>
    </row>
    <row r="29" customFormat="false" ht="15" hidden="false" customHeight="false" outlineLevel="0" collapsed="false">
      <c r="A29" s="10" t="s">
        <v>147</v>
      </c>
      <c r="B29" s="11" t="s">
        <v>148</v>
      </c>
      <c r="C29" s="10" t="s">
        <v>10294</v>
      </c>
      <c r="D29" s="10"/>
      <c r="E29" s="10"/>
      <c r="F29" s="10"/>
      <c r="G29" s="10"/>
      <c r="H29" s="10"/>
      <c r="I29" s="10" t="s">
        <v>242</v>
      </c>
    </row>
    <row r="30" customFormat="false" ht="15" hidden="false" customHeight="false" outlineLevel="0" collapsed="false">
      <c r="A30" s="10" t="s">
        <v>150</v>
      </c>
      <c r="B30" s="11" t="s">
        <v>151</v>
      </c>
      <c r="C30" s="10" t="s">
        <v>10294</v>
      </c>
      <c r="D30" s="10"/>
      <c r="E30" s="10"/>
      <c r="F30" s="10"/>
      <c r="G30" s="10"/>
      <c r="H30" s="10"/>
      <c r="I30" s="10" t="s">
        <v>242</v>
      </c>
    </row>
    <row r="31" customFormat="false" ht="15" hidden="false" customHeight="false" outlineLevel="0" collapsed="false">
      <c r="A31" s="10" t="s">
        <v>153</v>
      </c>
      <c r="B31" s="11" t="s">
        <v>154</v>
      </c>
      <c r="C31" s="10" t="s">
        <v>10294</v>
      </c>
      <c r="D31" s="10"/>
      <c r="E31" s="10"/>
      <c r="F31" s="10"/>
      <c r="G31" s="10"/>
      <c r="H31" s="10"/>
      <c r="I31" s="10" t="s">
        <v>242</v>
      </c>
    </row>
    <row r="32" customFormat="false" ht="15" hidden="false" customHeight="false" outlineLevel="0" collapsed="false">
      <c r="A32" s="10" t="s">
        <v>157</v>
      </c>
      <c r="B32" s="11" t="s">
        <v>158</v>
      </c>
      <c r="C32" s="10" t="s">
        <v>10294</v>
      </c>
      <c r="D32" s="10"/>
      <c r="E32" s="10"/>
      <c r="F32" s="10"/>
      <c r="G32" s="10"/>
      <c r="H32" s="10"/>
      <c r="I32" s="10" t="s">
        <v>242</v>
      </c>
    </row>
    <row r="33" customFormat="false" ht="15" hidden="false" customHeight="false" outlineLevel="0" collapsed="false">
      <c r="A33" s="10" t="s">
        <v>159</v>
      </c>
      <c r="B33" s="11" t="s">
        <v>160</v>
      </c>
      <c r="C33" s="10" t="s">
        <v>10294</v>
      </c>
      <c r="D33" s="10"/>
      <c r="E33" s="10"/>
      <c r="F33" s="10"/>
      <c r="G33" s="10"/>
      <c r="H33" s="10"/>
      <c r="I33" s="10" t="s">
        <v>242</v>
      </c>
    </row>
    <row r="34" customFormat="false" ht="15" hidden="false" customHeight="false" outlineLevel="0" collapsed="false">
      <c r="A34" s="10" t="s">
        <v>162</v>
      </c>
      <c r="B34" s="11" t="s">
        <v>163</v>
      </c>
      <c r="C34" s="10" t="s">
        <v>10294</v>
      </c>
      <c r="D34" s="10"/>
      <c r="E34" s="10"/>
      <c r="F34" s="10"/>
      <c r="G34" s="10"/>
      <c r="H34" s="10"/>
      <c r="I34" s="10" t="s">
        <v>242</v>
      </c>
    </row>
    <row r="35" customFormat="false" ht="15" hidden="false" customHeight="false" outlineLevel="0" collapsed="false">
      <c r="A35" s="10" t="s">
        <v>165</v>
      </c>
      <c r="B35" s="11" t="s">
        <v>166</v>
      </c>
      <c r="C35" s="10" t="s">
        <v>10294</v>
      </c>
      <c r="D35" s="10"/>
      <c r="E35" s="10"/>
      <c r="F35" s="10"/>
      <c r="G35" s="10"/>
      <c r="H35" s="10"/>
      <c r="I35" s="10" t="s">
        <v>242</v>
      </c>
    </row>
    <row r="36" customFormat="false" ht="15" hidden="false" customHeight="false" outlineLevel="0" collapsed="false">
      <c r="A36" s="10" t="s">
        <v>169</v>
      </c>
      <c r="B36" s="11" t="s">
        <v>170</v>
      </c>
      <c r="C36" s="10" t="s">
        <v>10294</v>
      </c>
      <c r="D36" s="10"/>
      <c r="E36" s="10"/>
      <c r="F36" s="10"/>
      <c r="G36" s="10"/>
      <c r="H36" s="10"/>
      <c r="I36" s="10" t="s">
        <v>242</v>
      </c>
    </row>
    <row r="37" customFormat="false" ht="15" hidden="false" customHeight="false" outlineLevel="0" collapsed="false">
      <c r="A37" s="10" t="s">
        <v>172</v>
      </c>
      <c r="B37" s="11" t="s">
        <v>173</v>
      </c>
      <c r="C37" s="10" t="s">
        <v>10294</v>
      </c>
      <c r="D37" s="10"/>
      <c r="E37" s="10"/>
      <c r="F37" s="10"/>
      <c r="G37" s="10"/>
      <c r="H37" s="10"/>
      <c r="I37" s="10" t="s">
        <v>242</v>
      </c>
    </row>
    <row r="38" customFormat="false" ht="15" hidden="false" customHeight="false" outlineLevel="0" collapsed="false">
      <c r="A38" s="10" t="s">
        <v>175</v>
      </c>
      <c r="B38" s="11" t="s">
        <v>176</v>
      </c>
      <c r="C38" s="10" t="s">
        <v>10294</v>
      </c>
      <c r="D38" s="10"/>
      <c r="E38" s="10"/>
      <c r="F38" s="10"/>
      <c r="G38" s="10"/>
      <c r="H38" s="10"/>
      <c r="I38" s="10" t="s">
        <v>242</v>
      </c>
    </row>
    <row r="39" customFormat="false" ht="15" hidden="false" customHeight="false" outlineLevel="0" collapsed="false">
      <c r="A39" s="10" t="s">
        <v>178</v>
      </c>
      <c r="B39" s="11" t="s">
        <v>179</v>
      </c>
      <c r="C39" s="10" t="s">
        <v>10294</v>
      </c>
      <c r="D39" s="10"/>
      <c r="E39" s="10"/>
      <c r="F39" s="10"/>
      <c r="G39" s="10"/>
      <c r="H39" s="10"/>
      <c r="I39" s="10" t="s">
        <v>242</v>
      </c>
    </row>
    <row r="40" customFormat="false" ht="15" hidden="false" customHeight="false" outlineLevel="0" collapsed="false">
      <c r="A40" s="10" t="s">
        <v>181</v>
      </c>
      <c r="B40" s="11" t="s">
        <v>182</v>
      </c>
      <c r="C40" s="10" t="s">
        <v>10294</v>
      </c>
      <c r="D40" s="10"/>
      <c r="E40" s="10"/>
      <c r="F40" s="10"/>
      <c r="G40" s="10"/>
      <c r="H40" s="10"/>
      <c r="I40" s="10" t="s">
        <v>242</v>
      </c>
    </row>
    <row r="41" customFormat="false" ht="15" hidden="false" customHeight="false" outlineLevel="0" collapsed="false">
      <c r="A41" s="10" t="s">
        <v>183</v>
      </c>
      <c r="B41" s="11" t="s">
        <v>184</v>
      </c>
      <c r="C41" s="10" t="s">
        <v>10294</v>
      </c>
      <c r="D41" s="10"/>
      <c r="E41" s="10"/>
      <c r="F41" s="10"/>
      <c r="G41" s="10"/>
      <c r="H41" s="10"/>
      <c r="I41" s="10" t="s">
        <v>242</v>
      </c>
    </row>
    <row r="42" customFormat="false" ht="15" hidden="false" customHeight="false" outlineLevel="0" collapsed="false">
      <c r="A42" s="10" t="s">
        <v>187</v>
      </c>
      <c r="B42" s="11" t="s">
        <v>188</v>
      </c>
      <c r="C42" s="10" t="s">
        <v>10294</v>
      </c>
      <c r="D42" s="10"/>
      <c r="E42" s="10"/>
      <c r="F42" s="10"/>
      <c r="G42" s="10"/>
      <c r="H42" s="10"/>
      <c r="I42" s="10" t="s">
        <v>242</v>
      </c>
    </row>
    <row r="43" customFormat="false" ht="15" hidden="false" customHeight="false" outlineLevel="0" collapsed="false">
      <c r="A43" s="10" t="s">
        <v>189</v>
      </c>
      <c r="B43" s="11" t="s">
        <v>190</v>
      </c>
      <c r="C43" s="10" t="s">
        <v>10294</v>
      </c>
      <c r="D43" s="10"/>
      <c r="E43" s="10"/>
      <c r="F43" s="10"/>
      <c r="G43" s="10"/>
      <c r="H43" s="10"/>
      <c r="I43" s="10" t="s">
        <v>242</v>
      </c>
    </row>
    <row r="44" customFormat="false" ht="15" hidden="false" customHeight="false" outlineLevel="0" collapsed="false">
      <c r="A44" s="10" t="s">
        <v>191</v>
      </c>
      <c r="B44" s="11" t="s">
        <v>192</v>
      </c>
      <c r="C44" s="10" t="s">
        <v>10294</v>
      </c>
      <c r="D44" s="10"/>
      <c r="E44" s="10"/>
      <c r="F44" s="10"/>
      <c r="G44" s="10"/>
      <c r="H44" s="10"/>
      <c r="I44" s="10" t="s">
        <v>242</v>
      </c>
    </row>
    <row r="45" customFormat="false" ht="15" hidden="false" customHeight="false" outlineLevel="0" collapsed="false">
      <c r="A45" s="10" t="s">
        <v>193</v>
      </c>
      <c r="B45" s="11" t="s">
        <v>194</v>
      </c>
      <c r="C45" s="10" t="s">
        <v>10294</v>
      </c>
      <c r="D45" s="10"/>
      <c r="E45" s="10"/>
      <c r="F45" s="10"/>
      <c r="G45" s="10"/>
      <c r="H45" s="10"/>
      <c r="I45" s="10" t="s">
        <v>242</v>
      </c>
    </row>
    <row r="46" customFormat="false" ht="15" hidden="false" customHeight="false" outlineLevel="0" collapsed="false">
      <c r="A46" s="10" t="s">
        <v>196</v>
      </c>
      <c r="B46" s="11" t="s">
        <v>197</v>
      </c>
      <c r="C46" s="10" t="s">
        <v>10294</v>
      </c>
      <c r="D46" s="10"/>
      <c r="E46" s="10"/>
      <c r="F46" s="10"/>
      <c r="G46" s="10"/>
      <c r="H46" s="10"/>
      <c r="I46" s="10" t="s">
        <v>242</v>
      </c>
    </row>
    <row r="47" customFormat="false" ht="15" hidden="false" customHeight="false" outlineLevel="0" collapsed="false">
      <c r="A47" s="10" t="s">
        <v>200</v>
      </c>
      <c r="B47" s="11" t="s">
        <v>201</v>
      </c>
      <c r="C47" s="10" t="s">
        <v>10294</v>
      </c>
      <c r="D47" s="10"/>
      <c r="E47" s="10"/>
      <c r="F47" s="10"/>
      <c r="G47" s="10"/>
      <c r="H47" s="10"/>
      <c r="I47" s="10" t="s">
        <v>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13" min="3" style="0" width="13"/>
    <col collapsed="false" customWidth="true" hidden="false" outlineLevel="0" max="14" min="14" style="0" width="14"/>
  </cols>
  <sheetData>
    <row r="1" customFormat="false" ht="16.15" hidden="false" customHeight="false" outlineLevel="0" collapsed="false">
      <c r="A1" s="9" t="s">
        <v>10295</v>
      </c>
    </row>
    <row r="2" customFormat="false" ht="15" hidden="false" customHeight="false" outlineLevel="0" collapsed="false">
      <c r="A2" s="3" t="s">
        <v>10296</v>
      </c>
    </row>
    <row r="4" customFormat="false" ht="23.85" hidden="false" customHeight="false" outlineLevel="0" collapsed="false">
      <c r="A4" s="6" t="s">
        <v>10168</v>
      </c>
      <c r="B4" s="6" t="s">
        <v>18</v>
      </c>
      <c r="C4" s="6" t="s">
        <v>10297</v>
      </c>
      <c r="D4" s="6" t="s">
        <v>10298</v>
      </c>
      <c r="E4" s="6" t="s">
        <v>10299</v>
      </c>
      <c r="F4" s="6" t="s">
        <v>10300</v>
      </c>
      <c r="G4" s="6" t="s">
        <v>10301</v>
      </c>
      <c r="H4" s="6" t="s">
        <v>10302</v>
      </c>
      <c r="I4" s="6" t="s">
        <v>10303</v>
      </c>
      <c r="J4" s="6" t="s">
        <v>10304</v>
      </c>
      <c r="K4" s="6" t="s">
        <v>7671</v>
      </c>
      <c r="L4" s="6" t="s">
        <v>342</v>
      </c>
      <c r="M4" s="6" t="s">
        <v>10305</v>
      </c>
      <c r="N4" s="6" t="s">
        <v>10306</v>
      </c>
    </row>
    <row r="5" customFormat="false" ht="15" hidden="false" customHeight="false" outlineLevel="0" collapsed="false">
      <c r="A5" s="10" t="s">
        <v>10175</v>
      </c>
      <c r="B5" s="10" t="s">
        <v>28</v>
      </c>
      <c r="C5" s="10"/>
      <c r="D5" s="10"/>
      <c r="E5" s="10"/>
      <c r="F5" s="10"/>
      <c r="G5" s="10"/>
      <c r="H5" s="10"/>
      <c r="I5" s="10"/>
      <c r="J5" s="10"/>
      <c r="K5" s="10"/>
      <c r="L5" s="10"/>
      <c r="M5" s="10"/>
      <c r="N5"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9"/>
    <col collapsed="false" customWidth="true" hidden="false" outlineLevel="0" max="4" min="4" style="0" width="13"/>
    <col collapsed="false" customWidth="true" hidden="false" outlineLevel="0" max="7" min="5" style="0" width="10"/>
    <col collapsed="false" customWidth="true" hidden="false" outlineLevel="0" max="8" min="8" style="0" width="13"/>
    <col collapsed="false" customWidth="true" hidden="false" outlineLevel="0" max="9" min="9" style="0" width="58"/>
  </cols>
  <sheetData>
    <row r="1" customFormat="false" ht="16.15" hidden="false" customHeight="false" outlineLevel="0" collapsed="false">
      <c r="A1" s="9" t="s">
        <v>10307</v>
      </c>
    </row>
    <row r="2" customFormat="false" ht="15" hidden="false" customHeight="false" outlineLevel="0" collapsed="false">
      <c r="A2" s="3" t="s">
        <v>10308</v>
      </c>
    </row>
    <row r="4" customFormat="false" ht="15" hidden="false" customHeight="false" outlineLevel="0" collapsed="false">
      <c r="A4" s="6" t="s">
        <v>10309</v>
      </c>
      <c r="B4" s="6" t="s">
        <v>10310</v>
      </c>
      <c r="C4" s="6" t="s">
        <v>22</v>
      </c>
      <c r="D4" s="6" t="s">
        <v>23</v>
      </c>
      <c r="E4" s="6" t="s">
        <v>24</v>
      </c>
      <c r="F4" s="6" t="s">
        <v>25</v>
      </c>
      <c r="G4" s="6" t="s">
        <v>41</v>
      </c>
      <c r="H4" s="6" t="s">
        <v>10311</v>
      </c>
      <c r="I4" s="6" t="s">
        <v>227</v>
      </c>
    </row>
    <row r="5" customFormat="false" ht="15" hidden="false" customHeight="false" outlineLevel="0" collapsed="false">
      <c r="A5" s="10" t="s">
        <v>10312</v>
      </c>
      <c r="B5" s="10" t="n">
        <f aca="false">2120</f>
        <v>2120</v>
      </c>
      <c r="C5" s="10"/>
      <c r="D5" s="10"/>
      <c r="E5" s="10"/>
      <c r="F5" s="10"/>
      <c r="G5" s="10"/>
      <c r="H5" s="10"/>
      <c r="I5" s="11" t="s">
        <v>10313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9"/>
    <col collapsed="false" customWidth="true" hidden="false" outlineLevel="0" max="4" min="4" style="0" width="62"/>
    <col collapsed="false" customWidth="true" hidden="false" outlineLevel="0" max="5" min="5" style="0" width="46"/>
  </cols>
  <sheetData>
    <row r="1" customFormat="false" ht="15" hidden="false" customHeight="false" outlineLevel="0" collapsed="false">
      <c r="A1" s="6" t="s">
        <v>10314</v>
      </c>
      <c r="B1" s="6" t="s">
        <v>52</v>
      </c>
      <c r="C1" s="6" t="s">
        <v>10182</v>
      </c>
      <c r="D1" s="6" t="s">
        <v>10315</v>
      </c>
      <c r="E1" s="6" t="s">
        <v>10316</v>
      </c>
    </row>
    <row r="2" customFormat="false" ht="15" hidden="false" customHeight="false" outlineLevel="0" collapsed="false">
      <c r="A2" s="10" t="s">
        <v>60</v>
      </c>
      <c r="B2" s="10" t="s">
        <v>62</v>
      </c>
      <c r="C2" s="10" t="n">
        <v>103</v>
      </c>
      <c r="D2" s="11" t="s">
        <v>10317</v>
      </c>
      <c r="E2" s="11" t="s">
        <v>61</v>
      </c>
    </row>
    <row r="3" customFormat="false" ht="15" hidden="false" customHeight="false" outlineLevel="0" collapsed="false">
      <c r="A3" s="10" t="s">
        <v>65</v>
      </c>
      <c r="B3" s="10" t="s">
        <v>62</v>
      </c>
      <c r="C3" s="10" t="n">
        <v>98</v>
      </c>
      <c r="D3" s="11" t="s">
        <v>10317</v>
      </c>
      <c r="E3" s="11" t="s">
        <v>66</v>
      </c>
    </row>
    <row r="4" customFormat="false" ht="15" hidden="false" customHeight="false" outlineLevel="0" collapsed="false">
      <c r="A4" s="10" t="s">
        <v>68</v>
      </c>
      <c r="B4" s="10" t="s">
        <v>62</v>
      </c>
      <c r="C4" s="10" t="n">
        <v>17</v>
      </c>
      <c r="D4" s="11" t="s">
        <v>10317</v>
      </c>
      <c r="E4" s="11" t="s">
        <v>69</v>
      </c>
    </row>
    <row r="5" customFormat="false" ht="15" hidden="false" customHeight="false" outlineLevel="0" collapsed="false">
      <c r="A5" s="10" t="s">
        <v>73</v>
      </c>
      <c r="B5" s="10" t="s">
        <v>62</v>
      </c>
      <c r="C5" s="10" t="n">
        <v>13</v>
      </c>
      <c r="D5" s="11" t="s">
        <v>10317</v>
      </c>
      <c r="E5" s="11" t="s">
        <v>74</v>
      </c>
    </row>
    <row r="6" customFormat="false" ht="15" hidden="false" customHeight="false" outlineLevel="0" collapsed="false">
      <c r="A6" s="10" t="s">
        <v>77</v>
      </c>
      <c r="B6" s="10" t="s">
        <v>62</v>
      </c>
      <c r="C6" s="10" t="n">
        <v>13</v>
      </c>
      <c r="D6" s="11" t="s">
        <v>10317</v>
      </c>
      <c r="E6" s="11" t="s">
        <v>78</v>
      </c>
    </row>
    <row r="7" customFormat="false" ht="15" hidden="false" customHeight="false" outlineLevel="0" collapsed="false">
      <c r="A7" s="10" t="s">
        <v>81</v>
      </c>
      <c r="B7" s="10" t="s">
        <v>62</v>
      </c>
      <c r="C7" s="10" t="n">
        <v>36</v>
      </c>
      <c r="D7" s="11" t="s">
        <v>10317</v>
      </c>
      <c r="E7" s="11" t="s">
        <v>82</v>
      </c>
    </row>
    <row r="8" customFormat="false" ht="15" hidden="false" customHeight="false" outlineLevel="0" collapsed="false">
      <c r="A8" s="10" t="s">
        <v>84</v>
      </c>
      <c r="B8" s="10" t="s">
        <v>62</v>
      </c>
      <c r="C8" s="10" t="n">
        <v>32</v>
      </c>
      <c r="D8" s="11" t="s">
        <v>10317</v>
      </c>
      <c r="E8" s="11" t="s">
        <v>85</v>
      </c>
    </row>
    <row r="9" customFormat="false" ht="15" hidden="false" customHeight="false" outlineLevel="0" collapsed="false">
      <c r="A9" s="10" t="s">
        <v>88</v>
      </c>
      <c r="B9" s="10" t="s">
        <v>62</v>
      </c>
      <c r="C9" s="10" t="n">
        <v>62</v>
      </c>
      <c r="D9" s="11" t="s">
        <v>10317</v>
      </c>
      <c r="E9" s="11" t="s">
        <v>89</v>
      </c>
    </row>
    <row r="10" customFormat="false" ht="15" hidden="false" customHeight="false" outlineLevel="0" collapsed="false">
      <c r="A10" s="10" t="s">
        <v>91</v>
      </c>
      <c r="B10" s="10" t="s">
        <v>62</v>
      </c>
      <c r="C10" s="10" t="n">
        <v>5</v>
      </c>
      <c r="D10" s="11" t="s">
        <v>10317</v>
      </c>
      <c r="E10" s="11" t="s">
        <v>92</v>
      </c>
    </row>
    <row r="11" customFormat="false" ht="22.35" hidden="false" customHeight="false" outlineLevel="0" collapsed="false">
      <c r="A11" s="10" t="s">
        <v>94</v>
      </c>
      <c r="B11" s="10" t="s">
        <v>62</v>
      </c>
      <c r="C11" s="10" t="n">
        <v>32</v>
      </c>
      <c r="D11" s="11" t="s">
        <v>10317</v>
      </c>
      <c r="E11" s="11" t="s">
        <v>95</v>
      </c>
    </row>
    <row r="12" customFormat="false" ht="15" hidden="false" customHeight="false" outlineLevel="0" collapsed="false">
      <c r="A12" s="10" t="s">
        <v>97</v>
      </c>
      <c r="B12" s="10" t="s">
        <v>62</v>
      </c>
      <c r="C12" s="10" t="n">
        <v>44</v>
      </c>
      <c r="D12" s="11" t="s">
        <v>10317</v>
      </c>
      <c r="E12" s="11" t="s">
        <v>98</v>
      </c>
    </row>
    <row r="13" customFormat="false" ht="15" hidden="false" customHeight="false" outlineLevel="0" collapsed="false">
      <c r="A13" s="10" t="s">
        <v>100</v>
      </c>
      <c r="B13" s="10" t="s">
        <v>62</v>
      </c>
      <c r="C13" s="10" t="n">
        <v>76</v>
      </c>
      <c r="D13" s="11" t="s">
        <v>10317</v>
      </c>
      <c r="E13" s="11" t="s">
        <v>101</v>
      </c>
    </row>
    <row r="14" customFormat="false" ht="15" hidden="false" customHeight="false" outlineLevel="0" collapsed="false">
      <c r="A14" s="10" t="s">
        <v>103</v>
      </c>
      <c r="B14" s="10" t="s">
        <v>62</v>
      </c>
      <c r="C14" s="10" t="n">
        <v>20</v>
      </c>
      <c r="D14" s="11" t="s">
        <v>10317</v>
      </c>
      <c r="E14" s="11" t="s">
        <v>104</v>
      </c>
    </row>
    <row r="15" customFormat="false" ht="15" hidden="false" customHeight="false" outlineLevel="0" collapsed="false">
      <c r="A15" s="10" t="s">
        <v>106</v>
      </c>
      <c r="B15" s="10" t="s">
        <v>62</v>
      </c>
      <c r="C15" s="10" t="n">
        <v>121</v>
      </c>
      <c r="D15" s="11" t="s">
        <v>10317</v>
      </c>
      <c r="E15" s="11" t="s">
        <v>107</v>
      </c>
    </row>
    <row r="16" customFormat="false" ht="15" hidden="false" customHeight="false" outlineLevel="0" collapsed="false">
      <c r="A16" s="10" t="s">
        <v>109</v>
      </c>
      <c r="B16" s="10" t="s">
        <v>62</v>
      </c>
      <c r="C16" s="10" t="n">
        <v>66</v>
      </c>
      <c r="D16" s="11" t="s">
        <v>10317</v>
      </c>
      <c r="E16" s="11" t="s">
        <v>110</v>
      </c>
    </row>
    <row r="17" customFormat="false" ht="15" hidden="false" customHeight="false" outlineLevel="0" collapsed="false">
      <c r="A17" s="10" t="s">
        <v>112</v>
      </c>
      <c r="B17" s="10" t="s">
        <v>62</v>
      </c>
      <c r="C17" s="10" t="n">
        <v>29</v>
      </c>
      <c r="D17" s="11" t="s">
        <v>10317</v>
      </c>
      <c r="E17" s="11" t="s">
        <v>113</v>
      </c>
    </row>
    <row r="18" customFormat="false" ht="15" hidden="false" customHeight="false" outlineLevel="0" collapsed="false">
      <c r="A18" s="10" t="s">
        <v>116</v>
      </c>
      <c r="B18" s="10" t="s">
        <v>62</v>
      </c>
      <c r="C18" s="10" t="n">
        <v>85</v>
      </c>
      <c r="D18" s="11" t="s">
        <v>10317</v>
      </c>
      <c r="E18" s="11" t="s">
        <v>117</v>
      </c>
    </row>
    <row r="19" customFormat="false" ht="15" hidden="false" customHeight="false" outlineLevel="0" collapsed="false">
      <c r="A19" s="10" t="s">
        <v>121</v>
      </c>
      <c r="B19" s="10" t="s">
        <v>62</v>
      </c>
      <c r="C19" s="10" t="n">
        <v>220</v>
      </c>
      <c r="D19" s="11" t="s">
        <v>10317</v>
      </c>
      <c r="E19" s="11" t="s">
        <v>122</v>
      </c>
    </row>
    <row r="20" customFormat="false" ht="15" hidden="false" customHeight="false" outlineLevel="0" collapsed="false">
      <c r="A20" s="10" t="s">
        <v>124</v>
      </c>
      <c r="B20" s="10" t="s">
        <v>62</v>
      </c>
      <c r="C20" s="10" t="n">
        <v>81</v>
      </c>
      <c r="D20" s="11" t="s">
        <v>10317</v>
      </c>
      <c r="E20" s="11" t="s">
        <v>125</v>
      </c>
    </row>
    <row r="21" customFormat="false" ht="15" hidden="false" customHeight="false" outlineLevel="0" collapsed="false">
      <c r="A21" s="10" t="s">
        <v>127</v>
      </c>
      <c r="B21" s="10" t="s">
        <v>62</v>
      </c>
      <c r="C21" s="10" t="n">
        <v>66</v>
      </c>
      <c r="D21" s="11" t="s">
        <v>10317</v>
      </c>
      <c r="E21" s="11" t="s">
        <v>128</v>
      </c>
    </row>
    <row r="22" customFormat="false" ht="15" hidden="false" customHeight="false" outlineLevel="0" collapsed="false">
      <c r="A22" s="10" t="s">
        <v>132</v>
      </c>
      <c r="B22" s="10" t="s">
        <v>62</v>
      </c>
      <c r="C22" s="10" t="n">
        <v>28</v>
      </c>
      <c r="D22" s="11" t="s">
        <v>10317</v>
      </c>
      <c r="E22" s="11" t="s">
        <v>133</v>
      </c>
    </row>
    <row r="23" customFormat="false" ht="15" hidden="false" customHeight="false" outlineLevel="0" collapsed="false">
      <c r="A23" s="10" t="s">
        <v>137</v>
      </c>
      <c r="B23" s="10" t="s">
        <v>62</v>
      </c>
      <c r="C23" s="10" t="n">
        <v>34</v>
      </c>
      <c r="D23" s="11" t="s">
        <v>10317</v>
      </c>
      <c r="E23" s="11" t="s">
        <v>138</v>
      </c>
    </row>
    <row r="24" customFormat="false" ht="15" hidden="false" customHeight="false" outlineLevel="0" collapsed="false">
      <c r="A24" s="10" t="s">
        <v>140</v>
      </c>
      <c r="B24" s="10" t="s">
        <v>62</v>
      </c>
      <c r="C24" s="10" t="n">
        <v>61</v>
      </c>
      <c r="D24" s="11" t="s">
        <v>10317</v>
      </c>
      <c r="E24" s="11" t="s">
        <v>141</v>
      </c>
    </row>
    <row r="25" customFormat="false" ht="15" hidden="false" customHeight="false" outlineLevel="0" collapsed="false">
      <c r="A25" s="10" t="s">
        <v>143</v>
      </c>
      <c r="B25" s="10" t="s">
        <v>62</v>
      </c>
      <c r="C25" s="10" t="n">
        <v>24</v>
      </c>
      <c r="D25" s="11" t="s">
        <v>10317</v>
      </c>
      <c r="E25" s="11" t="s">
        <v>144</v>
      </c>
    </row>
    <row r="26" customFormat="false" ht="15" hidden="false" customHeight="false" outlineLevel="0" collapsed="false">
      <c r="A26" s="10" t="s">
        <v>147</v>
      </c>
      <c r="B26" s="10" t="s">
        <v>62</v>
      </c>
      <c r="C26" s="10" t="n">
        <v>21</v>
      </c>
      <c r="D26" s="11" t="s">
        <v>10317</v>
      </c>
      <c r="E26" s="11" t="s">
        <v>148</v>
      </c>
    </row>
    <row r="27" customFormat="false" ht="15" hidden="false" customHeight="false" outlineLevel="0" collapsed="false">
      <c r="A27" s="10" t="s">
        <v>150</v>
      </c>
      <c r="B27" s="10" t="s">
        <v>62</v>
      </c>
      <c r="C27" s="10" t="n">
        <v>22</v>
      </c>
      <c r="D27" s="11" t="s">
        <v>10317</v>
      </c>
      <c r="E27" s="11" t="s">
        <v>151</v>
      </c>
    </row>
    <row r="28" customFormat="false" ht="15" hidden="false" customHeight="false" outlineLevel="0" collapsed="false">
      <c r="A28" s="10" t="s">
        <v>153</v>
      </c>
      <c r="B28" s="10" t="s">
        <v>62</v>
      </c>
      <c r="C28" s="10" t="n">
        <v>11</v>
      </c>
      <c r="D28" s="11" t="s">
        <v>10317</v>
      </c>
      <c r="E28" s="11" t="s">
        <v>154</v>
      </c>
    </row>
    <row r="29" customFormat="false" ht="15" hidden="false" customHeight="false" outlineLevel="0" collapsed="false">
      <c r="A29" s="10" t="s">
        <v>157</v>
      </c>
      <c r="B29" s="10" t="s">
        <v>62</v>
      </c>
      <c r="C29" s="10" t="n">
        <v>2</v>
      </c>
      <c r="D29" s="11" t="s">
        <v>10317</v>
      </c>
      <c r="E29" s="11" t="s">
        <v>158</v>
      </c>
    </row>
    <row r="30" customFormat="false" ht="15" hidden="false" customHeight="false" outlineLevel="0" collapsed="false">
      <c r="A30" s="10" t="s">
        <v>159</v>
      </c>
      <c r="B30" s="10" t="s">
        <v>62</v>
      </c>
      <c r="C30" s="10" t="n">
        <v>22</v>
      </c>
      <c r="D30" s="11" t="s">
        <v>10317</v>
      </c>
      <c r="E30" s="11" t="s">
        <v>160</v>
      </c>
    </row>
    <row r="31" customFormat="false" ht="15" hidden="false" customHeight="false" outlineLevel="0" collapsed="false">
      <c r="A31" s="10" t="s">
        <v>162</v>
      </c>
      <c r="B31" s="10" t="s">
        <v>62</v>
      </c>
      <c r="C31" s="10" t="n">
        <v>10</v>
      </c>
      <c r="D31" s="11" t="s">
        <v>10317</v>
      </c>
      <c r="E31" s="11" t="s">
        <v>163</v>
      </c>
    </row>
    <row r="32" customFormat="false" ht="15" hidden="false" customHeight="false" outlineLevel="0" collapsed="false">
      <c r="A32" s="10" t="s">
        <v>165</v>
      </c>
      <c r="B32" s="10" t="s">
        <v>167</v>
      </c>
      <c r="C32" s="10" t="n">
        <v>156</v>
      </c>
      <c r="D32" s="11" t="s">
        <v>10317</v>
      </c>
      <c r="E32" s="11" t="s">
        <v>166</v>
      </c>
    </row>
    <row r="33" customFormat="false" ht="22.35" hidden="false" customHeight="false" outlineLevel="0" collapsed="false">
      <c r="A33" s="10" t="s">
        <v>169</v>
      </c>
      <c r="B33" s="10" t="s">
        <v>167</v>
      </c>
      <c r="C33" s="10" t="n">
        <v>86</v>
      </c>
      <c r="D33" s="11" t="s">
        <v>10317</v>
      </c>
      <c r="E33" s="11" t="s">
        <v>170</v>
      </c>
    </row>
    <row r="34" customFormat="false" ht="15" hidden="false" customHeight="false" outlineLevel="0" collapsed="false">
      <c r="A34" s="10" t="s">
        <v>172</v>
      </c>
      <c r="B34" s="10" t="s">
        <v>167</v>
      </c>
      <c r="C34" s="10" t="n">
        <v>78</v>
      </c>
      <c r="D34" s="11" t="s">
        <v>10317</v>
      </c>
      <c r="E34" s="11" t="s">
        <v>173</v>
      </c>
    </row>
    <row r="35" customFormat="false" ht="15" hidden="false" customHeight="false" outlineLevel="0" collapsed="false">
      <c r="A35" s="10" t="s">
        <v>175</v>
      </c>
      <c r="B35" s="10" t="s">
        <v>167</v>
      </c>
      <c r="C35" s="10" t="n">
        <v>49</v>
      </c>
      <c r="D35" s="11" t="s">
        <v>10317</v>
      </c>
      <c r="E35" s="11" t="s">
        <v>176</v>
      </c>
    </row>
    <row r="36" customFormat="false" ht="15" hidden="false" customHeight="false" outlineLevel="0" collapsed="false">
      <c r="A36" s="10" t="s">
        <v>178</v>
      </c>
      <c r="B36" s="10" t="s">
        <v>180</v>
      </c>
      <c r="C36" s="10" t="n">
        <v>9</v>
      </c>
      <c r="D36" s="11" t="s">
        <v>10317</v>
      </c>
      <c r="E36" s="11" t="s">
        <v>179</v>
      </c>
    </row>
    <row r="37" customFormat="false" ht="15" hidden="false" customHeight="false" outlineLevel="0" collapsed="false">
      <c r="A37" s="10" t="s">
        <v>181</v>
      </c>
      <c r="B37" s="10" t="s">
        <v>180</v>
      </c>
      <c r="C37" s="10" t="n">
        <v>25</v>
      </c>
      <c r="D37" s="11" t="s">
        <v>10317</v>
      </c>
      <c r="E37" s="11" t="s">
        <v>182</v>
      </c>
    </row>
    <row r="38" customFormat="false" ht="15" hidden="false" customHeight="false" outlineLevel="0" collapsed="false">
      <c r="A38" s="10" t="s">
        <v>183</v>
      </c>
      <c r="B38" s="10" t="s">
        <v>180</v>
      </c>
      <c r="C38" s="10" t="n">
        <v>78</v>
      </c>
      <c r="D38" s="11" t="s">
        <v>10317</v>
      </c>
      <c r="E38" s="11" t="s">
        <v>184</v>
      </c>
    </row>
    <row r="39" customFormat="false" ht="15" hidden="false" customHeight="false" outlineLevel="0" collapsed="false">
      <c r="A39" s="10" t="s">
        <v>187</v>
      </c>
      <c r="B39" s="10" t="s">
        <v>180</v>
      </c>
      <c r="C39" s="10" t="n">
        <v>31</v>
      </c>
      <c r="D39" s="11" t="s">
        <v>10317</v>
      </c>
      <c r="E39" s="11" t="s">
        <v>188</v>
      </c>
    </row>
    <row r="40" customFormat="false" ht="15" hidden="false" customHeight="false" outlineLevel="0" collapsed="false">
      <c r="A40" s="10" t="s">
        <v>189</v>
      </c>
      <c r="B40" s="10" t="s">
        <v>180</v>
      </c>
      <c r="C40" s="10" t="n">
        <v>38</v>
      </c>
      <c r="D40" s="11" t="s">
        <v>10317</v>
      </c>
      <c r="E40" s="11" t="s">
        <v>190</v>
      </c>
    </row>
    <row r="41" customFormat="false" ht="15" hidden="false" customHeight="false" outlineLevel="0" collapsed="false">
      <c r="A41" s="10" t="s">
        <v>191</v>
      </c>
      <c r="B41" s="10" t="s">
        <v>180</v>
      </c>
      <c r="C41" s="10" t="n">
        <v>45</v>
      </c>
      <c r="D41" s="11" t="s">
        <v>10317</v>
      </c>
      <c r="E41" s="11" t="s">
        <v>192</v>
      </c>
    </row>
    <row r="42" customFormat="false" ht="15" hidden="false" customHeight="false" outlineLevel="0" collapsed="false">
      <c r="A42" s="10" t="s">
        <v>193</v>
      </c>
      <c r="B42" s="10" t="s">
        <v>180</v>
      </c>
      <c r="C42" s="10" t="n">
        <v>26</v>
      </c>
      <c r="D42" s="11" t="s">
        <v>10317</v>
      </c>
      <c r="E42" s="11" t="s">
        <v>194</v>
      </c>
    </row>
    <row r="43" customFormat="false" ht="15" hidden="false" customHeight="false" outlineLevel="0" collapsed="false">
      <c r="A43" s="10" t="s">
        <v>196</v>
      </c>
      <c r="B43" s="10" t="s">
        <v>198</v>
      </c>
      <c r="C43" s="10" t="n">
        <v>33</v>
      </c>
      <c r="D43" s="11" t="s">
        <v>10317</v>
      </c>
      <c r="E43" s="11" t="s">
        <v>197</v>
      </c>
    </row>
    <row r="44" customFormat="false" ht="15" hidden="false" customHeight="false" outlineLevel="0" collapsed="false">
      <c r="A44" s="10" t="s">
        <v>200</v>
      </c>
      <c r="B44" s="10" t="s">
        <v>180</v>
      </c>
      <c r="C44" s="10" t="n">
        <v>12</v>
      </c>
      <c r="D44" s="11" t="s">
        <v>10317</v>
      </c>
      <c r="E44" s="11" t="s">
        <v>201</v>
      </c>
    </row>
    <row r="45" customFormat="false" ht="15" hidden="false" customHeight="false" outlineLevel="0" collapsed="false">
      <c r="A45" s="10" t="s">
        <v>231</v>
      </c>
      <c r="B45" s="10" t="s">
        <v>207</v>
      </c>
      <c r="C45" s="10" t="n">
        <v>37</v>
      </c>
      <c r="D45" s="11" t="s">
        <v>10317</v>
      </c>
      <c r="E45" s="11"/>
    </row>
    <row r="46" customFormat="false" ht="15" hidden="false" customHeight="false" outlineLevel="0" collapsed="false">
      <c r="A46" s="10" t="s">
        <v>397</v>
      </c>
      <c r="B46" s="10" t="s">
        <v>207</v>
      </c>
      <c r="C46" s="10" t="n">
        <v>39</v>
      </c>
      <c r="D46" s="11" t="s">
        <v>10317</v>
      </c>
      <c r="E46" s="11"/>
    </row>
    <row r="47" customFormat="false" ht="15" hidden="false" customHeight="false" outlineLevel="0" collapsed="false">
      <c r="A47" s="10" t="s">
        <v>548</v>
      </c>
      <c r="B47" s="10" t="s">
        <v>207</v>
      </c>
      <c r="C47" s="10" t="n">
        <v>47</v>
      </c>
      <c r="D47" s="11" t="s">
        <v>10317</v>
      </c>
      <c r="E47" s="11"/>
    </row>
    <row r="48" customFormat="false" ht="15" hidden="false" customHeight="false" outlineLevel="0" collapsed="false">
      <c r="A48" s="10" t="s">
        <v>734</v>
      </c>
      <c r="B48" s="10" t="s">
        <v>207</v>
      </c>
      <c r="C48" s="10" t="n">
        <v>37</v>
      </c>
      <c r="D48" s="11" t="s">
        <v>10317</v>
      </c>
      <c r="E48" s="11"/>
    </row>
    <row r="49" customFormat="false" ht="15" hidden="false" customHeight="false" outlineLevel="0" collapsed="false">
      <c r="A49" s="10" t="s">
        <v>876</v>
      </c>
      <c r="B49" s="10" t="s">
        <v>207</v>
      </c>
      <c r="C49" s="10" t="n">
        <v>27</v>
      </c>
      <c r="D49" s="11" t="s">
        <v>10317</v>
      </c>
      <c r="E49" s="11"/>
    </row>
    <row r="50" customFormat="false" ht="15" hidden="false" customHeight="false" outlineLevel="0" collapsed="false">
      <c r="A50" s="10" t="s">
        <v>973</v>
      </c>
      <c r="B50" s="10" t="s">
        <v>207</v>
      </c>
      <c r="C50" s="10" t="n">
        <v>94</v>
      </c>
      <c r="D50" s="11" t="s">
        <v>10317</v>
      </c>
      <c r="E50" s="11"/>
    </row>
    <row r="51" customFormat="false" ht="15" hidden="false" customHeight="false" outlineLevel="0" collapsed="false">
      <c r="A51" s="10" t="s">
        <v>1037</v>
      </c>
      <c r="B51" s="10" t="s">
        <v>207</v>
      </c>
      <c r="C51" s="10" t="n">
        <v>51</v>
      </c>
      <c r="D51" s="11" t="s">
        <v>10317</v>
      </c>
      <c r="E51" s="11"/>
    </row>
    <row r="52" customFormat="false" ht="15" hidden="false" customHeight="false" outlineLevel="0" collapsed="false">
      <c r="A52" s="10" t="s">
        <v>1274</v>
      </c>
      <c r="B52" s="10" t="s">
        <v>207</v>
      </c>
      <c r="C52" s="10" t="n">
        <v>52</v>
      </c>
      <c r="D52" s="11" t="s">
        <v>10317</v>
      </c>
      <c r="E52" s="11"/>
    </row>
    <row r="53" customFormat="false" ht="15" hidden="false" customHeight="false" outlineLevel="0" collapsed="false">
      <c r="A53" s="10" t="s">
        <v>1507</v>
      </c>
      <c r="B53" s="10" t="s">
        <v>207</v>
      </c>
      <c r="C53" s="10" t="n">
        <v>41</v>
      </c>
      <c r="D53" s="11" t="s">
        <v>10317</v>
      </c>
      <c r="E53" s="11"/>
    </row>
    <row r="54" customFormat="false" ht="15" hidden="false" customHeight="false" outlineLevel="0" collapsed="false">
      <c r="A54" s="10" t="s">
        <v>1673</v>
      </c>
      <c r="B54" s="10" t="s">
        <v>207</v>
      </c>
      <c r="C54" s="10" t="n">
        <v>21</v>
      </c>
      <c r="D54" s="11" t="s">
        <v>10317</v>
      </c>
      <c r="E54" s="11"/>
    </row>
    <row r="55" customFormat="false" ht="15" hidden="false" customHeight="false" outlineLevel="0" collapsed="false">
      <c r="A55" s="10" t="s">
        <v>1752</v>
      </c>
      <c r="B55" s="10" t="s">
        <v>207</v>
      </c>
      <c r="C55" s="10" t="n">
        <v>39</v>
      </c>
      <c r="D55" s="11" t="s">
        <v>10317</v>
      </c>
      <c r="E55" s="11"/>
    </row>
    <row r="56" customFormat="false" ht="15" hidden="false" customHeight="false" outlineLevel="0" collapsed="false">
      <c r="A56" s="10" t="s">
        <v>1918</v>
      </c>
      <c r="B56" s="10" t="s">
        <v>207</v>
      </c>
      <c r="C56" s="10" t="n">
        <v>35</v>
      </c>
      <c r="D56" s="11" t="s">
        <v>10317</v>
      </c>
      <c r="E56" s="11"/>
    </row>
    <row r="57" customFormat="false" ht="15" hidden="false" customHeight="false" outlineLevel="0" collapsed="false">
      <c r="A57" s="10" t="s">
        <v>2062</v>
      </c>
      <c r="B57" s="10" t="s">
        <v>207</v>
      </c>
      <c r="C57" s="10" t="n">
        <v>48</v>
      </c>
      <c r="D57" s="11" t="s">
        <v>10317</v>
      </c>
      <c r="E57" s="11"/>
    </row>
    <row r="58" customFormat="false" ht="15" hidden="false" customHeight="false" outlineLevel="0" collapsed="false">
      <c r="A58" s="10" t="s">
        <v>2255</v>
      </c>
      <c r="B58" s="10" t="s">
        <v>207</v>
      </c>
      <c r="C58" s="10" t="n">
        <v>43</v>
      </c>
      <c r="D58" s="11" t="s">
        <v>10317</v>
      </c>
      <c r="E58" s="11"/>
    </row>
    <row r="59" customFormat="false" ht="15" hidden="false" customHeight="false" outlineLevel="0" collapsed="false">
      <c r="A59" s="10" t="s">
        <v>2408</v>
      </c>
      <c r="B59" s="10" t="s">
        <v>207</v>
      </c>
      <c r="C59" s="10" t="n">
        <v>52</v>
      </c>
      <c r="D59" s="11" t="s">
        <v>10317</v>
      </c>
      <c r="E59" s="11"/>
    </row>
    <row r="60" customFormat="false" ht="15" hidden="false" customHeight="false" outlineLevel="0" collapsed="false">
      <c r="A60" s="10" t="s">
        <v>2607</v>
      </c>
      <c r="B60" s="10" t="s">
        <v>207</v>
      </c>
      <c r="C60" s="10" t="n">
        <v>47</v>
      </c>
      <c r="D60" s="11" t="s">
        <v>10317</v>
      </c>
      <c r="E60" s="11"/>
    </row>
    <row r="61" customFormat="false" ht="15" hidden="false" customHeight="false" outlineLevel="0" collapsed="false">
      <c r="A61" s="10" t="s">
        <v>83</v>
      </c>
      <c r="B61" s="10" t="s">
        <v>207</v>
      </c>
      <c r="C61" s="10" t="n">
        <v>36</v>
      </c>
      <c r="D61" s="11" t="s">
        <v>10317</v>
      </c>
      <c r="E61" s="11"/>
    </row>
    <row r="62" customFormat="false" ht="15" hidden="false" customHeight="false" outlineLevel="0" collapsed="false">
      <c r="A62" s="10" t="s">
        <v>86</v>
      </c>
      <c r="B62" s="10" t="s">
        <v>207</v>
      </c>
      <c r="C62" s="10" t="n">
        <v>32</v>
      </c>
      <c r="D62" s="11" t="s">
        <v>10317</v>
      </c>
      <c r="E62" s="11"/>
    </row>
    <row r="63" customFormat="false" ht="15" hidden="false" customHeight="false" outlineLevel="0" collapsed="false">
      <c r="A63" s="10" t="s">
        <v>90</v>
      </c>
      <c r="B63" s="10" t="s">
        <v>207</v>
      </c>
      <c r="C63" s="10" t="n">
        <v>62</v>
      </c>
      <c r="D63" s="11" t="s">
        <v>10317</v>
      </c>
      <c r="E63" s="11"/>
    </row>
    <row r="64" customFormat="false" ht="15" hidden="false" customHeight="false" outlineLevel="0" collapsed="false">
      <c r="A64" s="10" t="s">
        <v>114</v>
      </c>
      <c r="B64" s="10" t="s">
        <v>207</v>
      </c>
      <c r="C64" s="10" t="n">
        <v>29</v>
      </c>
      <c r="D64" s="11" t="s">
        <v>10317</v>
      </c>
      <c r="E64" s="11"/>
    </row>
    <row r="65" customFormat="false" ht="15" hidden="false" customHeight="false" outlineLevel="0" collapsed="false">
      <c r="A65" s="10" t="s">
        <v>79</v>
      </c>
      <c r="B65" s="10" t="s">
        <v>207</v>
      </c>
      <c r="C65" s="10" t="n">
        <v>20</v>
      </c>
      <c r="D65" s="11" t="s">
        <v>10317</v>
      </c>
      <c r="E65" s="11"/>
    </row>
    <row r="66" customFormat="false" ht="15" hidden="false" customHeight="false" outlineLevel="0" collapsed="false">
      <c r="A66" s="10" t="s">
        <v>99</v>
      </c>
      <c r="B66" s="10" t="s">
        <v>207</v>
      </c>
      <c r="C66" s="10" t="n">
        <v>44</v>
      </c>
      <c r="D66" s="11" t="s">
        <v>10317</v>
      </c>
      <c r="E66" s="11"/>
    </row>
    <row r="67" customFormat="false" ht="15" hidden="false" customHeight="false" outlineLevel="0" collapsed="false">
      <c r="A67" s="10" t="s">
        <v>105</v>
      </c>
      <c r="B67" s="10" t="s">
        <v>207</v>
      </c>
      <c r="C67" s="10" t="n">
        <v>20</v>
      </c>
      <c r="D67" s="11" t="s">
        <v>10317</v>
      </c>
      <c r="E67" s="11"/>
    </row>
    <row r="68" customFormat="false" ht="15" hidden="false" customHeight="false" outlineLevel="0" collapsed="false">
      <c r="A68" s="10" t="s">
        <v>3638</v>
      </c>
      <c r="B68" s="10" t="s">
        <v>207</v>
      </c>
      <c r="C68" s="10" t="n">
        <v>46</v>
      </c>
      <c r="D68" s="11" t="s">
        <v>10317</v>
      </c>
      <c r="E68" s="11"/>
    </row>
    <row r="69" customFormat="false" ht="15" hidden="false" customHeight="false" outlineLevel="0" collapsed="false">
      <c r="A69" s="10" t="s">
        <v>96</v>
      </c>
      <c r="B69" s="10" t="s">
        <v>207</v>
      </c>
      <c r="C69" s="10" t="n">
        <v>32</v>
      </c>
      <c r="D69" s="11" t="s">
        <v>10317</v>
      </c>
      <c r="E69" s="11"/>
    </row>
    <row r="70" customFormat="false" ht="15" hidden="false" customHeight="false" outlineLevel="0" collapsed="false">
      <c r="A70" s="10" t="s">
        <v>4192</v>
      </c>
      <c r="B70" s="10" t="s">
        <v>207</v>
      </c>
      <c r="C70" s="10" t="n">
        <v>51</v>
      </c>
      <c r="D70" s="11" t="s">
        <v>10317</v>
      </c>
      <c r="E70" s="11"/>
    </row>
    <row r="71" customFormat="false" ht="15" hidden="false" customHeight="false" outlineLevel="0" collapsed="false">
      <c r="A71" s="10" t="s">
        <v>4419</v>
      </c>
      <c r="B71" s="10" t="s">
        <v>207</v>
      </c>
      <c r="C71" s="10" t="n">
        <v>46</v>
      </c>
      <c r="D71" s="11" t="s">
        <v>10317</v>
      </c>
      <c r="E71" s="11"/>
    </row>
    <row r="72" customFormat="false" ht="15" hidden="false" customHeight="false" outlineLevel="0" collapsed="false">
      <c r="A72" s="10" t="s">
        <v>4607</v>
      </c>
      <c r="B72" s="10" t="s">
        <v>207</v>
      </c>
      <c r="C72" s="10" t="n">
        <v>34</v>
      </c>
      <c r="D72" s="11" t="s">
        <v>10317</v>
      </c>
      <c r="E72" s="11"/>
    </row>
    <row r="73" customFormat="false" ht="15" hidden="false" customHeight="false" outlineLevel="0" collapsed="false">
      <c r="A73" s="10" t="s">
        <v>4730</v>
      </c>
      <c r="B73" s="10" t="s">
        <v>207</v>
      </c>
      <c r="C73" s="10" t="n">
        <v>31</v>
      </c>
      <c r="D73" s="11" t="s">
        <v>10317</v>
      </c>
      <c r="E73" s="11"/>
    </row>
    <row r="74" customFormat="false" ht="15" hidden="false" customHeight="false" outlineLevel="0" collapsed="false">
      <c r="A74" s="10" t="s">
        <v>5160</v>
      </c>
      <c r="B74" s="10" t="s">
        <v>207</v>
      </c>
      <c r="C74" s="10" t="n">
        <v>105</v>
      </c>
      <c r="D74" s="11" t="s">
        <v>10317</v>
      </c>
      <c r="E74" s="11"/>
    </row>
    <row r="75" customFormat="false" ht="15" hidden="false" customHeight="false" outlineLevel="0" collapsed="false">
      <c r="A75" s="10" t="s">
        <v>118</v>
      </c>
      <c r="B75" s="10" t="s">
        <v>207</v>
      </c>
      <c r="C75" s="10" t="n">
        <v>85</v>
      </c>
      <c r="D75" s="11" t="s">
        <v>10317</v>
      </c>
      <c r="E75" s="11"/>
    </row>
    <row r="76" customFormat="false" ht="15" hidden="false" customHeight="false" outlineLevel="0" collapsed="false">
      <c r="A76" s="10" t="s">
        <v>5997</v>
      </c>
      <c r="B76" s="10" t="s">
        <v>207</v>
      </c>
      <c r="C76" s="10" t="n">
        <v>32</v>
      </c>
      <c r="D76" s="11" t="s">
        <v>10317</v>
      </c>
      <c r="E76" s="11"/>
    </row>
    <row r="77" customFormat="false" ht="15" hidden="false" customHeight="false" outlineLevel="0" collapsed="false">
      <c r="A77" s="10" t="s">
        <v>199</v>
      </c>
      <c r="B77" s="10" t="s">
        <v>207</v>
      </c>
      <c r="C77" s="10" t="n">
        <v>97</v>
      </c>
      <c r="D77" s="11" t="s">
        <v>10317</v>
      </c>
      <c r="E77" s="11"/>
    </row>
    <row r="78" customFormat="false" ht="15" hidden="false" customHeight="false" outlineLevel="0" collapsed="false">
      <c r="A78" s="10" t="s">
        <v>134</v>
      </c>
      <c r="B78" s="10" t="s">
        <v>207</v>
      </c>
      <c r="C78" s="10" t="n">
        <v>28</v>
      </c>
      <c r="D78" s="11" t="s">
        <v>10317</v>
      </c>
      <c r="E78" s="11"/>
    </row>
    <row r="79" customFormat="false" ht="15" hidden="false" customHeight="false" outlineLevel="0" collapsed="false">
      <c r="A79" s="10" t="s">
        <v>139</v>
      </c>
      <c r="B79" s="10" t="s">
        <v>207</v>
      </c>
      <c r="C79" s="10" t="n">
        <v>34</v>
      </c>
      <c r="D79" s="11" t="s">
        <v>10317</v>
      </c>
      <c r="E79" s="11"/>
    </row>
    <row r="80" customFormat="false" ht="15" hidden="false" customHeight="false" outlineLevel="0" collapsed="false">
      <c r="A80" s="10" t="s">
        <v>6463</v>
      </c>
      <c r="B80" s="10" t="s">
        <v>207</v>
      </c>
      <c r="C80" s="10" t="n">
        <v>18</v>
      </c>
      <c r="D80" s="11" t="s">
        <v>10317</v>
      </c>
      <c r="E80" s="11"/>
    </row>
    <row r="81" customFormat="false" ht="15" hidden="false" customHeight="false" outlineLevel="0" collapsed="false">
      <c r="A81" s="10" t="s">
        <v>6522</v>
      </c>
      <c r="B81" s="10" t="s">
        <v>207</v>
      </c>
      <c r="C81" s="10" t="n">
        <v>23</v>
      </c>
      <c r="D81" s="11" t="s">
        <v>10317</v>
      </c>
      <c r="E81" s="11"/>
    </row>
    <row r="82" customFormat="false" ht="15" hidden="false" customHeight="false" outlineLevel="0" collapsed="false">
      <c r="A82" s="10" t="s">
        <v>152</v>
      </c>
      <c r="B82" s="10" t="s">
        <v>207</v>
      </c>
      <c r="C82" s="10" t="n">
        <v>22</v>
      </c>
      <c r="D82" s="11" t="s">
        <v>10317</v>
      </c>
      <c r="E82" s="11"/>
    </row>
    <row r="83" customFormat="false" ht="15" hidden="false" customHeight="false" outlineLevel="0" collapsed="false">
      <c r="A83" s="10" t="s">
        <v>229</v>
      </c>
      <c r="B83" s="10" t="s">
        <v>207</v>
      </c>
      <c r="C83" s="10" t="n">
        <v>14</v>
      </c>
      <c r="D83" s="11" t="s">
        <v>10317</v>
      </c>
      <c r="E83" s="11"/>
    </row>
    <row r="84" customFormat="false" ht="15" hidden="false" customHeight="false" outlineLevel="0" collapsed="false">
      <c r="A84" s="10" t="s">
        <v>75</v>
      </c>
      <c r="B84" s="10" t="s">
        <v>207</v>
      </c>
      <c r="C84" s="10" t="n">
        <v>13</v>
      </c>
      <c r="D84" s="11" t="s">
        <v>10317</v>
      </c>
      <c r="E84" s="11"/>
    </row>
    <row r="85" customFormat="false" ht="15" hidden="false" customHeight="false" outlineLevel="0" collapsed="false">
      <c r="A85" s="10" t="s">
        <v>149</v>
      </c>
      <c r="B85" s="10" t="s">
        <v>207</v>
      </c>
      <c r="C85" s="10" t="n">
        <v>21</v>
      </c>
      <c r="D85" s="11" t="s">
        <v>10317</v>
      </c>
      <c r="E85" s="11"/>
    </row>
    <row r="86" customFormat="false" ht="15" hidden="false" customHeight="false" outlineLevel="0" collapsed="false">
      <c r="A86" s="10" t="s">
        <v>155</v>
      </c>
      <c r="B86" s="10" t="s">
        <v>207</v>
      </c>
      <c r="C86" s="10" t="n">
        <v>11</v>
      </c>
      <c r="D86" s="11" t="s">
        <v>10317</v>
      </c>
      <c r="E86" s="11"/>
    </row>
    <row r="87" customFormat="false" ht="15" hidden="false" customHeight="false" outlineLevel="0" collapsed="false">
      <c r="A87" s="10" t="s">
        <v>161</v>
      </c>
      <c r="B87" s="10" t="s">
        <v>207</v>
      </c>
      <c r="C87" s="10" t="n">
        <v>22</v>
      </c>
      <c r="D87" s="11" t="s">
        <v>10317</v>
      </c>
      <c r="E87" s="11"/>
    </row>
    <row r="88" customFormat="false" ht="15" hidden="false" customHeight="false" outlineLevel="0" collapsed="false">
      <c r="A88" s="10" t="s">
        <v>164</v>
      </c>
      <c r="B88" s="10" t="s">
        <v>207</v>
      </c>
      <c r="C88" s="10" t="n">
        <v>10</v>
      </c>
      <c r="D88" s="11" t="s">
        <v>10317</v>
      </c>
      <c r="E88" s="11"/>
    </row>
    <row r="89" customFormat="false" ht="15" hidden="false" customHeight="false" outlineLevel="0" collapsed="false">
      <c r="A89" s="10" t="s">
        <v>177</v>
      </c>
      <c r="B89" s="10" t="s">
        <v>207</v>
      </c>
      <c r="C89" s="10" t="n">
        <v>314</v>
      </c>
      <c r="D89" s="11" t="s">
        <v>10317</v>
      </c>
      <c r="E89" s="11"/>
    </row>
    <row r="90" customFormat="false" ht="15" hidden="false" customHeight="false" outlineLevel="0" collapsed="false">
      <c r="A90" s="10" t="s">
        <v>185</v>
      </c>
      <c r="B90" s="10" t="s">
        <v>207</v>
      </c>
      <c r="C90" s="10" t="n">
        <v>78</v>
      </c>
      <c r="D90" s="11" t="s">
        <v>10317</v>
      </c>
      <c r="E90" s="11"/>
    </row>
    <row r="91" customFormat="false" ht="15" hidden="false" customHeight="false" outlineLevel="0" collapsed="false">
      <c r="A91" s="10" t="s">
        <v>7922</v>
      </c>
      <c r="B91" s="10" t="s">
        <v>10318</v>
      </c>
      <c r="C91" s="10" t="n">
        <v>13</v>
      </c>
      <c r="D91" s="11" t="s">
        <v>10319</v>
      </c>
      <c r="E91" s="11"/>
    </row>
    <row r="92" customFormat="false" ht="15" hidden="false" customHeight="false" outlineLevel="0" collapsed="false">
      <c r="A92" s="10" t="s">
        <v>5087</v>
      </c>
      <c r="B92" s="10" t="s">
        <v>10318</v>
      </c>
      <c r="C92" s="10" t="n">
        <v>53</v>
      </c>
      <c r="D92" s="11" t="s">
        <v>10320</v>
      </c>
      <c r="E92" s="11"/>
    </row>
    <row r="93" customFormat="false" ht="15" hidden="false" customHeight="false" outlineLevel="0" collapsed="false">
      <c r="A93" s="10" t="s">
        <v>8026</v>
      </c>
      <c r="B93" s="10" t="s">
        <v>10318</v>
      </c>
      <c r="C93" s="10" t="n">
        <v>19</v>
      </c>
      <c r="D93" s="11" t="s">
        <v>10321</v>
      </c>
      <c r="E93" s="11"/>
    </row>
    <row r="94" customFormat="false" ht="15" hidden="false" customHeight="false" outlineLevel="0" collapsed="false">
      <c r="A94" s="10" t="s">
        <v>8226</v>
      </c>
      <c r="B94" s="10" t="s">
        <v>10318</v>
      </c>
      <c r="C94" s="10" t="n">
        <v>30</v>
      </c>
      <c r="D94" s="11" t="s">
        <v>10322</v>
      </c>
      <c r="E94" s="11"/>
    </row>
    <row r="95" customFormat="false" ht="15" hidden="false" customHeight="false" outlineLevel="0" collapsed="false">
      <c r="A95" s="10" t="s">
        <v>2128</v>
      </c>
      <c r="B95" s="10" t="s">
        <v>10318</v>
      </c>
      <c r="C95" s="10" t="n">
        <v>18</v>
      </c>
      <c r="D95" s="11" t="s">
        <v>10323</v>
      </c>
      <c r="E95" s="11"/>
    </row>
    <row r="96" customFormat="false" ht="15" hidden="false" customHeight="false" outlineLevel="0" collapsed="false">
      <c r="A96" s="10" t="s">
        <v>2673</v>
      </c>
      <c r="B96" s="10" t="s">
        <v>10318</v>
      </c>
      <c r="C96" s="10" t="n">
        <v>28</v>
      </c>
      <c r="D96" s="11" t="s">
        <v>10324</v>
      </c>
      <c r="E96" s="11"/>
    </row>
    <row r="97" customFormat="false" ht="15" hidden="false" customHeight="false" outlineLevel="0" collapsed="false">
      <c r="A97" s="10" t="s">
        <v>331</v>
      </c>
      <c r="B97" s="10" t="s">
        <v>10318</v>
      </c>
      <c r="C97" s="10" t="n">
        <v>6</v>
      </c>
      <c r="D97" s="11" t="s">
        <v>10325</v>
      </c>
      <c r="E97" s="11"/>
    </row>
    <row r="98" customFormat="false" ht="15" hidden="false" customHeight="false" outlineLevel="0" collapsed="false">
      <c r="A98" s="10" t="s">
        <v>7758</v>
      </c>
      <c r="B98" s="10" t="s">
        <v>10318</v>
      </c>
      <c r="C98" s="10" t="n">
        <v>6</v>
      </c>
      <c r="D98" s="11" t="s">
        <v>10326</v>
      </c>
      <c r="E98" s="11"/>
    </row>
    <row r="99" customFormat="false" ht="15" hidden="false" customHeight="false" outlineLevel="0" collapsed="false">
      <c r="A99" s="10" t="s">
        <v>2494</v>
      </c>
      <c r="B99" s="10" t="s">
        <v>10318</v>
      </c>
      <c r="C99" s="10" t="n">
        <v>15</v>
      </c>
      <c r="D99" s="11" t="s">
        <v>10327</v>
      </c>
      <c r="E99" s="11"/>
    </row>
    <row r="100" customFormat="false" ht="15" hidden="false" customHeight="false" outlineLevel="0" collapsed="false">
      <c r="A100" s="10" t="s">
        <v>7786</v>
      </c>
      <c r="B100" s="10" t="s">
        <v>10318</v>
      </c>
      <c r="C100" s="10" t="n">
        <v>33</v>
      </c>
      <c r="D100" s="11" t="s">
        <v>10328</v>
      </c>
      <c r="E100" s="11"/>
    </row>
    <row r="101" customFormat="false" ht="15" hidden="false" customHeight="false" outlineLevel="0" collapsed="false">
      <c r="A101" s="10" t="s">
        <v>8523</v>
      </c>
      <c r="B101" s="10" t="s">
        <v>10318</v>
      </c>
      <c r="C101" s="10" t="n">
        <v>17</v>
      </c>
      <c r="D101" s="11" t="s">
        <v>10329</v>
      </c>
      <c r="E101" s="11"/>
    </row>
    <row r="102" customFormat="false" ht="15" hidden="false" customHeight="false" outlineLevel="0" collapsed="false">
      <c r="A102" s="10" t="s">
        <v>7961</v>
      </c>
      <c r="B102" s="10" t="s">
        <v>10318</v>
      </c>
      <c r="C102" s="10" t="n">
        <v>35</v>
      </c>
      <c r="D102" s="11" t="s">
        <v>10330</v>
      </c>
      <c r="E102" s="11"/>
    </row>
    <row r="103" customFormat="false" ht="15" hidden="false" customHeight="false" outlineLevel="0" collapsed="false">
      <c r="A103" s="10" t="s">
        <v>8493</v>
      </c>
      <c r="B103" s="10" t="s">
        <v>10318</v>
      </c>
      <c r="C103" s="10" t="n">
        <v>10</v>
      </c>
      <c r="D103" s="11" t="s">
        <v>10331</v>
      </c>
      <c r="E103" s="11"/>
    </row>
    <row r="104" customFormat="false" ht="15" hidden="false" customHeight="false" outlineLevel="0" collapsed="false">
      <c r="A104" s="10" t="s">
        <v>8698</v>
      </c>
      <c r="B104" s="10" t="s">
        <v>10318</v>
      </c>
      <c r="C104" s="10" t="n">
        <v>14</v>
      </c>
      <c r="D104" s="11" t="s">
        <v>10332</v>
      </c>
      <c r="E104" s="11"/>
    </row>
    <row r="105" customFormat="false" ht="15" hidden="false" customHeight="false" outlineLevel="0" collapsed="false">
      <c r="A105" s="10" t="s">
        <v>8600</v>
      </c>
      <c r="B105" s="10" t="s">
        <v>10318</v>
      </c>
      <c r="C105" s="10" t="n">
        <v>16</v>
      </c>
      <c r="D105" s="11" t="s">
        <v>10333</v>
      </c>
      <c r="E105" s="11"/>
    </row>
    <row r="106" customFormat="false" ht="15" hidden="false" customHeight="false" outlineLevel="0" collapsed="false">
      <c r="A106" s="10" t="s">
        <v>3527</v>
      </c>
      <c r="B106" s="10" t="s">
        <v>10318</v>
      </c>
      <c r="C106" s="10" t="n">
        <v>14</v>
      </c>
      <c r="D106" s="11" t="s">
        <v>10334</v>
      </c>
      <c r="E106" s="11"/>
    </row>
    <row r="107" customFormat="false" ht="15" hidden="false" customHeight="false" outlineLevel="0" collapsed="false">
      <c r="A107" s="10" t="s">
        <v>10335</v>
      </c>
      <c r="B107" s="10" t="s">
        <v>10336</v>
      </c>
      <c r="C107" s="10" t="n">
        <v>1</v>
      </c>
      <c r="D107" s="11" t="s">
        <v>10317</v>
      </c>
      <c r="E107" s="11"/>
    </row>
    <row r="108" customFormat="false" ht="15" hidden="false" customHeight="false" outlineLevel="0" collapsed="false">
      <c r="A108" s="10" t="s">
        <v>10337</v>
      </c>
      <c r="B108" s="10" t="s">
        <v>10336</v>
      </c>
      <c r="C108" s="10" t="n">
        <v>17</v>
      </c>
      <c r="D108" s="11" t="s">
        <v>10317</v>
      </c>
      <c r="E108" s="11"/>
    </row>
    <row r="109" customFormat="false" ht="15" hidden="false" customHeight="false" outlineLevel="0" collapsed="false">
      <c r="A109" s="10" t="s">
        <v>10338</v>
      </c>
      <c r="B109" s="10" t="s">
        <v>10336</v>
      </c>
      <c r="C109" s="10" t="n">
        <v>16</v>
      </c>
      <c r="D109" s="11" t="s">
        <v>10317</v>
      </c>
      <c r="E109" s="11"/>
    </row>
    <row r="110" customFormat="false" ht="15" hidden="false" customHeight="false" outlineLevel="0" collapsed="false">
      <c r="A110" s="10" t="s">
        <v>611</v>
      </c>
      <c r="B110" s="10" t="s">
        <v>10336</v>
      </c>
      <c r="C110" s="10" t="n">
        <v>19</v>
      </c>
      <c r="D110" s="11" t="s">
        <v>10317</v>
      </c>
      <c r="E110" s="11"/>
    </row>
    <row r="111" customFormat="false" ht="15" hidden="false" customHeight="false" outlineLevel="0" collapsed="false">
      <c r="A111" s="10" t="s">
        <v>10339</v>
      </c>
      <c r="B111" s="10" t="s">
        <v>10336</v>
      </c>
      <c r="C111" s="10" t="n">
        <v>1</v>
      </c>
      <c r="D111" s="11" t="s">
        <v>10317</v>
      </c>
      <c r="E111" s="11"/>
    </row>
    <row r="112" customFormat="false" ht="15" hidden="false" customHeight="false" outlineLevel="0" collapsed="false">
      <c r="A112" s="10" t="s">
        <v>2097</v>
      </c>
      <c r="B112" s="10" t="s">
        <v>10336</v>
      </c>
      <c r="C112" s="10" t="n">
        <v>2</v>
      </c>
      <c r="D112" s="11" t="s">
        <v>10317</v>
      </c>
      <c r="E112" s="11"/>
    </row>
    <row r="113" customFormat="false" ht="15" hidden="false" customHeight="false" outlineLevel="0" collapsed="false">
      <c r="A113" s="10" t="s">
        <v>6854</v>
      </c>
      <c r="B113" s="10" t="s">
        <v>10336</v>
      </c>
      <c r="C113" s="10" t="n">
        <v>16</v>
      </c>
      <c r="D113" s="11" t="s">
        <v>10317</v>
      </c>
      <c r="E113" s="11"/>
    </row>
    <row r="114" customFormat="false" ht="15" hidden="false" customHeight="false" outlineLevel="0" collapsed="false">
      <c r="A114" s="10" t="s">
        <v>263</v>
      </c>
      <c r="B114" s="10" t="s">
        <v>10336</v>
      </c>
      <c r="C114" s="10" t="n">
        <v>42</v>
      </c>
      <c r="D114" s="11" t="s">
        <v>10317</v>
      </c>
      <c r="E114" s="11"/>
    </row>
    <row r="115" customFormat="false" ht="15" hidden="false" customHeight="false" outlineLevel="0" collapsed="false">
      <c r="A115" s="10" t="s">
        <v>10340</v>
      </c>
      <c r="B115" s="10" t="s">
        <v>10336</v>
      </c>
      <c r="C115" s="10" t="n">
        <v>9</v>
      </c>
      <c r="D115" s="11" t="s">
        <v>10317</v>
      </c>
      <c r="E115" s="11"/>
    </row>
    <row r="116" customFormat="false" ht="15" hidden="false" customHeight="false" outlineLevel="0" collapsed="false">
      <c r="A116" s="10" t="s">
        <v>2519</v>
      </c>
      <c r="B116" s="10" t="s">
        <v>10336</v>
      </c>
      <c r="C116" s="10" t="n">
        <v>14</v>
      </c>
      <c r="D116" s="11" t="s">
        <v>10317</v>
      </c>
      <c r="E116" s="11"/>
    </row>
    <row r="117" customFormat="false" ht="15" hidden="false" customHeight="false" outlineLevel="0" collapsed="false">
      <c r="A117" s="10" t="s">
        <v>10341</v>
      </c>
      <c r="B117" s="10" t="s">
        <v>10336</v>
      </c>
      <c r="C117" s="10" t="n">
        <v>2</v>
      </c>
      <c r="D117" s="11" t="s">
        <v>10317</v>
      </c>
      <c r="E117" s="11"/>
    </row>
    <row r="118" customFormat="false" ht="15" hidden="false" customHeight="false" outlineLevel="0" collapsed="false">
      <c r="A118" s="10" t="s">
        <v>10342</v>
      </c>
      <c r="B118" s="10" t="s">
        <v>10336</v>
      </c>
      <c r="C118" s="10" t="n">
        <v>3</v>
      </c>
      <c r="D118" s="11" t="s">
        <v>10317</v>
      </c>
      <c r="E118" s="11"/>
    </row>
    <row r="119" customFormat="false" ht="15" hidden="false" customHeight="false" outlineLevel="0" collapsed="false">
      <c r="A119" s="10" t="s">
        <v>356</v>
      </c>
      <c r="B119" s="10" t="s">
        <v>10336</v>
      </c>
      <c r="C119" s="10" t="n">
        <v>26</v>
      </c>
      <c r="D119" s="11" t="s">
        <v>10317</v>
      </c>
      <c r="E119" s="11"/>
    </row>
    <row r="120" customFormat="false" ht="15" hidden="false" customHeight="false" outlineLevel="0" collapsed="false">
      <c r="A120" s="10" t="s">
        <v>3439</v>
      </c>
      <c r="B120" s="10" t="s">
        <v>10336</v>
      </c>
      <c r="C120" s="10" t="n">
        <v>11</v>
      </c>
      <c r="D120" s="11" t="s">
        <v>10317</v>
      </c>
      <c r="E120" s="11"/>
    </row>
    <row r="121" customFormat="false" ht="15" hidden="false" customHeight="false" outlineLevel="0" collapsed="false">
      <c r="A121" s="10" t="s">
        <v>378</v>
      </c>
      <c r="B121" s="10" t="s">
        <v>10336</v>
      </c>
      <c r="C121" s="10" t="n">
        <v>65</v>
      </c>
      <c r="D121" s="11" t="s">
        <v>10317</v>
      </c>
      <c r="E121" s="11"/>
    </row>
    <row r="122" customFormat="false" ht="15" hidden="false" customHeight="false" outlineLevel="0" collapsed="false">
      <c r="A122" s="10" t="s">
        <v>10343</v>
      </c>
      <c r="B122" s="10" t="s">
        <v>10336</v>
      </c>
      <c r="C122" s="10" t="n">
        <v>11</v>
      </c>
      <c r="D122" s="11" t="s">
        <v>10317</v>
      </c>
      <c r="E122" s="11"/>
    </row>
    <row r="123" customFormat="false" ht="15" hidden="false" customHeight="false" outlineLevel="0" collapsed="false">
      <c r="A123" s="10" t="s">
        <v>10344</v>
      </c>
      <c r="B123" s="10" t="s">
        <v>10345</v>
      </c>
      <c r="C123" s="10" t="s">
        <v>233</v>
      </c>
      <c r="D123" s="11" t="s">
        <v>10346</v>
      </c>
      <c r="E123" s="11"/>
    </row>
    <row r="124" customFormat="false" ht="15" hidden="false" customHeight="false" outlineLevel="0" collapsed="false">
      <c r="A124" s="10" t="s">
        <v>10347</v>
      </c>
      <c r="B124" s="10" t="s">
        <v>10345</v>
      </c>
      <c r="C124" s="10" t="s">
        <v>233</v>
      </c>
      <c r="D124" s="11" t="s">
        <v>10348</v>
      </c>
      <c r="E124" s="11"/>
    </row>
    <row r="125" customFormat="false" ht="22.35" hidden="false" customHeight="false" outlineLevel="0" collapsed="false">
      <c r="A125" s="10" t="s">
        <v>10349</v>
      </c>
      <c r="B125" s="10" t="s">
        <v>10345</v>
      </c>
      <c r="C125" s="10" t="s">
        <v>233</v>
      </c>
      <c r="D125" s="11" t="s">
        <v>10350</v>
      </c>
      <c r="E125" s="11"/>
    </row>
    <row r="126" customFormat="false" ht="15" hidden="false" customHeight="false" outlineLevel="0" collapsed="false">
      <c r="A126" s="10" t="s">
        <v>10351</v>
      </c>
      <c r="B126" s="10" t="s">
        <v>10345</v>
      </c>
      <c r="C126" s="10" t="s">
        <v>233</v>
      </c>
      <c r="D126" s="11" t="s">
        <v>10352</v>
      </c>
      <c r="E126"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84"/>
    <col collapsed="false" customWidth="true" hidden="false" outlineLevel="0" max="4" min="4" style="0" width="44"/>
    <col collapsed="false" customWidth="true" hidden="false" outlineLevel="0" max="5" min="5" style="0" width="16"/>
    <col collapsed="false" customWidth="true" hidden="false" outlineLevel="0" max="6" min="6" style="0" width="12"/>
    <col collapsed="false" customWidth="true" hidden="false" outlineLevel="0" max="7" min="7" style="0" width="11"/>
  </cols>
  <sheetData>
    <row r="1" customFormat="false" ht="16.15" hidden="false" customHeight="false" outlineLevel="0" collapsed="false">
      <c r="A1" s="9" t="s">
        <v>10353</v>
      </c>
    </row>
    <row r="2" customFormat="false" ht="15" hidden="false" customHeight="false" outlineLevel="0" collapsed="false">
      <c r="A2" s="3" t="s">
        <v>10354</v>
      </c>
    </row>
    <row r="4" customFormat="false" ht="15" hidden="false" customHeight="false" outlineLevel="0" collapsed="false">
      <c r="A4" s="6" t="s">
        <v>10355</v>
      </c>
      <c r="B4" s="6" t="s">
        <v>10356</v>
      </c>
      <c r="C4" s="6" t="s">
        <v>10357</v>
      </c>
      <c r="D4" s="6" t="s">
        <v>10358</v>
      </c>
      <c r="E4" s="6" t="s">
        <v>10203</v>
      </c>
      <c r="F4" s="6" t="s">
        <v>10359</v>
      </c>
      <c r="G4" s="6" t="s">
        <v>223</v>
      </c>
    </row>
    <row r="5" customFormat="false" ht="15" hidden="false" customHeight="false" outlineLevel="0" collapsed="false">
      <c r="A5" s="10" t="n">
        <v>1</v>
      </c>
      <c r="B5" s="10" t="s">
        <v>10360</v>
      </c>
      <c r="C5" s="11" t="s">
        <v>10361</v>
      </c>
      <c r="D5" s="11" t="s">
        <v>10362</v>
      </c>
      <c r="E5" s="10"/>
      <c r="F5" s="10"/>
      <c r="G5" s="10" t="s">
        <v>10210</v>
      </c>
    </row>
    <row r="6" customFormat="false" ht="15" hidden="false" customHeight="false" outlineLevel="0" collapsed="false">
      <c r="A6" s="10" t="n">
        <v>2</v>
      </c>
      <c r="B6" s="10" t="s">
        <v>10363</v>
      </c>
      <c r="C6" s="11" t="s">
        <v>10364</v>
      </c>
      <c r="D6" s="11" t="s">
        <v>240</v>
      </c>
      <c r="E6" s="10"/>
      <c r="F6" s="10"/>
      <c r="G6" s="10" t="s">
        <v>10210</v>
      </c>
    </row>
    <row r="7" customFormat="false" ht="15" hidden="false" customHeight="false" outlineLevel="0" collapsed="false">
      <c r="A7" s="10" t="n">
        <v>3</v>
      </c>
      <c r="B7" s="10" t="s">
        <v>10365</v>
      </c>
      <c r="C7" s="11" t="s">
        <v>10366</v>
      </c>
      <c r="D7" s="11" t="s">
        <v>10276</v>
      </c>
      <c r="E7" s="10"/>
      <c r="F7" s="10"/>
      <c r="G7" s="10" t="s">
        <v>10210</v>
      </c>
    </row>
    <row r="8" customFormat="false" ht="15" hidden="false" customHeight="false" outlineLevel="0" collapsed="false">
      <c r="A8" s="10" t="n">
        <v>4</v>
      </c>
      <c r="B8" s="10" t="s">
        <v>10367</v>
      </c>
      <c r="C8" s="11" t="s">
        <v>10368</v>
      </c>
      <c r="D8" s="11" t="s">
        <v>10369</v>
      </c>
      <c r="E8" s="10"/>
      <c r="F8" s="10"/>
      <c r="G8" s="10" t="s">
        <v>10210</v>
      </c>
    </row>
    <row r="9" customFormat="false" ht="15" hidden="false" customHeight="false" outlineLevel="0" collapsed="false">
      <c r="A9" s="10" t="n">
        <v>5</v>
      </c>
      <c r="B9" s="10" t="s">
        <v>10370</v>
      </c>
      <c r="C9" s="11" t="s">
        <v>10371</v>
      </c>
      <c r="D9" s="11" t="s">
        <v>10263</v>
      </c>
      <c r="E9" s="10"/>
      <c r="F9" s="10"/>
      <c r="G9" s="10" t="s">
        <v>10210</v>
      </c>
    </row>
    <row r="10" customFormat="false" ht="15" hidden="false" customHeight="false" outlineLevel="0" collapsed="false">
      <c r="A10" s="10" t="n">
        <v>6</v>
      </c>
      <c r="B10" s="10" t="s">
        <v>10372</v>
      </c>
      <c r="C10" s="11" t="s">
        <v>10373</v>
      </c>
      <c r="D10" s="11" t="s">
        <v>10374</v>
      </c>
      <c r="E10" s="10"/>
      <c r="F10" s="10"/>
      <c r="G10" s="10" t="s">
        <v>10210</v>
      </c>
    </row>
    <row r="11" customFormat="false" ht="15" hidden="false" customHeight="false" outlineLevel="0" collapsed="false">
      <c r="A11" s="10" t="n">
        <v>7</v>
      </c>
      <c r="B11" s="10" t="s">
        <v>10375</v>
      </c>
      <c r="C11" s="11" t="s">
        <v>10376</v>
      </c>
      <c r="D11" s="11" t="s">
        <v>10377</v>
      </c>
      <c r="E11" s="10"/>
      <c r="F11" s="10"/>
      <c r="G11" s="10" t="s">
        <v>10210</v>
      </c>
    </row>
    <row r="12" customFormat="false" ht="15" hidden="false" customHeight="false" outlineLevel="0" collapsed="false">
      <c r="A12" s="10" t="n">
        <v>8</v>
      </c>
      <c r="B12" s="10" t="s">
        <v>10378</v>
      </c>
      <c r="C12" s="11" t="s">
        <v>10379</v>
      </c>
      <c r="D12" s="11" t="s">
        <v>10380</v>
      </c>
      <c r="E12" s="10"/>
      <c r="F12" s="10"/>
      <c r="G12" s="10" t="s">
        <v>10210</v>
      </c>
    </row>
    <row r="13" customFormat="false" ht="15" hidden="false" customHeight="false" outlineLevel="0" collapsed="false">
      <c r="A13" s="10" t="n">
        <v>9</v>
      </c>
      <c r="B13" s="10" t="s">
        <v>10381</v>
      </c>
      <c r="C13" s="11" t="s">
        <v>10382</v>
      </c>
      <c r="D13" s="11" t="s">
        <v>10383</v>
      </c>
      <c r="E13" s="10"/>
      <c r="F13" s="10"/>
      <c r="G13" s="10" t="s">
        <v>10210</v>
      </c>
    </row>
    <row r="14" customFormat="false" ht="15" hidden="false" customHeight="false" outlineLevel="0" collapsed="false">
      <c r="A14" s="10" t="n">
        <v>10</v>
      </c>
      <c r="B14" s="10" t="s">
        <v>10384</v>
      </c>
      <c r="C14" s="11" t="s">
        <v>10385</v>
      </c>
      <c r="D14" s="11" t="s">
        <v>191</v>
      </c>
      <c r="E14" s="10"/>
      <c r="F14" s="10"/>
      <c r="G14" s="10" t="s">
        <v>10210</v>
      </c>
    </row>
    <row r="15" customFormat="false" ht="15" hidden="false" customHeight="false" outlineLevel="0" collapsed="false">
      <c r="A15" s="10" t="n">
        <v>11</v>
      </c>
      <c r="B15" s="10" t="s">
        <v>10386</v>
      </c>
      <c r="C15" s="11" t="s">
        <v>10387</v>
      </c>
      <c r="D15" s="11" t="s">
        <v>10388</v>
      </c>
      <c r="E15" s="10"/>
      <c r="F15" s="10"/>
      <c r="G15" s="10" t="s">
        <v>10210</v>
      </c>
    </row>
    <row r="16" customFormat="false" ht="15" hidden="false" customHeight="false" outlineLevel="0" collapsed="false">
      <c r="A16" s="10" t="n">
        <v>12</v>
      </c>
      <c r="B16" s="10" t="s">
        <v>10386</v>
      </c>
      <c r="C16" s="11" t="s">
        <v>10389</v>
      </c>
      <c r="D16" s="11" t="s">
        <v>10390</v>
      </c>
      <c r="E16" s="10"/>
      <c r="F16" s="10"/>
      <c r="G16" s="10" t="s">
        <v>10210</v>
      </c>
    </row>
    <row r="17" customFormat="false" ht="15" hidden="false" customHeight="false" outlineLevel="0" collapsed="false">
      <c r="A17" s="10" t="n">
        <v>13</v>
      </c>
      <c r="B17" s="10" t="s">
        <v>10391</v>
      </c>
      <c r="C17" s="11" t="s">
        <v>10392</v>
      </c>
      <c r="D17" s="11" t="s">
        <v>10393</v>
      </c>
      <c r="E17" s="10"/>
      <c r="F17" s="10"/>
      <c r="G17" s="10" t="s">
        <v>10210</v>
      </c>
    </row>
    <row r="18" customFormat="false" ht="15" hidden="false" customHeight="false" outlineLevel="0" collapsed="false">
      <c r="A18" s="10" t="n">
        <v>14</v>
      </c>
      <c r="B18" s="10" t="s">
        <v>10394</v>
      </c>
      <c r="C18" s="11" t="s">
        <v>10395</v>
      </c>
      <c r="D18" s="11" t="s">
        <v>10396</v>
      </c>
      <c r="E18" s="10"/>
      <c r="F18" s="10"/>
      <c r="G18" s="10" t="s">
        <v>10210</v>
      </c>
    </row>
    <row r="19" customFormat="false" ht="15" hidden="false" customHeight="false" outlineLevel="0" collapsed="false">
      <c r="A19" s="10" t="n">
        <v>15</v>
      </c>
      <c r="B19" s="10" t="s">
        <v>10397</v>
      </c>
      <c r="C19" s="11" t="s">
        <v>10398</v>
      </c>
      <c r="D19" s="11" t="s">
        <v>183</v>
      </c>
      <c r="E19" s="10"/>
      <c r="F19" s="10"/>
      <c r="G19" s="10" t="s">
        <v>10210</v>
      </c>
    </row>
    <row r="20" customFormat="false" ht="15" hidden="false" customHeight="false" outlineLevel="0" collapsed="false">
      <c r="A20" s="10" t="n">
        <v>16</v>
      </c>
      <c r="B20" s="10" t="s">
        <v>10399</v>
      </c>
      <c r="C20" s="11" t="s">
        <v>10400</v>
      </c>
      <c r="D20" s="11" t="s">
        <v>189</v>
      </c>
      <c r="E20" s="10"/>
      <c r="F20" s="10"/>
      <c r="G20" s="10" t="s">
        <v>10210</v>
      </c>
    </row>
    <row r="21" customFormat="false" ht="15" hidden="false" customHeight="false" outlineLevel="0" collapsed="false">
      <c r="A21" s="10" t="n">
        <v>17</v>
      </c>
      <c r="B21" s="10" t="s">
        <v>10401</v>
      </c>
      <c r="C21" s="11" t="s">
        <v>10402</v>
      </c>
      <c r="D21" s="11" t="s">
        <v>187</v>
      </c>
      <c r="E21" s="10"/>
      <c r="F21" s="10"/>
      <c r="G21" s="10" t="s">
        <v>10210</v>
      </c>
    </row>
    <row r="22" customFormat="false" ht="15" hidden="false" customHeight="false" outlineLevel="0" collapsed="false">
      <c r="A22" s="10" t="n">
        <v>18</v>
      </c>
      <c r="B22" s="10" t="s">
        <v>10403</v>
      </c>
      <c r="C22" s="11" t="s">
        <v>10404</v>
      </c>
      <c r="D22" s="11" t="s">
        <v>10405</v>
      </c>
      <c r="E22" s="10"/>
      <c r="F22" s="10"/>
      <c r="G22" s="10" t="s">
        <v>10210</v>
      </c>
    </row>
    <row r="23" customFormat="false" ht="15" hidden="false" customHeight="false" outlineLevel="0" collapsed="false">
      <c r="A23" s="10" t="n">
        <v>19</v>
      </c>
      <c r="B23" s="10" t="s">
        <v>10406</v>
      </c>
      <c r="C23" s="11" t="s">
        <v>10407</v>
      </c>
      <c r="D23" s="11" t="s">
        <v>124</v>
      </c>
      <c r="E23" s="10"/>
      <c r="F23" s="10"/>
      <c r="G23" s="10" t="s">
        <v>10210</v>
      </c>
    </row>
    <row r="24" customFormat="false" ht="15" hidden="false" customHeight="false" outlineLevel="0" collapsed="false">
      <c r="A24" s="10" t="n">
        <v>20</v>
      </c>
      <c r="B24" s="10" t="s">
        <v>10408</v>
      </c>
      <c r="C24" s="11" t="s">
        <v>10409</v>
      </c>
      <c r="D24" s="11" t="s">
        <v>68</v>
      </c>
      <c r="E24" s="10"/>
      <c r="F24" s="10"/>
      <c r="G24" s="10" t="s">
        <v>10210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72"/>
    <col collapsed="false" customWidth="true" hidden="false" outlineLevel="0" max="4" min="4" style="0" width="44"/>
    <col collapsed="false" customWidth="true" hidden="false" outlineLevel="0" max="6" min="5" style="0" width="30"/>
  </cols>
  <sheetData>
    <row r="1" customFormat="false" ht="16.15" hidden="false" customHeight="false" outlineLevel="0" collapsed="false">
      <c r="A1" s="9" t="s">
        <v>10410</v>
      </c>
    </row>
    <row r="2" customFormat="false" ht="15" hidden="false" customHeight="false" outlineLevel="0" collapsed="false">
      <c r="A2" s="3" t="s">
        <v>10411</v>
      </c>
    </row>
    <row r="4" customFormat="false" ht="15" hidden="false" customHeight="false" outlineLevel="0" collapsed="false">
      <c r="A4" s="6" t="s">
        <v>10412</v>
      </c>
      <c r="B4" s="6" t="s">
        <v>52</v>
      </c>
      <c r="C4" s="6" t="s">
        <v>10413</v>
      </c>
      <c r="D4" s="6" t="s">
        <v>10414</v>
      </c>
      <c r="E4" s="6" t="s">
        <v>10415</v>
      </c>
      <c r="F4" s="6" t="s">
        <v>10416</v>
      </c>
    </row>
    <row r="5" customFormat="false" ht="15" hidden="false" customHeight="false" outlineLevel="0" collapsed="false">
      <c r="A5" s="10" t="s">
        <v>10417</v>
      </c>
      <c r="B5" s="10" t="s">
        <v>10418</v>
      </c>
      <c r="C5" s="11" t="s">
        <v>10419</v>
      </c>
      <c r="D5" s="11" t="s">
        <v>10420</v>
      </c>
      <c r="E5" s="10" t="s">
        <v>69</v>
      </c>
      <c r="F5" s="10" t="s">
        <v>10421</v>
      </c>
    </row>
    <row r="6" customFormat="false" ht="15" hidden="false" customHeight="false" outlineLevel="0" collapsed="false">
      <c r="A6" s="10" t="s">
        <v>10422</v>
      </c>
      <c r="B6" s="10" t="s">
        <v>10418</v>
      </c>
      <c r="C6" s="11" t="s">
        <v>10423</v>
      </c>
      <c r="D6" s="11" t="s">
        <v>10424</v>
      </c>
      <c r="E6" s="10" t="s">
        <v>117</v>
      </c>
      <c r="F6" s="10" t="s">
        <v>10425</v>
      </c>
    </row>
    <row r="7" customFormat="false" ht="15" hidden="false" customHeight="false" outlineLevel="0" collapsed="false">
      <c r="A7" s="10" t="s">
        <v>10426</v>
      </c>
      <c r="B7" s="10" t="s">
        <v>10418</v>
      </c>
      <c r="C7" s="11" t="s">
        <v>10427</v>
      </c>
      <c r="D7" s="11" t="s">
        <v>10428</v>
      </c>
      <c r="E7" s="10" t="s">
        <v>128</v>
      </c>
      <c r="F7" s="10" t="s">
        <v>10429</v>
      </c>
    </row>
    <row r="8" customFormat="false" ht="15" hidden="false" customHeight="false" outlineLevel="0" collapsed="false">
      <c r="A8" s="10" t="s">
        <v>10430</v>
      </c>
      <c r="B8" s="10" t="s">
        <v>10418</v>
      </c>
      <c r="C8" s="11" t="s">
        <v>10431</v>
      </c>
      <c r="D8" s="11" t="s">
        <v>10432</v>
      </c>
      <c r="E8" s="10" t="s">
        <v>133</v>
      </c>
      <c r="F8" s="10" t="s">
        <v>10433</v>
      </c>
    </row>
    <row r="9" customFormat="false" ht="15" hidden="false" customHeight="false" outlineLevel="0" collapsed="false">
      <c r="A9" s="10" t="s">
        <v>10434</v>
      </c>
      <c r="B9" s="10" t="s">
        <v>10435</v>
      </c>
      <c r="C9" s="11" t="s">
        <v>10436</v>
      </c>
      <c r="D9" s="11" t="s">
        <v>10437</v>
      </c>
      <c r="E9" s="10" t="s">
        <v>188</v>
      </c>
      <c r="F9" s="10" t="s">
        <v>10438</v>
      </c>
    </row>
    <row r="10" customFormat="false" ht="15" hidden="false" customHeight="false" outlineLevel="0" collapsed="false">
      <c r="A10" s="10" t="s">
        <v>10439</v>
      </c>
      <c r="B10" s="10" t="s">
        <v>10435</v>
      </c>
      <c r="C10" s="11" t="s">
        <v>10436</v>
      </c>
      <c r="D10" s="11" t="s">
        <v>10437</v>
      </c>
      <c r="E10" s="10" t="s">
        <v>190</v>
      </c>
      <c r="F10" s="10" t="s">
        <v>10438</v>
      </c>
    </row>
    <row r="11" customFormat="false" ht="15" hidden="false" customHeight="false" outlineLevel="0" collapsed="false">
      <c r="A11" s="10" t="s">
        <v>10440</v>
      </c>
      <c r="B11" s="10" t="s">
        <v>10435</v>
      </c>
      <c r="C11" s="11" t="s">
        <v>10436</v>
      </c>
      <c r="D11" s="11" t="s">
        <v>10437</v>
      </c>
      <c r="E11" s="10" t="s">
        <v>192</v>
      </c>
      <c r="F11" s="10" t="s">
        <v>10438</v>
      </c>
    </row>
    <row r="12" customFormat="false" ht="15" hidden="false" customHeight="false" outlineLevel="0" collapsed="false">
      <c r="A12" s="10" t="s">
        <v>10441</v>
      </c>
      <c r="B12" s="10" t="s">
        <v>10435</v>
      </c>
      <c r="C12" s="11" t="s">
        <v>10436</v>
      </c>
      <c r="D12" s="11" t="s">
        <v>10437</v>
      </c>
      <c r="E12" s="10" t="s">
        <v>194</v>
      </c>
      <c r="F12" s="10" t="s">
        <v>10438</v>
      </c>
    </row>
    <row r="13" customFormat="false" ht="15" hidden="false" customHeight="false" outlineLevel="0" collapsed="false">
      <c r="A13" s="10" t="s">
        <v>10442</v>
      </c>
      <c r="B13" s="10" t="s">
        <v>10435</v>
      </c>
      <c r="C13" s="11" t="s">
        <v>10436</v>
      </c>
      <c r="D13" s="11" t="s">
        <v>10437</v>
      </c>
      <c r="E13" s="10" t="s">
        <v>197</v>
      </c>
      <c r="F13" s="10" t="s">
        <v>10438</v>
      </c>
    </row>
    <row r="14" customFormat="false" ht="15" hidden="false" customHeight="false" outlineLevel="0" collapsed="false">
      <c r="A14" s="10" t="s">
        <v>10443</v>
      </c>
      <c r="B14" s="10" t="s">
        <v>10435</v>
      </c>
      <c r="C14" s="11" t="s">
        <v>10436</v>
      </c>
      <c r="D14" s="11" t="s">
        <v>10437</v>
      </c>
      <c r="E14" s="10" t="s">
        <v>201</v>
      </c>
      <c r="F14" s="10" t="s">
        <v>10438</v>
      </c>
    </row>
    <row r="15" customFormat="false" ht="15" hidden="false" customHeight="false" outlineLevel="0" collapsed="false">
      <c r="A15" s="10" t="s">
        <v>10444</v>
      </c>
      <c r="B15" s="10" t="s">
        <v>10445</v>
      </c>
      <c r="C15" s="11" t="s">
        <v>10446</v>
      </c>
      <c r="D15" s="11" t="s">
        <v>10447</v>
      </c>
      <c r="E15" s="10" t="s">
        <v>10448</v>
      </c>
      <c r="F15" s="10" t="s">
        <v>10449</v>
      </c>
    </row>
    <row r="16" customFormat="false" ht="15" hidden="false" customHeight="false" outlineLevel="0" collapsed="false">
      <c r="A16" s="10" t="s">
        <v>10450</v>
      </c>
      <c r="B16" s="10" t="s">
        <v>10445</v>
      </c>
      <c r="C16" s="11" t="s">
        <v>10451</v>
      </c>
      <c r="D16" s="11"/>
      <c r="E16" s="10" t="s">
        <v>10452</v>
      </c>
      <c r="F16" s="10" t="s">
        <v>10453</v>
      </c>
    </row>
    <row r="17" customFormat="false" ht="32.8" hidden="false" customHeight="false" outlineLevel="0" collapsed="false">
      <c r="A17" s="10" t="s">
        <v>10454</v>
      </c>
      <c r="B17" s="10" t="s">
        <v>10455</v>
      </c>
      <c r="C17" s="11" t="s">
        <v>10456</v>
      </c>
      <c r="D17" s="11" t="s">
        <v>10457</v>
      </c>
      <c r="E17" s="10" t="s">
        <v>10458</v>
      </c>
      <c r="F17" s="10" t="s">
        <v>10459</v>
      </c>
    </row>
    <row r="18" customFormat="false" ht="22.35" hidden="false" customHeight="false" outlineLevel="0" collapsed="false">
      <c r="A18" s="10" t="s">
        <v>10460</v>
      </c>
      <c r="B18" s="10" t="s">
        <v>10461</v>
      </c>
      <c r="C18" s="11" t="s">
        <v>10462</v>
      </c>
      <c r="D18" s="11" t="s">
        <v>10463</v>
      </c>
      <c r="E18" s="10" t="s">
        <v>10464</v>
      </c>
      <c r="F18" s="10" t="s">
        <v>10465</v>
      </c>
    </row>
    <row r="19" customFormat="false" ht="22.35" hidden="false" customHeight="false" outlineLevel="0" collapsed="false">
      <c r="A19" s="10" t="s">
        <v>10466</v>
      </c>
      <c r="B19" s="10" t="s">
        <v>10455</v>
      </c>
      <c r="C19" s="11" t="s">
        <v>10467</v>
      </c>
      <c r="D19" s="11" t="s">
        <v>10468</v>
      </c>
      <c r="E19" s="10" t="s">
        <v>10469</v>
      </c>
      <c r="F19" s="10" t="s">
        <v>10470</v>
      </c>
    </row>
    <row r="20" customFormat="false" ht="15" hidden="false" customHeight="false" outlineLevel="0" collapsed="false">
      <c r="A20" s="10" t="s">
        <v>10471</v>
      </c>
      <c r="B20" s="10" t="s">
        <v>10472</v>
      </c>
      <c r="C20" s="11" t="s">
        <v>10473</v>
      </c>
      <c r="D20" s="11" t="s">
        <v>10474</v>
      </c>
      <c r="E20" s="10" t="s">
        <v>10475</v>
      </c>
      <c r="F20" s="10" t="s">
        <v>10476</v>
      </c>
    </row>
    <row r="21" customFormat="false" ht="22.35" hidden="false" customHeight="false" outlineLevel="0" collapsed="false">
      <c r="A21" s="10" t="s">
        <v>10477</v>
      </c>
      <c r="B21" s="10" t="s">
        <v>10478</v>
      </c>
      <c r="C21" s="11" t="s">
        <v>10479</v>
      </c>
      <c r="D21" s="11" t="s">
        <v>10480</v>
      </c>
      <c r="E21" s="10" t="s">
        <v>10481</v>
      </c>
      <c r="F21" s="10" t="s">
        <v>10482</v>
      </c>
    </row>
    <row r="22" customFormat="false" ht="22.35" hidden="false" customHeight="false" outlineLevel="0" collapsed="false">
      <c r="A22" s="10" t="s">
        <v>10483</v>
      </c>
      <c r="B22" s="10" t="s">
        <v>10478</v>
      </c>
      <c r="C22" s="11" t="s">
        <v>10484</v>
      </c>
      <c r="D22" s="11" t="s">
        <v>10485</v>
      </c>
      <c r="E22" s="10" t="s">
        <v>10486</v>
      </c>
      <c r="F22" s="10" t="s">
        <v>10482</v>
      </c>
    </row>
    <row r="23" customFormat="false" ht="22.35" hidden="false" customHeight="false" outlineLevel="0" collapsed="false">
      <c r="A23" s="10" t="s">
        <v>10487</v>
      </c>
      <c r="B23" s="10" t="s">
        <v>10478</v>
      </c>
      <c r="C23" s="11" t="s">
        <v>10488</v>
      </c>
      <c r="D23" s="11" t="s">
        <v>10485</v>
      </c>
      <c r="E23" s="10" t="s">
        <v>10489</v>
      </c>
      <c r="F23" s="10" t="s">
        <v>10482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6"/>
    <col collapsed="false" customWidth="true" hidden="false" outlineLevel="0" max="5" min="4" style="0" width="14"/>
    <col collapsed="false" customWidth="true" hidden="false" outlineLevel="0" max="8" min="6" style="0" width="16"/>
    <col collapsed="false" customWidth="true" hidden="false" outlineLevel="0" max="9" min="9" style="0" width="13"/>
  </cols>
  <sheetData>
    <row r="1" customFormat="false" ht="15" hidden="false" customHeight="false" outlineLevel="0" collapsed="false">
      <c r="A1" s="4" t="s">
        <v>10490</v>
      </c>
    </row>
    <row r="3" customFormat="false" ht="15" hidden="false" customHeight="false" outlineLevel="0" collapsed="false">
      <c r="A3" s="8" t="s">
        <v>10491</v>
      </c>
      <c r="B3" s="8" t="s">
        <v>10492</v>
      </c>
      <c r="C3" s="8" t="s">
        <v>10493</v>
      </c>
      <c r="D3" s="8" t="s">
        <v>10494</v>
      </c>
      <c r="E3" s="8" t="s">
        <v>10495</v>
      </c>
      <c r="F3" s="8" t="s">
        <v>10496</v>
      </c>
      <c r="G3" s="8" t="s">
        <v>10497</v>
      </c>
      <c r="H3" s="8" t="s">
        <v>10498</v>
      </c>
      <c r="I3" s="8" t="s">
        <v>10499</v>
      </c>
    </row>
    <row r="4" customFormat="false" ht="15" hidden="false" customHeight="false" outlineLevel="0" collapsed="false">
      <c r="A4" s="20" t="s">
        <v>28</v>
      </c>
      <c r="B4" s="20" t="s">
        <v>1413</v>
      </c>
      <c r="C4" s="20" t="s">
        <v>7503</v>
      </c>
      <c r="D4" s="20" t="s">
        <v>240</v>
      </c>
      <c r="E4" s="20" t="s">
        <v>242</v>
      </c>
      <c r="F4" s="20" t="s">
        <v>244</v>
      </c>
      <c r="G4" s="20" t="s">
        <v>19</v>
      </c>
      <c r="H4" s="20" t="s">
        <v>10500</v>
      </c>
      <c r="I4" s="20" t="s">
        <v>10501</v>
      </c>
    </row>
    <row r="5" customFormat="false" ht="15" hidden="false" customHeight="false" outlineLevel="0" collapsed="false">
      <c r="A5" s="20" t="s">
        <v>29</v>
      </c>
      <c r="B5" s="20" t="s">
        <v>1346</v>
      </c>
      <c r="C5" s="20" t="s">
        <v>7530</v>
      </c>
      <c r="D5" s="20" t="s">
        <v>1217</v>
      </c>
      <c r="E5" s="20" t="s">
        <v>23</v>
      </c>
      <c r="F5" s="20" t="s">
        <v>229</v>
      </c>
      <c r="G5" s="20" t="s">
        <v>20</v>
      </c>
      <c r="H5" s="20" t="s">
        <v>10208</v>
      </c>
      <c r="I5" s="20" t="s">
        <v>10502</v>
      </c>
    </row>
    <row r="6" customFormat="false" ht="15" hidden="false" customHeight="false" outlineLevel="0" collapsed="false">
      <c r="A6" s="20" t="s">
        <v>30</v>
      </c>
      <c r="B6" s="20" t="s">
        <v>974</v>
      </c>
      <c r="C6" s="20" t="s">
        <v>7580</v>
      </c>
      <c r="D6" s="20" t="s">
        <v>5511</v>
      </c>
      <c r="E6" s="20" t="s">
        <v>22</v>
      </c>
      <c r="F6" s="20" t="s">
        <v>75</v>
      </c>
      <c r="H6" s="20" t="s">
        <v>10503</v>
      </c>
      <c r="I6" s="20" t="s">
        <v>10504</v>
      </c>
    </row>
    <row r="7" customFormat="false" ht="15" hidden="false" customHeight="false" outlineLevel="0" collapsed="false">
      <c r="A7" s="20" t="s">
        <v>31</v>
      </c>
      <c r="B7" s="20" t="s">
        <v>316</v>
      </c>
      <c r="C7" s="20" t="s">
        <v>7525</v>
      </c>
      <c r="D7" s="20" t="s">
        <v>383</v>
      </c>
      <c r="E7" s="20" t="s">
        <v>24</v>
      </c>
      <c r="F7" s="20" t="s">
        <v>149</v>
      </c>
      <c r="H7" s="20" t="s">
        <v>10505</v>
      </c>
    </row>
    <row r="8" customFormat="false" ht="15" hidden="false" customHeight="false" outlineLevel="0" collapsed="false">
      <c r="A8" s="20" t="s">
        <v>32</v>
      </c>
      <c r="B8" s="20" t="s">
        <v>1564</v>
      </c>
      <c r="C8" s="20" t="s">
        <v>7569</v>
      </c>
      <c r="E8" s="20" t="s">
        <v>10506</v>
      </c>
    </row>
    <row r="9" customFormat="false" ht="15" hidden="false" customHeight="false" outlineLevel="0" collapsed="false">
      <c r="A9" s="20" t="s">
        <v>33</v>
      </c>
      <c r="B9" s="20" t="s">
        <v>450</v>
      </c>
      <c r="C9" s="20" t="s">
        <v>7670</v>
      </c>
    </row>
    <row r="10" customFormat="false" ht="15" hidden="false" customHeight="false" outlineLevel="0" collapsed="false">
      <c r="A10" s="20" t="s">
        <v>34</v>
      </c>
      <c r="B10" s="20" t="s">
        <v>289</v>
      </c>
      <c r="C10" s="20" t="s">
        <v>7763</v>
      </c>
    </row>
    <row r="11" customFormat="false" ht="15" hidden="false" customHeight="false" outlineLevel="0" collapsed="false">
      <c r="A11" s="20" t="s">
        <v>35</v>
      </c>
      <c r="B11" s="20" t="s">
        <v>893</v>
      </c>
      <c r="C11" s="20" t="s">
        <v>7575</v>
      </c>
    </row>
    <row r="12" customFormat="false" ht="15" hidden="false" customHeight="false" outlineLevel="0" collapsed="false">
      <c r="A12" s="20" t="s">
        <v>36</v>
      </c>
      <c r="B12" s="20" t="s">
        <v>1786</v>
      </c>
      <c r="C12" s="20" t="s">
        <v>7515</v>
      </c>
    </row>
    <row r="13" customFormat="false" ht="15" hidden="false" customHeight="false" outlineLevel="0" collapsed="false">
      <c r="B13" s="20" t="s">
        <v>2638</v>
      </c>
      <c r="C13" s="20" t="s">
        <v>233</v>
      </c>
    </row>
    <row r="14" customFormat="false" ht="15" hidden="false" customHeight="false" outlineLevel="0" collapsed="false">
      <c r="B14" s="20" t="s">
        <v>232</v>
      </c>
    </row>
    <row r="15" customFormat="false" ht="15" hidden="false" customHeight="false" outlineLevel="0" collapsed="false">
      <c r="B15" s="20" t="s">
        <v>928</v>
      </c>
    </row>
    <row r="16" customFormat="false" ht="15" hidden="false" customHeight="false" outlineLevel="0" collapsed="false">
      <c r="B16" s="20" t="s">
        <v>1028</v>
      </c>
    </row>
    <row r="17" customFormat="false" ht="15" hidden="false" customHeight="false" outlineLevel="0" collapsed="false">
      <c r="B17" s="20" t="s">
        <v>277</v>
      </c>
    </row>
    <row r="18" customFormat="false" ht="15" hidden="false" customHeight="false" outlineLevel="0" collapsed="false">
      <c r="B18" s="20" t="s">
        <v>283</v>
      </c>
    </row>
    <row r="19" customFormat="false" ht="15" hidden="false" customHeight="false" outlineLevel="0" collapsed="false">
      <c r="B19" s="20" t="s">
        <v>2896</v>
      </c>
    </row>
    <row r="20" customFormat="false" ht="15" hidden="false" customHeight="false" outlineLevel="0" collapsed="false">
      <c r="B20" s="20" t="s">
        <v>333</v>
      </c>
    </row>
    <row r="21" customFormat="false" ht="15" hidden="false" customHeight="false" outlineLevel="0" collapsed="false">
      <c r="B21" s="20" t="s">
        <v>5507</v>
      </c>
    </row>
    <row r="22" customFormat="false" ht="15" hidden="false" customHeight="false" outlineLevel="0" collapsed="false">
      <c r="B22" s="20"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4"/>
  </cols>
  <sheetData>
    <row r="1" customFormat="false" ht="17.35" hidden="false" customHeight="false" outlineLevel="0" collapsed="false">
      <c r="A1" s="21" t="s">
        <v>10507</v>
      </c>
    </row>
    <row r="3" customFormat="false" ht="15" hidden="false" customHeight="false" outlineLevel="0" collapsed="false">
      <c r="A3" s="22" t="s">
        <v>10508</v>
      </c>
    </row>
    <row r="4" customFormat="false" ht="68.65" hidden="false" customHeight="false" outlineLevel="0" collapsed="false">
      <c r="A4" s="8" t="s">
        <v>10509</v>
      </c>
      <c r="B4" s="23" t="s">
        <v>10510</v>
      </c>
    </row>
    <row r="5" customFormat="false" ht="35.05" hidden="false" customHeight="false" outlineLevel="0" collapsed="false">
      <c r="A5" s="8" t="s">
        <v>10511</v>
      </c>
      <c r="B5" s="23" t="s">
        <v>10512</v>
      </c>
    </row>
    <row r="6" customFormat="false" ht="35.05" hidden="false" customHeight="false" outlineLevel="0" collapsed="false">
      <c r="A6" s="8" t="s">
        <v>10513</v>
      </c>
      <c r="B6" s="23" t="s">
        <v>10514</v>
      </c>
    </row>
    <row r="7" customFormat="false" ht="23.85" hidden="false" customHeight="false" outlineLevel="0" collapsed="false">
      <c r="A7" s="8" t="s">
        <v>10515</v>
      </c>
      <c r="B7" s="23" t="s">
        <v>10516</v>
      </c>
    </row>
    <row r="8" customFormat="false" ht="35.05" hidden="false" customHeight="false" outlineLevel="0" collapsed="false">
      <c r="A8" s="8" t="s">
        <v>10517</v>
      </c>
      <c r="B8" s="23" t="s">
        <v>10518</v>
      </c>
    </row>
    <row r="9" customFormat="false" ht="23.85" hidden="false" customHeight="false" outlineLevel="0" collapsed="false">
      <c r="A9" s="8" t="s">
        <v>10519</v>
      </c>
      <c r="B9" s="23" t="s">
        <v>10520</v>
      </c>
    </row>
    <row r="10" customFormat="false" ht="15" hidden="false" customHeight="false" outlineLevel="0" collapsed="false">
      <c r="A10" s="22"/>
    </row>
    <row r="11" customFormat="false" ht="15" hidden="false" customHeight="false" outlineLevel="0" collapsed="false">
      <c r="A11" s="22" t="s">
        <v>10521</v>
      </c>
    </row>
    <row r="12" customFormat="false" ht="23.85" hidden="false" customHeight="false" outlineLevel="0" collapsed="false">
      <c r="A12" s="8" t="s">
        <v>10522</v>
      </c>
      <c r="B12" s="23" t="s">
        <v>10523</v>
      </c>
    </row>
    <row r="13" customFormat="false" ht="15" hidden="false" customHeight="false" outlineLevel="0" collapsed="false">
      <c r="A13" s="8" t="s">
        <v>10524</v>
      </c>
      <c r="B13" s="23" t="s">
        <v>10525</v>
      </c>
    </row>
    <row r="14" customFormat="false" ht="15" hidden="false" customHeight="false" outlineLevel="0" collapsed="false">
      <c r="A14" s="8" t="s">
        <v>10526</v>
      </c>
      <c r="B14" s="23" t="s">
        <v>10527</v>
      </c>
    </row>
    <row r="15" customFormat="false" ht="15" hidden="false" customHeight="false" outlineLevel="0" collapsed="false">
      <c r="A15" s="8" t="s">
        <v>10528</v>
      </c>
      <c r="B15" s="23" t="s">
        <v>10529</v>
      </c>
    </row>
    <row r="16" customFormat="false" ht="15" hidden="false" customHeight="false" outlineLevel="0" collapsed="false">
      <c r="A16" s="8" t="s">
        <v>10530</v>
      </c>
      <c r="B16" s="23" t="s">
        <v>10531</v>
      </c>
    </row>
    <row r="17" customFormat="false" ht="15" hidden="false" customHeight="false" outlineLevel="0" collapsed="false">
      <c r="A17" s="8" t="s">
        <v>10532</v>
      </c>
      <c r="B17" s="23" t="s">
        <v>10533</v>
      </c>
    </row>
    <row r="18" customFormat="false" ht="15" hidden="false" customHeight="false" outlineLevel="0" collapsed="false">
      <c r="A18" s="22"/>
    </row>
    <row r="19" customFormat="false" ht="15" hidden="false" customHeight="false" outlineLevel="0" collapsed="false">
      <c r="A19" s="22" t="s">
        <v>10534</v>
      </c>
    </row>
    <row r="20" customFormat="false" ht="15" hidden="false" customHeight="false" outlineLevel="0" collapsed="false">
      <c r="A20" s="8" t="s">
        <v>10535</v>
      </c>
      <c r="B20" s="23" t="s">
        <v>10536</v>
      </c>
    </row>
    <row r="21" customFormat="false" ht="15" hidden="false" customHeight="false" outlineLevel="0" collapsed="false">
      <c r="A21" s="8" t="s">
        <v>10537</v>
      </c>
      <c r="B21" s="23" t="s">
        <v>10538</v>
      </c>
    </row>
    <row r="22" customFormat="false" ht="15" hidden="false" customHeight="false" outlineLevel="0" collapsed="false">
      <c r="A22" s="8" t="s">
        <v>10539</v>
      </c>
      <c r="B22" s="23" t="s">
        <v>10540</v>
      </c>
    </row>
    <row r="23" customFormat="false" ht="15" hidden="false" customHeight="false" outlineLevel="0" collapsed="false">
      <c r="A23" s="8" t="s">
        <v>10541</v>
      </c>
      <c r="B23" s="23" t="s">
        <v>10542</v>
      </c>
    </row>
    <row r="24" customFormat="false" ht="15" hidden="false" customHeight="false" outlineLevel="0" collapsed="false">
      <c r="A24" s="22"/>
    </row>
    <row r="25" customFormat="false" ht="15" hidden="false" customHeight="false" outlineLevel="0" collapsed="false">
      <c r="A25" s="22" t="s">
        <v>10543</v>
      </c>
    </row>
    <row r="26" customFormat="false" ht="35.05" hidden="false" customHeight="false" outlineLevel="0" collapsed="false">
      <c r="A26" s="8" t="s">
        <v>10544</v>
      </c>
      <c r="B26" s="23" t="s">
        <v>10545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2026-07-28T15:35:59Z</dcterms:created>
  <dc:creator>openpyxl</dc:creator>
  <dc:description/>
  <dc:language>en-US</dc:language>
  <cp:lastModifiedBy/>
  <dcterms:modified xsi:type="dcterms:W3CDTF">2026-07-28T15:36:04Z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